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גאלי - חצב/פרוייקט בדיקת התכנות/בדיקת התכנות/"/>
    </mc:Choice>
  </mc:AlternateContent>
  <xr:revisionPtr revIDLastSave="449" documentId="8_{E9A5D54E-385F-4F6C-AF2C-D62B03C85759}" xr6:coauthVersionLast="47" xr6:coauthVersionMax="47" xr10:uidLastSave="{2CD09CCC-66B5-4A2A-A8FD-DC47E82FC342}"/>
  <bookViews>
    <workbookView xWindow="-57720" yWindow="-120" windowWidth="29040" windowHeight="15720" activeTab="3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1" l="1"/>
  <c r="F11" i="11"/>
  <c r="E11" i="11"/>
  <c r="G10" i="11"/>
  <c r="G9" i="11"/>
  <c r="G8" i="11"/>
  <c r="G7" i="11"/>
  <c r="G6" i="11"/>
  <c r="G5" i="11"/>
  <c r="H14" i="11"/>
  <c r="G70" i="10"/>
  <c r="G69" i="10"/>
  <c r="G68" i="10"/>
  <c r="E67" i="10"/>
  <c r="G67" i="10" s="1"/>
  <c r="F66" i="10"/>
  <c r="F71" i="10" s="1"/>
  <c r="E66" i="10"/>
  <c r="G66" i="10" s="1"/>
  <c r="G65" i="10"/>
  <c r="E64" i="10"/>
  <c r="G64" i="10" s="1"/>
  <c r="G63" i="10"/>
  <c r="D63" i="10"/>
  <c r="G58" i="10"/>
  <c r="G57" i="10"/>
  <c r="G56" i="10"/>
  <c r="G55" i="10"/>
  <c r="E55" i="10"/>
  <c r="F54" i="10"/>
  <c r="F59" i="10" s="1"/>
  <c r="G54" i="10"/>
  <c r="G53" i="10"/>
  <c r="E52" i="10"/>
  <c r="G52" i="10" s="1"/>
  <c r="G51" i="10"/>
  <c r="E30" i="10"/>
  <c r="E34" i="10"/>
  <c r="G34" i="10" s="1"/>
  <c r="E31" i="10"/>
  <c r="G31" i="10" s="1"/>
  <c r="G46" i="10"/>
  <c r="G45" i="10"/>
  <c r="G44" i="10"/>
  <c r="G43" i="10"/>
  <c r="F42" i="10"/>
  <c r="F47" i="10" s="1"/>
  <c r="G41" i="10"/>
  <c r="E47" i="10"/>
  <c r="G39" i="10"/>
  <c r="D39" i="10"/>
  <c r="G33" i="10"/>
  <c r="G32" i="10"/>
  <c r="G29" i="10"/>
  <c r="G27" i="10"/>
  <c r="F30" i="10"/>
  <c r="F35" i="10" s="1"/>
  <c r="E28" i="10"/>
  <c r="G28" i="10" s="1"/>
  <c r="D27" i="10"/>
  <c r="H13" i="4"/>
  <c r="F3" i="4"/>
  <c r="F17" i="4"/>
  <c r="D15" i="4"/>
  <c r="C7" i="5"/>
  <c r="B8" i="6" s="1"/>
  <c r="H20" i="9" s="1"/>
  <c r="H21" i="9" s="1"/>
  <c r="P17" i="5"/>
  <c r="Q17" i="5" s="1"/>
  <c r="F31" i="5" s="1"/>
  <c r="F27" i="5"/>
  <c r="F26" i="5"/>
  <c r="F25" i="5"/>
  <c r="F24" i="5"/>
  <c r="G23" i="5"/>
  <c r="N17" i="5"/>
  <c r="F17" i="5"/>
  <c r="O17" i="5" s="1"/>
  <c r="S56" i="3"/>
  <c r="W54" i="3"/>
  <c r="U54" i="3"/>
  <c r="Y54" i="3" s="1"/>
  <c r="U52" i="3"/>
  <c r="Y52" i="3" s="1"/>
  <c r="U50" i="3"/>
  <c r="S50" i="3"/>
  <c r="S49" i="3"/>
  <c r="U49" i="3" s="1"/>
  <c r="S48" i="3"/>
  <c r="U48" i="3" s="1"/>
  <c r="S47" i="3"/>
  <c r="W47" i="3" s="1"/>
  <c r="W58" i="3" s="1"/>
  <c r="G49" i="3"/>
  <c r="O16" i="10"/>
  <c r="O20" i="10" s="1"/>
  <c r="K14" i="10"/>
  <c r="M12" i="10"/>
  <c r="K12" i="10"/>
  <c r="D36" i="3"/>
  <c r="D33" i="3"/>
  <c r="L24" i="9"/>
  <c r="J24" i="9"/>
  <c r="L23" i="9"/>
  <c r="L22" i="9"/>
  <c r="L21" i="9"/>
  <c r="L20" i="9"/>
  <c r="C42" i="6"/>
  <c r="S51" i="3" l="1"/>
  <c r="S53" i="3" s="1"/>
  <c r="S55" i="3" s="1"/>
  <c r="S57" i="3" s="1"/>
  <c r="G11" i="11"/>
  <c r="E71" i="10"/>
  <c r="G71" i="10" s="1"/>
  <c r="E59" i="10"/>
  <c r="G59" i="10" s="1"/>
  <c r="G47" i="10"/>
  <c r="G42" i="10"/>
  <c r="E35" i="10"/>
  <c r="G35" i="10" s="1"/>
  <c r="G30" i="10"/>
  <c r="G40" i="10"/>
  <c r="D28" i="5"/>
  <c r="Y58" i="3"/>
  <c r="U47" i="3"/>
  <c r="U51" i="3" s="1"/>
  <c r="U58" i="3" s="1"/>
  <c r="K16" i="10"/>
  <c r="K20" i="10" s="1"/>
  <c r="M16" i="10"/>
  <c r="M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I13" i="4"/>
  <c r="D24" i="4"/>
  <c r="E24" i="4"/>
  <c r="F24" i="4"/>
  <c r="G24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F28" i="5" l="1"/>
  <c r="D29" i="5"/>
  <c r="F29" i="5" s="1"/>
  <c r="F30" i="5" s="1"/>
  <c r="F32" i="5" s="1"/>
  <c r="F33" i="5" s="1"/>
  <c r="F35" i="5" s="1"/>
  <c r="H23" i="9"/>
  <c r="J23" i="9" s="1"/>
  <c r="J22" i="9"/>
  <c r="D42" i="6"/>
  <c r="C35" i="6"/>
  <c r="D35" i="6" s="1"/>
  <c r="G25" i="4"/>
  <c r="I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  <c r="G1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<sst xmlns="http://schemas.openxmlformats.org/spreadsheetml/2006/main" count="509" uniqueCount="307">
  <si>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</si>
  <si>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</si>
  <si>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</si>
  <si>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</si>
  <si>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</si>
  <si>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</si>
  <si>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</si>
  <si>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</si>
  <si>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</si>
  <si>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</si>
  <si>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</si>
  <si>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</si>
  <si>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</si>
  <si>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</si>
  <si>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</si>
  <si>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</si>
  <si>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</si>
  <si>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</si>
  <si>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</si>
  <si>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</si>
  <si>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</si>
  <si>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</si>
  <si>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</si>
  <si>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</si>
  <si>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</si>
  <si>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</si>
  <si>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</si>
  <si>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</si>
  <si>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</si>
  <si>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</si>
  <si>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</si>
  <si>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</si>
  <si>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</si>
  <si>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</si>
  <si>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</si>
  <si>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</si>
  <si>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</si>
  <si>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</si>
  <si>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</si>
  <si>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</si>
  <si>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</si>
  <si>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</si>
  <si>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</si>
  <si>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</si>
  <si>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</si>
  <si>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</si>
  <si>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</si>
  <si>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</si>
  <si>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</si>
  <si>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</si>
  <si>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</si>
  <si>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</si>
  <si>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</si>
  <si>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</si>
  <si>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</si>
  <si>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</si>
  <si>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</si>
  <si>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</si>
  <si>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</si>
  <si>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</si>
  <si>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</si>
  <si>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</si>
  <si>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</si>
  <si>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</si>
  <si>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</si>
  <si>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</si>
  <si>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</si>
  <si>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</si>
  <si>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</si>
  <si>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</si>
  <si>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</si>
  <si>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</si>
  <si>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</si>
  <si>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</si>
  <si>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</si>
  <si>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</si>
  <si>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</si>
  <si>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</si>
  <si>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</si>
  <si>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</si>
  <si>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</si>
  <si>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</si>
  <si>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</si>
  <si>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</si>
  <si>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</si>
  <si>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</si>
  <si>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</si>
  <si>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</si>
  <si>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</si>
  <si>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</si>
  <si>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</si>
  <si>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</si>
  <si>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</si>
  <si>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</si>
  <si>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</si>
  <si>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</si>
  <si>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</si>
  <si>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</si>
  <si>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</si>
  <si>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</si>
  <si>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</si>
  <si>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</si>
  <si>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</si>
  <si>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</si>
  <si>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</si>
  <si>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</si>
  <si>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</si>
  <si>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</si>
  <si>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</si>
  <si>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</si>
  <si>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</si>
  <si>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</si>
  <si>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</si>
  <si>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</si>
  <si>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</si>
  <si>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</si>
  <si>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</si>
  <si>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</si>
  <si>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</si>
  <si>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</si>
  <si>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</si>
  <si>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</si>
  <si>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</si>
  <si>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</si>
  <si>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</si>
  <si>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</si>
  <si>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</si>
  <si>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</si>
  <si>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</si>
  <si>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</si>
  <si>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</si>
  <si>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</si>
  <si>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</si>
  <si>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</si>
  <si>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</si>
  <si>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</si>
  <si>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</si>
  <si>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</si>
  <si>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</si>
  <si>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</si>
  <si>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</si>
  <si>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</si>
  <si>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</si>
  <si>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</si>
  <si>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</si>
  <si>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</si>
  <si>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</si>
  <si>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</si>
  <si>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</si>
  <si>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</si>
  <si>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</si>
  <si>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</si>
  <si>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</si>
  <si>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</si>
  <si>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</si>
  <si>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</si>
  <si>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</si>
  <si>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</si>
  <si>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</si>
  <si>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</si>
  <si>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</si>
  <si>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</si>
  <si>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</si>
  <si>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</si>
  <si>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</si>
  <si>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</si>
  <si>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</si>
  <si>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</si>
  <si>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</si>
  <si>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</si>
  <si>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</si>
  <si>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פל"ח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</si>
  <si>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</si>
  <si>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</si>
  <si>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</si>
  <si>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</si>
  <si>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</si>
  <si>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</si>
  <si>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</si>
  <si>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</si>
  <si>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</si>
  <si>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</si>
  <si>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</si>
  <si>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</si>
  <si>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</si>
  <si>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</si>
  <si>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</si>
  <si>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</si>
  <si>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</si>
  <si>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</si>
  <si>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</si>
  <si>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</si>
  <si>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</si>
  <si>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</si>
  <si>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</si>
  <si>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</si>
  <si>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</si>
  <si>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</si>
  <si>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</si>
  <si>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</si>
  <si>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</si>
  <si>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</si>
  <si>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</si>
  <si>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</si>
  <si>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</si>
  <si>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</si>
  <si>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</si>
  <si>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</si>
  <si>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</si>
  <si>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</si>
  <si>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</si>
  <si>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</si>
  <si>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</si>
  <si>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</si>
  <si>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</si>
  <si>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</si>
  <si>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</si>
  <si>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</si>
  <si>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</si>
  <si>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</si>
  <si>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</si>
  <si>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</si>
  <si>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</si>
  <si>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</si>
  <si>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</si>
  <si>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</si>
  <si>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</si>
  <si>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</si>
  <si>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</si>
  <si>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</si>
  <si>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</si>
  <si>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</si>
  <si>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</si>
  <si>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</si>
  <si>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</si>
  <si>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</si>
  <si>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</si>
  <si>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</si>
  <si>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</si>
  <si>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616-0770735</t>
  </si>
  <si>
    <t>אתר וועדה</t>
  </si>
  <si>
    <t>59/101/02/8</t>
  </si>
  <si>
    <t>בריכה</t>
  </si>
  <si>
    <t>GOVMAP</t>
  </si>
  <si>
    <t>ד/693</t>
  </si>
  <si>
    <t>450+150</t>
  </si>
  <si>
    <t>גוש חלקה</t>
  </si>
  <si>
    <t>יום מכירה</t>
  </si>
  <si>
    <t>תמורה מוצהרת בש"ח</t>
  </si>
  <si>
    <t>בניכוי יזמות 5%</t>
  </si>
  <si>
    <t>מהות</t>
  </si>
  <si>
    <t>חלק נמכר</t>
  </si>
  <si>
    <t>ישוב</t>
  </si>
  <si>
    <t>שטח</t>
  </si>
  <si>
    <t>שטח מגרש</t>
  </si>
  <si>
    <t>תרומת הבנוי למ"ר</t>
  </si>
  <si>
    <t>יתרת המגרש</t>
  </si>
  <si>
    <t>מקדם התאמה לזמן</t>
  </si>
  <si>
    <t>שווי מתואם</t>
  </si>
  <si>
    <t>002242-0037</t>
  </si>
  <si>
    <t>קוטג' חד משפחתי</t>
  </si>
  <si>
    <t>חצב</t>
  </si>
  <si>
    <t>ניתוח שטח אקו'</t>
  </si>
  <si>
    <t>מרתף</t>
  </si>
  <si>
    <t>תכסית</t>
  </si>
  <si>
    <t>סה"כ שטח אקו'</t>
  </si>
  <si>
    <t>שווי מגרש מתואם</t>
  </si>
  <si>
    <t>שווי מ"ר</t>
  </si>
  <si>
    <t>בהתאמה לבעלות /0.97</t>
  </si>
  <si>
    <t>מקדם התאמה לנחלה</t>
  </si>
  <si>
    <t>שווי מ"ר בנחלה</t>
  </si>
  <si>
    <t>לשומה</t>
  </si>
  <si>
    <t>מבנה 1 - בית מגורים ראשון</t>
  </si>
  <si>
    <t>מבנה 1.1 - מחסן</t>
  </si>
  <si>
    <t>מבנה 2 - בית מגורים שני</t>
  </si>
  <si>
    <t>מבנה 2.1 - מחסן</t>
  </si>
  <si>
    <t>מבנה 3 - בית מגורים שלישי</t>
  </si>
  <si>
    <t>מבנה 4 - בית מגורים רביעי</t>
  </si>
  <si>
    <t>מבנה 5 - לול</t>
  </si>
  <si>
    <t>מבנה 6 - לול</t>
  </si>
  <si>
    <t>היתר שנת 73</t>
  </si>
  <si>
    <t>היתר שנת 83 - חלקאי</t>
  </si>
  <si>
    <t>היתר שנת 86</t>
  </si>
  <si>
    <t>שם מבנה</t>
  </si>
  <si>
    <t>גודל</t>
  </si>
  <si>
    <t>בית של ההורים</t>
  </si>
  <si>
    <t>בית של גילה ורחמים</t>
  </si>
  <si>
    <t>קונטיינר לפינוי</t>
  </si>
  <si>
    <t>בית שלישי של נופר</t>
  </si>
  <si>
    <t>בית מושכר - יוסדר פל"ח</t>
  </si>
  <si>
    <t>לול - פענוח השוואתי</t>
  </si>
  <si>
    <t>לול - בהיתר</t>
  </si>
  <si>
    <t>סה"כ למבנה</t>
  </si>
  <si>
    <t>בית שלישי של נופר פינוי</t>
  </si>
  <si>
    <t>פעולה</t>
  </si>
  <si>
    <t>פינוי</t>
  </si>
  <si>
    <t>בית שלישי</t>
  </si>
  <si>
    <t>פענוח</t>
  </si>
  <si>
    <t>מוסדר</t>
  </si>
  <si>
    <t>אפשרות 2 מינמלית</t>
  </si>
  <si>
    <t>בית שני</t>
  </si>
  <si>
    <t>אפשרות 3 - פינוי בית של ההורים</t>
  </si>
  <si>
    <t>אפשרות 1 הכל</t>
  </si>
  <si>
    <t>אפשרות 4 פינוי בית של נופר</t>
  </si>
  <si>
    <t xml:space="preserve">אפשרות 1 </t>
  </si>
  <si>
    <t>סה"כ הסדרה</t>
  </si>
  <si>
    <t>סה"כ פרויקט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</si>
</sst>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9"/>
      <color rgb="FF32332F"/>
      <name val="Arial"/>
      <family val="2"/>
      <scheme val="minor"/>
    </font>
    <font>
      <sz val="10"/>
      <color rgb="FF32332F"/>
      <name val="Arial"/>
      <family val="2"/>
      <scheme val="minor"/>
    </font>
    <font>
      <sz val="10"/>
      <color rgb="FF263C4A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1"/>
      <color rgb="FFFF0000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0" fillId="0" borderId="0" xfId="0" applyAlignment="1">
      <alignment horizontal="center" readingOrder="2"/>
    </xf>
    <xf numFmtId="14" fontId="21" fillId="0" borderId="0" xfId="0" applyNumberFormat="1" applyFont="1" applyAlignment="1">
      <alignment horizontal="center"/>
    </xf>
    <xf numFmtId="0" fontId="22" fillId="13" borderId="79" xfId="0" applyFont="1" applyFill="1" applyBorder="1" applyAlignment="1">
      <alignment horizontal="center" vertical="center" wrapText="1"/>
    </xf>
    <xf numFmtId="0" fontId="22" fillId="13" borderId="80" xfId="0" applyFont="1" applyFill="1" applyBorder="1" applyAlignment="1">
      <alignment horizontal="center" vertical="center" wrapText="1"/>
    </xf>
    <xf numFmtId="0" fontId="22" fillId="13" borderId="81" xfId="0" applyFont="1" applyFill="1" applyBorder="1" applyAlignment="1">
      <alignment horizontal="center" vertical="center" wrapText="1"/>
    </xf>
    <xf numFmtId="0" fontId="22" fillId="13" borderId="82" xfId="0" applyFont="1" applyFill="1" applyBorder="1" applyAlignment="1">
      <alignment horizontal="center" vertical="center" wrapText="1"/>
    </xf>
    <xf numFmtId="0" fontId="22" fillId="13" borderId="83" xfId="0" applyFont="1" applyFill="1" applyBorder="1" applyAlignment="1">
      <alignment horizontal="center" vertical="center" wrapText="1"/>
    </xf>
    <xf numFmtId="0" fontId="22" fillId="13" borderId="36" xfId="0" applyFont="1" applyFill="1" applyBorder="1" applyAlignment="1">
      <alignment horizontal="center" vertical="center" wrapText="1"/>
    </xf>
    <xf numFmtId="0" fontId="23" fillId="0" borderId="79" xfId="0" applyFont="1" applyBorder="1" applyAlignment="1">
      <alignment wrapText="1"/>
    </xf>
    <xf numFmtId="14" fontId="23" fillId="0" borderId="79" xfId="0" applyNumberFormat="1" applyFont="1" applyBorder="1" applyAlignment="1">
      <alignment wrapText="1"/>
    </xf>
    <xf numFmtId="164" fontId="23" fillId="0" borderId="79" xfId="2" applyNumberFormat="1" applyFont="1" applyFill="1" applyBorder="1" applyAlignment="1">
      <alignment wrapText="1"/>
    </xf>
    <xf numFmtId="3" fontId="23" fillId="0" borderId="79" xfId="0" applyNumberFormat="1" applyFont="1" applyBorder="1" applyAlignment="1">
      <alignment wrapText="1"/>
    </xf>
    <xf numFmtId="0" fontId="23" fillId="0" borderId="80" xfId="0" applyFont="1" applyBorder="1" applyAlignment="1">
      <alignment wrapText="1"/>
    </xf>
    <xf numFmtId="164" fontId="23" fillId="0" borderId="36" xfId="2" applyNumberFormat="1" applyFont="1" applyFill="1" applyBorder="1" applyAlignment="1">
      <alignment wrapText="1"/>
    </xf>
    <xf numFmtId="164" fontId="0" fillId="0" borderId="36" xfId="2" applyNumberFormat="1" applyFont="1" applyBorder="1"/>
    <xf numFmtId="3" fontId="0" fillId="0" borderId="36" xfId="0" applyNumberFormat="1" applyBorder="1"/>
    <xf numFmtId="0" fontId="0" fillId="0" borderId="36" xfId="0" applyBorder="1"/>
    <xf numFmtId="0" fontId="22" fillId="0" borderId="0" xfId="0" applyFont="1"/>
    <xf numFmtId="0" fontId="23" fillId="0" borderId="0" xfId="0" applyFont="1"/>
    <xf numFmtId="0" fontId="23" fillId="0" borderId="7" xfId="0" applyFont="1" applyBorder="1"/>
    <xf numFmtId="164" fontId="0" fillId="0" borderId="34" xfId="0" applyNumberFormat="1" applyBorder="1"/>
    <xf numFmtId="0" fontId="0" fillId="0" borderId="35" xfId="0" applyBorder="1"/>
    <xf numFmtId="165" fontId="24" fillId="3" borderId="18" xfId="1" applyNumberFormat="1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4" fontId="0" fillId="0" borderId="22" xfId="2" applyNumberFormat="1" applyFont="1" applyBorder="1"/>
    <xf numFmtId="0" fontId="5" fillId="0" borderId="53" xfId="0" applyFont="1" applyBorder="1" applyAlignment="1">
      <alignment horizontal="center" vertical="center"/>
    </xf>
    <xf numFmtId="0" fontId="0" fillId="0" borderId="53" xfId="0" applyBorder="1"/>
    <xf numFmtId="164" fontId="0" fillId="0" borderId="22" xfId="0" applyNumberFormat="1" applyBorder="1"/>
    <xf numFmtId="0" fontId="0" fillId="0" borderId="5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25" xfId="0" applyBorder="1"/>
    <xf numFmtId="0" fontId="25" fillId="0" borderId="22" xfId="0" applyFont="1" applyBorder="1"/>
    <xf numFmtId="0" fontId="0" fillId="0" borderId="53" xfId="0" applyBorder="1" applyAlignment="1">
      <alignment horizontal="center"/>
    </xf>
    <xf numFmtId="164" fontId="0" fillId="0" borderId="0" xfId="2" applyNumberFormat="1" applyFont="1" applyBorder="1"/>
    <xf numFmtId="0" fontId="5" fillId="0" borderId="2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/>
    </xf>
    <xf numFmtId="0" fontId="26" fillId="0" borderId="2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22" xfId="0" applyFont="1" applyBorder="1"/>
    <xf numFmtId="0" fontId="26" fillId="0" borderId="53" xfId="0" applyFont="1" applyBorder="1" applyAlignment="1">
      <alignment horizontal="center"/>
    </xf>
    <xf numFmtId="0" fontId="0" fillId="0" borderId="85" xfId="0" applyBorder="1" applyAlignment="1">
      <alignment horizontal="center" vertical="center"/>
    </xf>
    <xf numFmtId="0" fontId="26" fillId="0" borderId="0" xfId="0" applyFont="1"/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164" fontId="0" fillId="0" borderId="69" xfId="2" applyNumberFormat="1" applyFont="1" applyBorder="1"/>
    <xf numFmtId="0" fontId="26" fillId="0" borderId="30" xfId="0" applyFont="1" applyBorder="1"/>
    <xf numFmtId="0" fontId="26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30" xfId="2" applyNumberFormat="1" applyFont="1" applyBorder="1"/>
    <xf numFmtId="164" fontId="0" fillId="0" borderId="71" xfId="2" applyNumberFormat="1" applyFont="1" applyBorder="1"/>
    <xf numFmtId="164" fontId="0" fillId="0" borderId="30" xfId="2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87" xfId="0" applyNumberFormat="1" applyFont="1" applyBorder="1"/>
    <xf numFmtId="164" fontId="6" fillId="0" borderId="86" xfId="2" applyNumberFormat="1" applyFont="1" applyBorder="1"/>
    <xf numFmtId="164" fontId="6" fillId="0" borderId="17" xfId="2" applyNumberFormat="1" applyFont="1" applyBorder="1"/>
    <xf numFmtId="164" fontId="6" fillId="0" borderId="17" xfId="2" applyNumberFormat="1" applyFont="1" applyBorder="1" applyAlignment="1">
      <alignment horizontal="center" vertical="center"/>
    </xf>
    <xf numFmtId="164" fontId="6" fillId="0" borderId="87" xfId="2" applyNumberFormat="1" applyFont="1" applyBorder="1"/>
    <xf numFmtId="0" fontId="8" fillId="0" borderId="49" xfId="0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164" fontId="8" fillId="0" borderId="56" xfId="2" applyNumberFormat="1" applyFont="1" applyBorder="1"/>
    <xf numFmtId="164" fontId="8" fillId="0" borderId="70" xfId="0" applyNumberFormat="1" applyFont="1" applyBorder="1" applyAlignment="1">
      <alignment horizontal="center" vertical="center"/>
    </xf>
    <xf numFmtId="0" fontId="8" fillId="0" borderId="30" xfId="0" applyFont="1" applyBorder="1"/>
    <xf numFmtId="0" fontId="8" fillId="0" borderId="71" xfId="0" applyFont="1" applyBorder="1"/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3" fillId="0" borderId="0" xfId="0" applyFont="1" applyAlignment="1">
      <alignment wrapText="1"/>
    </xf>
    <xf numFmtId="0" fontId="0" fillId="0" borderId="0" xfId="0"/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205741</xdr:colOff>
      <xdr:row>21</xdr:row>
      <xdr:rowOff>76199</xdr:rowOff>
    </xdr:from>
    <xdr:to>
      <xdr:col>17</xdr:col>
      <xdr:colOff>458921</xdr:colOff>
      <xdr:row>52</xdr:row>
      <xdr:rowOff>55705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85E567C-F838-4E87-8F32-4EF89A89C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242221" y="3905249"/>
          <a:ext cx="7522953" cy="53039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11" sqref="H11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92</v>
      </c>
      <c r="B4" s="76">
        <f>'מ"ר אקו'' נחלה'!D28</f>
        <v>144.55000000000001</v>
      </c>
      <c r="K4" s="1"/>
    </row>
    <row r="5" spans="1:11" x14ac:dyDescent="0.35">
      <c r="A5" s="1" t="s">
        <v>199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8200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247921.875</v>
      </c>
      <c r="G11" s="75">
        <f>'מ"ר אקו'' נחלה'!D71*-3.75%</f>
        <v>-6562.5</v>
      </c>
      <c r="H11" s="88">
        <f>SUM(F11:G11)</f>
        <v>241359.375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497688.74999999994</v>
      </c>
      <c r="G12" s="75">
        <f>-'מ"ר אקו'' נחלה'!D58*C12</f>
        <v>-29250</v>
      </c>
      <c r="H12" s="6">
        <f>SUM(F12:G12)</f>
        <v>468438.74999999994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214585.80000000005</v>
      </c>
      <c r="G13" s="87">
        <f>G12*53/245</f>
        <v>-6327.5510204081629</v>
      </c>
      <c r="H13" s="6">
        <f>SUM(F13:G13)</f>
        <v>208258.24897959188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712274.55</v>
      </c>
      <c r="G14" s="116"/>
      <c r="H14" s="89">
        <f>SUM(H12:H13)</f>
        <v>676696.99897959176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723137.5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2735901.3</v>
      </c>
      <c r="G16" s="75">
        <f>-'מ"ר אקו'' נחלה'!D15*C16</f>
        <v>-81510</v>
      </c>
      <c r="H16" s="88">
        <f>SUM(F16:G16)</f>
        <v>2654391.2999999998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5223.3999999999996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559.65000000000009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2238.6000000000004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410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157</v>
      </c>
      <c r="C29" s="75"/>
    </row>
    <row r="30" spans="1:10" x14ac:dyDescent="0.35">
      <c r="A30" s="2"/>
      <c r="B30" s="2" t="s">
        <v>159</v>
      </c>
      <c r="C30" s="2" t="s">
        <v>21</v>
      </c>
      <c r="D30" s="2" t="s">
        <v>158</v>
      </c>
    </row>
    <row r="31" spans="1:10" x14ac:dyDescent="0.35">
      <c r="A31" s="1" t="s">
        <v>155</v>
      </c>
      <c r="B31" s="5">
        <f>'מ"ר אקו'' נחלה'!D57*'תחשיב לפי שווי שומה (2)'!$B$8</f>
        <v>2351760</v>
      </c>
      <c r="C31" s="191">
        <v>1</v>
      </c>
      <c r="D31" s="6">
        <f>C31*$B$8</f>
        <v>8200</v>
      </c>
    </row>
    <row r="32" spans="1:10" x14ac:dyDescent="0.35">
      <c r="A32" s="1" t="s">
        <v>154</v>
      </c>
      <c r="B32" s="6">
        <f>350*$B$8*C32</f>
        <v>430500</v>
      </c>
      <c r="C32" s="191">
        <v>0.15</v>
      </c>
      <c r="D32" s="6">
        <f>C32*$B$8</f>
        <v>1230</v>
      </c>
    </row>
    <row r="33" spans="1:6" x14ac:dyDescent="0.35">
      <c r="C33" s="75"/>
    </row>
    <row r="34" spans="1:6" x14ac:dyDescent="0.35">
      <c r="A34" s="1" t="s">
        <v>152</v>
      </c>
      <c r="B34" s="6">
        <f>B31-B32</f>
        <v>1921260</v>
      </c>
      <c r="C34" s="191">
        <f>C31-C32</f>
        <v>0.85</v>
      </c>
      <c r="D34" s="6">
        <f>C34*$B$8</f>
        <v>6970</v>
      </c>
    </row>
    <row r="35" spans="1:6" x14ac:dyDescent="0.35">
      <c r="A35" s="1" t="s">
        <v>153</v>
      </c>
      <c r="B35" s="6">
        <f>B34*50%</f>
        <v>960630</v>
      </c>
      <c r="C35" s="191">
        <f>C34*50%</f>
        <v>0.42499999999999999</v>
      </c>
      <c r="D35" s="6">
        <f>C35*$B$8</f>
        <v>3485</v>
      </c>
    </row>
    <row r="37" spans="1:6" x14ac:dyDescent="0.35">
      <c r="A37" s="2" t="s">
        <v>161</v>
      </c>
      <c r="C37" s="75"/>
    </row>
    <row r="38" spans="1:6" x14ac:dyDescent="0.35">
      <c r="A38" s="2"/>
      <c r="B38" s="2" t="s">
        <v>159</v>
      </c>
      <c r="C38" s="2" t="s">
        <v>21</v>
      </c>
      <c r="D38" s="2" t="s">
        <v>158</v>
      </c>
    </row>
    <row r="39" spans="1:6" x14ac:dyDescent="0.35">
      <c r="A39" s="1" t="s">
        <v>155</v>
      </c>
      <c r="B39" s="5">
        <f>'מ"ר אקו'' נחלה'!D57*'תחשיב לפי שווי שומה (2)'!$B$8</f>
        <v>2351760</v>
      </c>
      <c r="C39" s="191">
        <v>1</v>
      </c>
      <c r="D39" s="6">
        <f>C39*$B$8</f>
        <v>8200</v>
      </c>
    </row>
    <row r="40" spans="1:6" x14ac:dyDescent="0.35">
      <c r="A40" s="1" t="s">
        <v>162</v>
      </c>
      <c r="B40" s="6">
        <f>B39*70%</f>
        <v>1646232</v>
      </c>
      <c r="C40" s="191">
        <v>0.7</v>
      </c>
      <c r="D40" s="6">
        <f>C40*$B$8</f>
        <v>5740</v>
      </c>
    </row>
    <row r="41" spans="1:6" x14ac:dyDescent="0.35">
      <c r="C41" s="75"/>
    </row>
    <row r="42" spans="1:6" x14ac:dyDescent="0.35">
      <c r="A42" s="1" t="s">
        <v>152</v>
      </c>
      <c r="B42" s="6">
        <f>B39-B40</f>
        <v>705528</v>
      </c>
      <c r="C42" s="191">
        <f>C39-C40</f>
        <v>0.30000000000000004</v>
      </c>
      <c r="D42" s="6">
        <f>C42*$B$8</f>
        <v>2460.0000000000005</v>
      </c>
      <c r="F42" s="6"/>
    </row>
    <row r="43" spans="1:6" x14ac:dyDescent="0.35">
      <c r="A43" s="1" t="s">
        <v>153</v>
      </c>
      <c r="B43" s="6">
        <f>B42*50%</f>
        <v>352764</v>
      </c>
      <c r="C43" s="191">
        <f>C42*50%</f>
        <v>0.15000000000000002</v>
      </c>
      <c r="D43" s="6">
        <f>C43*$B$8</f>
        <v>1230.0000000000002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A8:P71"/>
  <sheetViews>
    <sheetView rightToLeft="1" topLeftCell="A7" zoomScale="70" zoomScaleNormal="70" workbookViewId="0">
      <selection activeCell="A25" sqref="A25:G35"/>
    </sheetView>
  </sheetViews>
  <sheetFormatPr defaultRowHeight="13.8" x14ac:dyDescent="0.25"/>
  <cols>
    <col min="1" max="1" width="8.69921875" style="290"/>
    <col min="2" max="2" width="18.296875" bestFit="1" customWidth="1"/>
    <col min="3" max="3" width="9.796875" customWidth="1"/>
    <col min="5" max="5" width="12.09765625" bestFit="1" customWidth="1"/>
    <col min="6" max="6" width="13.19921875" bestFit="1" customWidth="1"/>
    <col min="7" max="7" width="12.09765625" bestFit="1" customWidth="1"/>
  </cols>
  <sheetData>
    <row r="8" spans="9:16" ht="14.4" thickBot="1" x14ac:dyDescent="0.3"/>
    <row r="9" spans="9:16" ht="14.4" thickBot="1" x14ac:dyDescent="0.3">
      <c r="I9" s="361" t="s">
        <v>206</v>
      </c>
      <c r="J9" s="362"/>
      <c r="K9" s="362"/>
      <c r="L9" s="362"/>
      <c r="M9" s="362"/>
      <c r="N9" s="362"/>
      <c r="O9" s="362"/>
      <c r="P9" s="363"/>
    </row>
    <row r="10" spans="9:16" x14ac:dyDescent="0.25">
      <c r="I10" s="364" t="s">
        <v>207</v>
      </c>
      <c r="J10" s="365"/>
      <c r="K10" s="364" t="s">
        <v>208</v>
      </c>
      <c r="L10" s="365"/>
      <c r="M10" s="368" t="s">
        <v>209</v>
      </c>
      <c r="N10" s="369"/>
      <c r="O10" s="364" t="s">
        <v>5</v>
      </c>
      <c r="P10" s="365"/>
    </row>
    <row r="11" spans="9:16" ht="14.4" thickBot="1" x14ac:dyDescent="0.3">
      <c r="I11" s="366"/>
      <c r="J11" s="367"/>
      <c r="K11" s="366"/>
      <c r="L11" s="367"/>
      <c r="M11" s="370"/>
      <c r="N11" s="371"/>
      <c r="O11" s="366"/>
      <c r="P11" s="367"/>
    </row>
    <row r="12" spans="9:16" x14ac:dyDescent="0.25">
      <c r="I12" s="356" t="s">
        <v>210</v>
      </c>
      <c r="J12" s="357"/>
      <c r="K12" s="358">
        <f>240000</f>
        <v>240000</v>
      </c>
      <c r="L12" s="358"/>
      <c r="M12" s="358">
        <f>240000</f>
        <v>240000</v>
      </c>
      <c r="N12" s="358"/>
      <c r="O12" s="358">
        <v>2700000</v>
      </c>
      <c r="P12" s="359"/>
    </row>
    <row r="13" spans="9:16" x14ac:dyDescent="0.25">
      <c r="I13" s="343"/>
      <c r="J13" s="344"/>
      <c r="K13" s="354"/>
      <c r="L13" s="354"/>
      <c r="M13" s="354"/>
      <c r="N13" s="354"/>
      <c r="O13" s="354"/>
      <c r="P13" s="360"/>
    </row>
    <row r="14" spans="9:16" x14ac:dyDescent="0.25">
      <c r="I14" s="343" t="s">
        <v>211</v>
      </c>
      <c r="J14" s="344"/>
      <c r="K14" s="354">
        <f>1000000</f>
        <v>1000000</v>
      </c>
      <c r="L14" s="354"/>
      <c r="M14" s="354">
        <v>1730000</v>
      </c>
      <c r="N14" s="354"/>
      <c r="O14" s="344" t="s">
        <v>212</v>
      </c>
      <c r="P14" s="348"/>
    </row>
    <row r="15" spans="9:16" x14ac:dyDescent="0.25">
      <c r="I15" s="343"/>
      <c r="J15" s="344"/>
      <c r="K15" s="354"/>
      <c r="L15" s="354"/>
      <c r="M15" s="354"/>
      <c r="N15" s="354"/>
      <c r="O15" s="344"/>
      <c r="P15" s="348"/>
    </row>
    <row r="16" spans="9:16" x14ac:dyDescent="0.25">
      <c r="I16" s="343" t="s">
        <v>213</v>
      </c>
      <c r="J16" s="344"/>
      <c r="K16" s="347">
        <f>(K14+K12)*0.06</f>
        <v>74400</v>
      </c>
      <c r="L16" s="347"/>
      <c r="M16" s="347">
        <f>(M14+M12)*0.06</f>
        <v>118200</v>
      </c>
      <c r="N16" s="347"/>
      <c r="O16" s="347">
        <f>O12*0.06</f>
        <v>162000</v>
      </c>
      <c r="P16" s="355"/>
    </row>
    <row r="17" spans="1:16" x14ac:dyDescent="0.25">
      <c r="I17" s="343"/>
      <c r="J17" s="344"/>
      <c r="K17" s="347"/>
      <c r="L17" s="347"/>
      <c r="M17" s="347"/>
      <c r="N17" s="347"/>
      <c r="O17" s="347"/>
      <c r="P17" s="355"/>
    </row>
    <row r="18" spans="1:16" x14ac:dyDescent="0.25">
      <c r="I18" s="343" t="s">
        <v>214</v>
      </c>
      <c r="J18" s="344"/>
      <c r="K18" s="344" t="s">
        <v>212</v>
      </c>
      <c r="L18" s="344"/>
      <c r="M18" s="347">
        <v>144000</v>
      </c>
      <c r="N18" s="347"/>
      <c r="O18" s="344" t="s">
        <v>212</v>
      </c>
      <c r="P18" s="348"/>
    </row>
    <row r="19" spans="1:16" x14ac:dyDescent="0.25">
      <c r="I19" s="343"/>
      <c r="J19" s="344"/>
      <c r="K19" s="344"/>
      <c r="L19" s="344"/>
      <c r="M19" s="347"/>
      <c r="N19" s="347"/>
      <c r="O19" s="344"/>
      <c r="P19" s="348"/>
    </row>
    <row r="20" spans="1:16" x14ac:dyDescent="0.25">
      <c r="I20" s="350" t="s">
        <v>8</v>
      </c>
      <c r="J20" s="351"/>
      <c r="K20" s="352">
        <f>SUM(K12:L19)</f>
        <v>1314400</v>
      </c>
      <c r="L20" s="351"/>
      <c r="M20" s="352">
        <f>SUM(M12:N19)</f>
        <v>2232200</v>
      </c>
      <c r="N20" s="351"/>
      <c r="O20" s="352">
        <f>SUM(O12:P19)</f>
        <v>2862000</v>
      </c>
      <c r="P20" s="353"/>
    </row>
    <row r="21" spans="1:16" x14ac:dyDescent="0.25">
      <c r="I21" s="350"/>
      <c r="J21" s="351"/>
      <c r="K21" s="351"/>
      <c r="L21" s="351"/>
      <c r="M21" s="351"/>
      <c r="N21" s="351"/>
      <c r="O21" s="351"/>
      <c r="P21" s="353"/>
    </row>
    <row r="22" spans="1:16" x14ac:dyDescent="0.25">
      <c r="I22" s="343" t="s">
        <v>215</v>
      </c>
      <c r="J22" s="344"/>
      <c r="K22" s="347">
        <v>500000</v>
      </c>
      <c r="L22" s="344"/>
      <c r="M22" s="347">
        <v>1500000</v>
      </c>
      <c r="N22" s="344"/>
      <c r="O22" s="344" t="s">
        <v>216</v>
      </c>
      <c r="P22" s="348"/>
    </row>
    <row r="23" spans="1:16" ht="14.4" thickBot="1" x14ac:dyDescent="0.3">
      <c r="I23" s="345"/>
      <c r="J23" s="346"/>
      <c r="K23" s="346"/>
      <c r="L23" s="346"/>
      <c r="M23" s="346"/>
      <c r="N23" s="346"/>
      <c r="O23" s="346"/>
      <c r="P23" s="349"/>
    </row>
    <row r="24" spans="1:16" ht="14.4" thickBot="1" x14ac:dyDescent="0.3"/>
    <row r="25" spans="1:16" ht="14.4" thickBot="1" x14ac:dyDescent="0.3">
      <c r="A25" s="340" t="s">
        <v>302</v>
      </c>
      <c r="B25" s="341"/>
      <c r="C25" s="341"/>
      <c r="D25" s="341"/>
      <c r="E25" s="341"/>
      <c r="F25" s="341"/>
      <c r="G25" s="342"/>
    </row>
    <row r="26" spans="1:16" x14ac:dyDescent="0.25">
      <c r="A26" s="291" t="s">
        <v>238</v>
      </c>
      <c r="B26" s="291" t="s">
        <v>283</v>
      </c>
      <c r="C26" s="293" t="s">
        <v>294</v>
      </c>
      <c r="D26" s="293" t="s">
        <v>284</v>
      </c>
      <c r="E26" s="291" t="s">
        <v>193</v>
      </c>
      <c r="F26" s="291" t="s">
        <v>49</v>
      </c>
      <c r="G26" s="291" t="s">
        <v>292</v>
      </c>
    </row>
    <row r="27" spans="1:16" x14ac:dyDescent="0.25">
      <c r="A27" s="257">
        <v>1</v>
      </c>
      <c r="B27" s="257" t="s">
        <v>285</v>
      </c>
      <c r="C27" s="296" t="s">
        <v>226</v>
      </c>
      <c r="D27" s="296">
        <f>103+4</f>
        <v>107</v>
      </c>
      <c r="E27" s="259">
        <v>0</v>
      </c>
      <c r="F27" s="259">
        <v>0</v>
      </c>
      <c r="G27" s="258">
        <f>SUM(E27:F27)</f>
        <v>0</v>
      </c>
    </row>
    <row r="28" spans="1:16" x14ac:dyDescent="0.25">
      <c r="A28" s="257">
        <v>2</v>
      </c>
      <c r="B28" s="230" t="s">
        <v>286</v>
      </c>
      <c r="C28" s="296" t="s">
        <v>226</v>
      </c>
      <c r="D28" s="294">
        <v>175</v>
      </c>
      <c r="E28" s="292">
        <f>15*6000</f>
        <v>90000</v>
      </c>
      <c r="F28" s="292">
        <v>0</v>
      </c>
      <c r="G28" s="258">
        <f t="shared" ref="G28:G34" si="0">SUM(E28:F28)</f>
        <v>90000</v>
      </c>
    </row>
    <row r="29" spans="1:16" x14ac:dyDescent="0.25">
      <c r="A29" s="257">
        <v>2.1</v>
      </c>
      <c r="B29" s="299" t="s">
        <v>287</v>
      </c>
      <c r="C29" s="306" t="s">
        <v>295</v>
      </c>
      <c r="D29" s="294">
        <v>0</v>
      </c>
      <c r="E29" s="292">
        <v>0</v>
      </c>
      <c r="F29" s="292">
        <v>0</v>
      </c>
      <c r="G29" s="258">
        <f t="shared" si="0"/>
        <v>0</v>
      </c>
    </row>
    <row r="30" spans="1:16" x14ac:dyDescent="0.25">
      <c r="A30" s="257">
        <v>3</v>
      </c>
      <c r="B30" s="230" t="s">
        <v>288</v>
      </c>
      <c r="C30" s="300" t="s">
        <v>296</v>
      </c>
      <c r="D30" s="294">
        <v>105</v>
      </c>
      <c r="E30" s="292">
        <f>D30*6000</f>
        <v>630000</v>
      </c>
      <c r="F30" s="292">
        <f>250000</f>
        <v>250000</v>
      </c>
      <c r="G30" s="258">
        <f t="shared" si="0"/>
        <v>880000</v>
      </c>
    </row>
    <row r="31" spans="1:16" x14ac:dyDescent="0.25">
      <c r="A31" s="257">
        <v>4</v>
      </c>
      <c r="B31" s="230" t="s">
        <v>289</v>
      </c>
      <c r="C31" s="300" t="s">
        <v>171</v>
      </c>
      <c r="D31" s="294">
        <v>63</v>
      </c>
      <c r="E31" s="292">
        <f>D31*2500</f>
        <v>157500</v>
      </c>
      <c r="F31" s="292">
        <v>150000</v>
      </c>
      <c r="G31" s="258">
        <f t="shared" si="0"/>
        <v>307500</v>
      </c>
    </row>
    <row r="32" spans="1:16" x14ac:dyDescent="0.25">
      <c r="A32" s="257">
        <v>5</v>
      </c>
      <c r="B32" s="230" t="s">
        <v>290</v>
      </c>
      <c r="C32" s="300" t="s">
        <v>297</v>
      </c>
      <c r="D32" s="294">
        <v>448</v>
      </c>
      <c r="E32" s="292">
        <v>0</v>
      </c>
      <c r="F32" s="292">
        <v>0</v>
      </c>
      <c r="G32" s="258">
        <f t="shared" si="0"/>
        <v>0</v>
      </c>
    </row>
    <row r="33" spans="1:7" x14ac:dyDescent="0.25">
      <c r="A33" s="257">
        <v>6</v>
      </c>
      <c r="B33" s="230" t="s">
        <v>291</v>
      </c>
      <c r="C33" s="300" t="s">
        <v>298</v>
      </c>
      <c r="D33" s="294">
        <v>566</v>
      </c>
      <c r="E33" s="292">
        <v>0</v>
      </c>
      <c r="F33" s="292">
        <v>0</v>
      </c>
      <c r="G33" s="258">
        <f t="shared" si="0"/>
        <v>0</v>
      </c>
    </row>
    <row r="34" spans="1:7" x14ac:dyDescent="0.25">
      <c r="A34" s="297"/>
      <c r="B34" s="40"/>
      <c r="C34" s="298"/>
      <c r="D34" s="294" t="s">
        <v>229</v>
      </c>
      <c r="E34" s="292">
        <f>250000*1.06</f>
        <v>265000</v>
      </c>
      <c r="F34" s="292"/>
      <c r="G34" s="258">
        <f t="shared" si="0"/>
        <v>265000</v>
      </c>
    </row>
    <row r="35" spans="1:7" x14ac:dyDescent="0.25">
      <c r="E35" s="292">
        <f>SUM(E27:E34)</f>
        <v>1142500</v>
      </c>
      <c r="F35" s="295">
        <f>SUM(F27:F34)</f>
        <v>400000</v>
      </c>
      <c r="G35" s="295">
        <f>SUM(E35:F35)</f>
        <v>1542500</v>
      </c>
    </row>
    <row r="36" spans="1:7" ht="14.4" thickBot="1" x14ac:dyDescent="0.3">
      <c r="E36" s="301"/>
      <c r="F36" s="150"/>
      <c r="G36" s="150"/>
    </row>
    <row r="37" spans="1:7" ht="14.4" thickBot="1" x14ac:dyDescent="0.3">
      <c r="A37" s="340" t="s">
        <v>299</v>
      </c>
      <c r="B37" s="341"/>
      <c r="C37" s="341"/>
      <c r="D37" s="341"/>
      <c r="E37" s="341"/>
      <c r="F37" s="341"/>
      <c r="G37" s="342"/>
    </row>
    <row r="38" spans="1:7" x14ac:dyDescent="0.25">
      <c r="A38" s="302" t="s">
        <v>238</v>
      </c>
      <c r="B38" s="302" t="s">
        <v>283</v>
      </c>
      <c r="C38" s="303" t="s">
        <v>294</v>
      </c>
      <c r="D38" s="303" t="s">
        <v>284</v>
      </c>
      <c r="E38" s="302" t="s">
        <v>193</v>
      </c>
      <c r="F38" s="302" t="s">
        <v>49</v>
      </c>
      <c r="G38" s="302" t="s">
        <v>292</v>
      </c>
    </row>
    <row r="39" spans="1:7" x14ac:dyDescent="0.25">
      <c r="A39" s="257">
        <v>1</v>
      </c>
      <c r="B39" s="257" t="s">
        <v>285</v>
      </c>
      <c r="C39" s="296" t="s">
        <v>226</v>
      </c>
      <c r="D39" s="296">
        <f>103+4</f>
        <v>107</v>
      </c>
      <c r="E39" s="259">
        <v>0</v>
      </c>
      <c r="F39" s="259">
        <v>0</v>
      </c>
      <c r="G39" s="258">
        <f>SUM(E39:F39)</f>
        <v>0</v>
      </c>
    </row>
    <row r="40" spans="1:7" x14ac:dyDescent="0.25">
      <c r="A40" s="257">
        <v>2</v>
      </c>
      <c r="B40" s="230" t="s">
        <v>286</v>
      </c>
      <c r="C40" s="296" t="s">
        <v>226</v>
      </c>
      <c r="D40" s="300">
        <v>175</v>
      </c>
      <c r="E40" s="292">
        <v>90000</v>
      </c>
      <c r="F40" s="292">
        <v>0</v>
      </c>
      <c r="G40" s="258">
        <f t="shared" ref="G40:G46" si="1">SUM(E40:F40)</f>
        <v>90000</v>
      </c>
    </row>
    <row r="41" spans="1:7" x14ac:dyDescent="0.25">
      <c r="A41" s="257">
        <v>2.1</v>
      </c>
      <c r="B41" s="299" t="s">
        <v>287</v>
      </c>
      <c r="C41" s="306" t="s">
        <v>295</v>
      </c>
      <c r="D41" s="300">
        <v>0</v>
      </c>
      <c r="E41" s="292">
        <v>0</v>
      </c>
      <c r="F41" s="292">
        <v>0</v>
      </c>
      <c r="G41" s="258">
        <f t="shared" si="1"/>
        <v>0</v>
      </c>
    </row>
    <row r="42" spans="1:7" x14ac:dyDescent="0.25">
      <c r="A42" s="257">
        <v>3</v>
      </c>
      <c r="B42" s="299" t="s">
        <v>293</v>
      </c>
      <c r="C42" s="306" t="s">
        <v>295</v>
      </c>
      <c r="D42" s="300">
        <v>105</v>
      </c>
      <c r="E42" s="292">
        <v>0</v>
      </c>
      <c r="F42" s="292">
        <f>250000</f>
        <v>250000</v>
      </c>
      <c r="G42" s="258">
        <f t="shared" si="1"/>
        <v>250000</v>
      </c>
    </row>
    <row r="43" spans="1:7" x14ac:dyDescent="0.25">
      <c r="A43" s="257">
        <v>4</v>
      </c>
      <c r="B43" s="299" t="s">
        <v>289</v>
      </c>
      <c r="C43" s="306" t="s">
        <v>295</v>
      </c>
      <c r="D43" s="300">
        <v>63</v>
      </c>
      <c r="E43" s="292">
        <v>0</v>
      </c>
      <c r="F43" s="292">
        <v>150000</v>
      </c>
      <c r="G43" s="258">
        <f t="shared" si="1"/>
        <v>150000</v>
      </c>
    </row>
    <row r="44" spans="1:7" x14ac:dyDescent="0.25">
      <c r="A44" s="257">
        <v>5</v>
      </c>
      <c r="B44" s="230" t="s">
        <v>290</v>
      </c>
      <c r="C44" s="300" t="s">
        <v>297</v>
      </c>
      <c r="D44" s="300">
        <v>448</v>
      </c>
      <c r="E44" s="292">
        <v>0</v>
      </c>
      <c r="F44" s="292">
        <v>0</v>
      </c>
      <c r="G44" s="258">
        <f t="shared" si="1"/>
        <v>0</v>
      </c>
    </row>
    <row r="45" spans="1:7" x14ac:dyDescent="0.25">
      <c r="A45" s="257">
        <v>6</v>
      </c>
      <c r="B45" s="230" t="s">
        <v>291</v>
      </c>
      <c r="C45" s="300" t="s">
        <v>298</v>
      </c>
      <c r="D45" s="300">
        <v>566</v>
      </c>
      <c r="E45" s="292">
        <v>0</v>
      </c>
      <c r="F45" s="292">
        <v>0</v>
      </c>
      <c r="G45" s="258">
        <f t="shared" si="1"/>
        <v>0</v>
      </c>
    </row>
    <row r="46" spans="1:7" x14ac:dyDescent="0.25">
      <c r="A46" s="297"/>
      <c r="B46" s="40"/>
      <c r="C46" s="298"/>
      <c r="D46" s="294" t="s">
        <v>229</v>
      </c>
      <c r="E46" s="292">
        <v>0</v>
      </c>
      <c r="F46" s="292"/>
      <c r="G46" s="258">
        <f t="shared" si="1"/>
        <v>0</v>
      </c>
    </row>
    <row r="47" spans="1:7" x14ac:dyDescent="0.25">
      <c r="E47" s="292">
        <f>SUM(E39:E46)</f>
        <v>90000</v>
      </c>
      <c r="F47" s="295">
        <f>SUM(F39:F46)</f>
        <v>400000</v>
      </c>
      <c r="G47" s="295">
        <f>SUM(E47:F47)</f>
        <v>490000</v>
      </c>
    </row>
    <row r="48" spans="1:7" ht="14.4" thickBot="1" x14ac:dyDescent="0.3"/>
    <row r="49" spans="1:7" ht="14.4" thickBot="1" x14ac:dyDescent="0.3">
      <c r="A49" s="340" t="s">
        <v>301</v>
      </c>
      <c r="B49" s="341"/>
      <c r="C49" s="341"/>
      <c r="D49" s="341"/>
      <c r="E49" s="341"/>
      <c r="F49" s="341"/>
      <c r="G49" s="342"/>
    </row>
    <row r="50" spans="1:7" x14ac:dyDescent="0.25">
      <c r="A50" s="291" t="s">
        <v>238</v>
      </c>
      <c r="B50" s="291" t="s">
        <v>283</v>
      </c>
      <c r="C50" s="293" t="s">
        <v>294</v>
      </c>
      <c r="D50" s="293" t="s">
        <v>284</v>
      </c>
      <c r="E50" s="291" t="s">
        <v>193</v>
      </c>
      <c r="F50" s="291" t="s">
        <v>49</v>
      </c>
      <c r="G50" s="291" t="s">
        <v>292</v>
      </c>
    </row>
    <row r="51" spans="1:7" x14ac:dyDescent="0.25">
      <c r="A51" s="257">
        <v>1</v>
      </c>
      <c r="B51" s="304" t="s">
        <v>285</v>
      </c>
      <c r="C51" s="305" t="s">
        <v>295</v>
      </c>
      <c r="D51" s="296"/>
      <c r="E51" s="259">
        <v>0</v>
      </c>
      <c r="F51" s="259">
        <v>0</v>
      </c>
      <c r="G51" s="258">
        <f>SUM(E51:F51)</f>
        <v>0</v>
      </c>
    </row>
    <row r="52" spans="1:7" x14ac:dyDescent="0.25">
      <c r="A52" s="257">
        <v>2</v>
      </c>
      <c r="B52" s="230" t="s">
        <v>286</v>
      </c>
      <c r="C52" s="296" t="s">
        <v>226</v>
      </c>
      <c r="D52" s="294">
        <v>175</v>
      </c>
      <c r="E52" s="292">
        <f>15*6000</f>
        <v>90000</v>
      </c>
      <c r="F52" s="292">
        <v>0</v>
      </c>
      <c r="G52" s="258">
        <f t="shared" ref="G52:G58" si="2">SUM(E52:F52)</f>
        <v>90000</v>
      </c>
    </row>
    <row r="53" spans="1:7" x14ac:dyDescent="0.25">
      <c r="A53" s="257">
        <v>2.1</v>
      </c>
      <c r="B53" s="299" t="s">
        <v>287</v>
      </c>
      <c r="C53" s="306" t="s">
        <v>295</v>
      </c>
      <c r="D53" s="294">
        <v>0</v>
      </c>
      <c r="E53" s="292">
        <v>0</v>
      </c>
      <c r="F53" s="292">
        <v>0</v>
      </c>
      <c r="G53" s="258">
        <f t="shared" si="2"/>
        <v>0</v>
      </c>
    </row>
    <row r="54" spans="1:7" x14ac:dyDescent="0.25">
      <c r="A54" s="257">
        <v>3</v>
      </c>
      <c r="B54" s="230" t="s">
        <v>288</v>
      </c>
      <c r="C54" s="300" t="s">
        <v>300</v>
      </c>
      <c r="D54" s="294">
        <v>105</v>
      </c>
      <c r="E54" s="292"/>
      <c r="F54" s="292">
        <f>250000</f>
        <v>250000</v>
      </c>
      <c r="G54" s="258">
        <f t="shared" si="2"/>
        <v>250000</v>
      </c>
    </row>
    <row r="55" spans="1:7" x14ac:dyDescent="0.25">
      <c r="A55" s="257">
        <v>4</v>
      </c>
      <c r="B55" s="230" t="s">
        <v>289</v>
      </c>
      <c r="C55" s="300" t="s">
        <v>171</v>
      </c>
      <c r="D55" s="294">
        <v>63</v>
      </c>
      <c r="E55" s="292">
        <f>D55*2500</f>
        <v>157500</v>
      </c>
      <c r="F55" s="292">
        <v>150000</v>
      </c>
      <c r="G55" s="258">
        <f t="shared" si="2"/>
        <v>307500</v>
      </c>
    </row>
    <row r="56" spans="1:7" x14ac:dyDescent="0.25">
      <c r="A56" s="257">
        <v>5</v>
      </c>
      <c r="B56" s="230" t="s">
        <v>290</v>
      </c>
      <c r="C56" s="300" t="s">
        <v>297</v>
      </c>
      <c r="D56" s="294">
        <v>448</v>
      </c>
      <c r="E56" s="292">
        <v>0</v>
      </c>
      <c r="F56" s="292">
        <v>0</v>
      </c>
      <c r="G56" s="258">
        <f t="shared" si="2"/>
        <v>0</v>
      </c>
    </row>
    <row r="57" spans="1:7" x14ac:dyDescent="0.25">
      <c r="A57" s="257">
        <v>6</v>
      </c>
      <c r="B57" s="230" t="s">
        <v>291</v>
      </c>
      <c r="C57" s="300" t="s">
        <v>298</v>
      </c>
      <c r="D57" s="294">
        <v>566</v>
      </c>
      <c r="E57" s="292">
        <v>0</v>
      </c>
      <c r="F57" s="292">
        <v>0</v>
      </c>
      <c r="G57" s="258">
        <f t="shared" si="2"/>
        <v>0</v>
      </c>
    </row>
    <row r="58" spans="1:7" x14ac:dyDescent="0.25">
      <c r="A58" s="297"/>
      <c r="B58" s="40"/>
      <c r="C58" s="40"/>
      <c r="D58" s="294" t="s">
        <v>229</v>
      </c>
      <c r="E58" s="292"/>
      <c r="F58" s="292"/>
      <c r="G58" s="258">
        <f t="shared" si="2"/>
        <v>0</v>
      </c>
    </row>
    <row r="59" spans="1:7" x14ac:dyDescent="0.25">
      <c r="E59" s="292">
        <f>SUM(E51:E58)</f>
        <v>247500</v>
      </c>
      <c r="F59" s="295">
        <f>SUM(F51:F58)</f>
        <v>400000</v>
      </c>
      <c r="G59" s="295">
        <f>SUM(E59:F59)</f>
        <v>647500</v>
      </c>
    </row>
    <row r="60" spans="1:7" ht="14.4" thickBot="1" x14ac:dyDescent="0.3"/>
    <row r="61" spans="1:7" ht="14.4" thickBot="1" x14ac:dyDescent="0.3">
      <c r="A61" s="340" t="s">
        <v>303</v>
      </c>
      <c r="B61" s="341"/>
      <c r="C61" s="341"/>
      <c r="D61" s="341"/>
      <c r="E61" s="341"/>
      <c r="F61" s="341"/>
      <c r="G61" s="342"/>
    </row>
    <row r="62" spans="1:7" x14ac:dyDescent="0.25">
      <c r="A62" s="291" t="s">
        <v>238</v>
      </c>
      <c r="B62" s="291" t="s">
        <v>283</v>
      </c>
      <c r="C62" s="293" t="s">
        <v>294</v>
      </c>
      <c r="D62" s="293" t="s">
        <v>284</v>
      </c>
      <c r="E62" s="291" t="s">
        <v>193</v>
      </c>
      <c r="F62" s="291" t="s">
        <v>49</v>
      </c>
      <c r="G62" s="291" t="s">
        <v>292</v>
      </c>
    </row>
    <row r="63" spans="1:7" x14ac:dyDescent="0.25">
      <c r="A63" s="257">
        <v>1</v>
      </c>
      <c r="B63" s="257" t="s">
        <v>285</v>
      </c>
      <c r="C63" s="296" t="s">
        <v>226</v>
      </c>
      <c r="D63" s="296">
        <f>103+4</f>
        <v>107</v>
      </c>
      <c r="E63" s="259">
        <v>0</v>
      </c>
      <c r="F63" s="259">
        <v>0</v>
      </c>
      <c r="G63" s="258">
        <f>SUM(E63:F63)</f>
        <v>0</v>
      </c>
    </row>
    <row r="64" spans="1:7" x14ac:dyDescent="0.25">
      <c r="A64" s="257">
        <v>2</v>
      </c>
      <c r="B64" s="230" t="s">
        <v>286</v>
      </c>
      <c r="C64" s="296" t="s">
        <v>226</v>
      </c>
      <c r="D64" s="294">
        <v>175</v>
      </c>
      <c r="E64" s="292">
        <f>15*6000</f>
        <v>90000</v>
      </c>
      <c r="F64" s="292">
        <v>0</v>
      </c>
      <c r="G64" s="258">
        <f t="shared" ref="G64:G70" si="3">SUM(E64:F64)</f>
        <v>90000</v>
      </c>
    </row>
    <row r="65" spans="1:7" x14ac:dyDescent="0.25">
      <c r="A65" s="257">
        <v>2.1</v>
      </c>
      <c r="B65" s="299" t="s">
        <v>287</v>
      </c>
      <c r="C65" s="306" t="s">
        <v>295</v>
      </c>
      <c r="D65" s="294">
        <v>0</v>
      </c>
      <c r="E65" s="292">
        <v>0</v>
      </c>
      <c r="F65" s="292">
        <v>0</v>
      </c>
      <c r="G65" s="258">
        <f t="shared" si="3"/>
        <v>0</v>
      </c>
    </row>
    <row r="66" spans="1:7" x14ac:dyDescent="0.25">
      <c r="A66" s="257">
        <v>3</v>
      </c>
      <c r="B66" s="299" t="s">
        <v>288</v>
      </c>
      <c r="C66" s="306" t="s">
        <v>295</v>
      </c>
      <c r="D66" s="294">
        <v>0</v>
      </c>
      <c r="E66" s="292">
        <f>D66*6000</f>
        <v>0</v>
      </c>
      <c r="F66" s="292">
        <f>250000</f>
        <v>250000</v>
      </c>
      <c r="G66" s="258">
        <f t="shared" si="3"/>
        <v>250000</v>
      </c>
    </row>
    <row r="67" spans="1:7" x14ac:dyDescent="0.25">
      <c r="A67" s="257">
        <v>4</v>
      </c>
      <c r="B67" s="230" t="s">
        <v>289</v>
      </c>
      <c r="C67" s="300" t="s">
        <v>171</v>
      </c>
      <c r="D67" s="294">
        <v>63</v>
      </c>
      <c r="E67" s="292">
        <f>D67*2500</f>
        <v>157500</v>
      </c>
      <c r="F67" s="292">
        <v>150000</v>
      </c>
      <c r="G67" s="258">
        <f t="shared" si="3"/>
        <v>307500</v>
      </c>
    </row>
    <row r="68" spans="1:7" x14ac:dyDescent="0.25">
      <c r="A68" s="257">
        <v>5</v>
      </c>
      <c r="B68" s="230" t="s">
        <v>290</v>
      </c>
      <c r="C68" s="300" t="s">
        <v>297</v>
      </c>
      <c r="D68" s="294">
        <v>448</v>
      </c>
      <c r="E68" s="292">
        <v>0</v>
      </c>
      <c r="F68" s="292">
        <v>0</v>
      </c>
      <c r="G68" s="258">
        <f t="shared" si="3"/>
        <v>0</v>
      </c>
    </row>
    <row r="69" spans="1:7" x14ac:dyDescent="0.25">
      <c r="A69" s="257">
        <v>6</v>
      </c>
      <c r="B69" s="230" t="s">
        <v>291</v>
      </c>
      <c r="C69" s="300" t="s">
        <v>298</v>
      </c>
      <c r="D69" s="294">
        <v>566</v>
      </c>
      <c r="E69" s="292">
        <v>0</v>
      </c>
      <c r="F69" s="292">
        <v>0</v>
      </c>
      <c r="G69" s="258">
        <f t="shared" si="3"/>
        <v>0</v>
      </c>
    </row>
    <row r="70" spans="1:7" x14ac:dyDescent="0.25">
      <c r="A70" s="297"/>
      <c r="B70" s="40"/>
      <c r="C70" s="298"/>
      <c r="D70" s="294" t="s">
        <v>229</v>
      </c>
      <c r="E70" s="292">
        <v>0</v>
      </c>
      <c r="F70" s="292"/>
      <c r="G70" s="258">
        <f t="shared" si="3"/>
        <v>0</v>
      </c>
    </row>
    <row r="71" spans="1:7" x14ac:dyDescent="0.25">
      <c r="E71" s="292">
        <f>SUM(E63:E70)</f>
        <v>247500</v>
      </c>
      <c r="F71" s="295">
        <f>SUM(F63:F70)</f>
        <v>400000</v>
      </c>
      <c r="G71" s="295">
        <f>SUM(E71:F71)</f>
        <v>647500</v>
      </c>
    </row>
  </sheetData>
  <mergeCells count="33">
    <mergeCell ref="I12:J13"/>
    <mergeCell ref="K12:L13"/>
    <mergeCell ref="M12:N13"/>
    <mergeCell ref="O12:P13"/>
    <mergeCell ref="I9:P9"/>
    <mergeCell ref="I10:J11"/>
    <mergeCell ref="K10:L11"/>
    <mergeCell ref="M10:N11"/>
    <mergeCell ref="O10:P11"/>
    <mergeCell ref="I14:J15"/>
    <mergeCell ref="K14:L15"/>
    <mergeCell ref="M14:N15"/>
    <mergeCell ref="O14:P15"/>
    <mergeCell ref="I16:J17"/>
    <mergeCell ref="K16:L17"/>
    <mergeCell ref="M16:N17"/>
    <mergeCell ref="O16:P17"/>
    <mergeCell ref="K22:L23"/>
    <mergeCell ref="M22:N23"/>
    <mergeCell ref="O22:P23"/>
    <mergeCell ref="I18:J19"/>
    <mergeCell ref="K18:L19"/>
    <mergeCell ref="M18:N19"/>
    <mergeCell ref="O18:P19"/>
    <mergeCell ref="I20:J21"/>
    <mergeCell ref="K20:L21"/>
    <mergeCell ref="M20:N21"/>
    <mergeCell ref="O20:P21"/>
    <mergeCell ref="A37:G37"/>
    <mergeCell ref="A25:G25"/>
    <mergeCell ref="A49:G49"/>
    <mergeCell ref="A61:G61"/>
    <mergeCell ref="I22:J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71"/>
  <sheetViews>
    <sheetView rightToLeft="1" topLeftCell="E31" workbookViewId="0">
      <selection activeCell="U62" sqref="U62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25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72" t="s">
        <v>199</v>
      </c>
      <c r="B30" s="373"/>
      <c r="C30" s="373"/>
      <c r="D30" s="374"/>
      <c r="I30" s="17"/>
    </row>
    <row r="31" spans="1:9" x14ac:dyDescent="0.25">
      <c r="A31" s="214" t="s">
        <v>200</v>
      </c>
      <c r="B31" s="12"/>
      <c r="C31" s="12"/>
      <c r="D31" s="215">
        <v>186</v>
      </c>
      <c r="I31" s="17"/>
    </row>
    <row r="32" spans="1:9" x14ac:dyDescent="0.25">
      <c r="A32" s="18" t="s">
        <v>201</v>
      </c>
      <c r="D32" s="216">
        <v>160</v>
      </c>
      <c r="I32" s="17"/>
    </row>
    <row r="33" spans="1:25" ht="14.4" thickBot="1" x14ac:dyDescent="0.3">
      <c r="A33" s="101" t="s">
        <v>202</v>
      </c>
      <c r="B33" s="103"/>
      <c r="C33" s="103"/>
      <c r="D33" s="217">
        <f>D31-D32</f>
        <v>26</v>
      </c>
      <c r="I33" s="17"/>
    </row>
    <row r="34" spans="1:25" x14ac:dyDescent="0.25">
      <c r="A34" s="10" t="s">
        <v>203</v>
      </c>
      <c r="B34" s="12"/>
      <c r="C34" s="12"/>
      <c r="D34" s="215">
        <v>240</v>
      </c>
      <c r="I34" s="17"/>
    </row>
    <row r="35" spans="1:25" x14ac:dyDescent="0.25">
      <c r="A35" s="18" t="s">
        <v>201</v>
      </c>
      <c r="D35" s="216">
        <v>160</v>
      </c>
      <c r="I35" s="17"/>
    </row>
    <row r="36" spans="1:25" ht="14.4" thickBot="1" x14ac:dyDescent="0.3">
      <c r="A36" s="101" t="s">
        <v>202</v>
      </c>
      <c r="B36" s="103"/>
      <c r="C36" s="103"/>
      <c r="D36" s="217">
        <f>D34-D35</f>
        <v>80</v>
      </c>
      <c r="I36" s="17"/>
    </row>
    <row r="37" spans="1:25" ht="14.4" thickBot="1" x14ac:dyDescent="0.3">
      <c r="A37" s="18"/>
      <c r="D37" s="216"/>
      <c r="I37" s="17"/>
    </row>
    <row r="38" spans="1:25" ht="14.4" thickBot="1" x14ac:dyDescent="0.3">
      <c r="A38" s="218" t="s">
        <v>204</v>
      </c>
      <c r="B38" s="219"/>
      <c r="C38" s="219"/>
      <c r="D38" s="220">
        <f>D36+D33</f>
        <v>106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205</v>
      </c>
      <c r="D41" s="17">
        <f>D14+D28-D38</f>
        <v>1011.05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160</v>
      </c>
      <c r="O46" s="221" t="s">
        <v>217</v>
      </c>
      <c r="P46" s="222" t="s">
        <v>218</v>
      </c>
      <c r="Q46" s="222" t="s">
        <v>219</v>
      </c>
      <c r="R46" s="222" t="s">
        <v>220</v>
      </c>
      <c r="S46" s="223" t="s">
        <v>221</v>
      </c>
      <c r="T46" s="221" t="s">
        <v>222</v>
      </c>
      <c r="U46" s="224" t="s">
        <v>223</v>
      </c>
      <c r="V46" s="221" t="s">
        <v>224</v>
      </c>
      <c r="W46" s="224" t="s">
        <v>225</v>
      </c>
      <c r="X46" s="221" t="s">
        <v>224</v>
      </c>
      <c r="Y46" s="224" t="s">
        <v>213</v>
      </c>
    </row>
    <row r="47" spans="1:25" x14ac:dyDescent="0.25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75" t="s">
        <v>226</v>
      </c>
      <c r="P47" s="225" t="s">
        <v>14</v>
      </c>
      <c r="Q47" s="225">
        <v>300</v>
      </c>
      <c r="R47" s="225">
        <v>160</v>
      </c>
      <c r="S47" s="226">
        <f>Q47-R47</f>
        <v>140</v>
      </c>
      <c r="T47" s="227">
        <v>3000</v>
      </c>
      <c r="U47" s="228">
        <f>S47*T47</f>
        <v>420000</v>
      </c>
      <c r="V47" s="227">
        <v>0</v>
      </c>
      <c r="W47" s="228">
        <f>S47*V47</f>
        <v>0</v>
      </c>
      <c r="X47" s="229">
        <v>0</v>
      </c>
      <c r="Y47" s="228">
        <v>0</v>
      </c>
    </row>
    <row r="48" spans="1:25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77"/>
      <c r="P48" s="230" t="s">
        <v>15</v>
      </c>
      <c r="Q48" s="230">
        <v>197</v>
      </c>
      <c r="R48" s="230">
        <v>160</v>
      </c>
      <c r="S48" s="231">
        <f>Q48-R48</f>
        <v>37</v>
      </c>
      <c r="T48" s="232">
        <v>3000</v>
      </c>
      <c r="U48" s="233">
        <f>S48*T48</f>
        <v>111000</v>
      </c>
      <c r="V48" s="232">
        <v>0</v>
      </c>
      <c r="W48" s="233">
        <v>0</v>
      </c>
      <c r="X48" s="234">
        <v>0</v>
      </c>
      <c r="Y48" s="233">
        <v>0</v>
      </c>
    </row>
    <row r="49" spans="1:25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77"/>
      <c r="P49" s="230" t="s">
        <v>227</v>
      </c>
      <c r="Q49" s="230">
        <v>130</v>
      </c>
      <c r="R49" s="230">
        <v>0</v>
      </c>
      <c r="S49" s="231">
        <f>Q49-R49</f>
        <v>130</v>
      </c>
      <c r="T49" s="232">
        <v>3000</v>
      </c>
      <c r="U49" s="233">
        <f>S49*T49</f>
        <v>390000</v>
      </c>
      <c r="V49" s="232">
        <v>0</v>
      </c>
      <c r="W49" s="233">
        <v>0</v>
      </c>
      <c r="X49" s="234">
        <v>0</v>
      </c>
      <c r="Y49" s="233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8200</v>
      </c>
      <c r="K50" s="17">
        <f>I50*J50</f>
        <v>1701500</v>
      </c>
      <c r="L50" s="110">
        <v>0.29249999999999998</v>
      </c>
      <c r="M50" s="91">
        <f>K50*L50</f>
        <v>497688.74999999994</v>
      </c>
      <c r="O50" s="377"/>
      <c r="P50" s="235" t="s">
        <v>228</v>
      </c>
      <c r="Q50" s="235">
        <v>55</v>
      </c>
      <c r="R50" s="235">
        <v>0</v>
      </c>
      <c r="S50" s="236">
        <f>Q50-R50</f>
        <v>55</v>
      </c>
      <c r="T50" s="237">
        <v>3000</v>
      </c>
      <c r="U50" s="238">
        <f>S50*T50</f>
        <v>165000</v>
      </c>
      <c r="V50" s="237">
        <v>0</v>
      </c>
      <c r="W50" s="238">
        <v>0</v>
      </c>
      <c r="X50" s="239">
        <v>0</v>
      </c>
      <c r="Y50" s="238">
        <v>0</v>
      </c>
    </row>
    <row r="51" spans="1:25" ht="15" thickTop="1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8200</v>
      </c>
      <c r="K51" s="17">
        <f>I51*J51</f>
        <v>650260.00000000012</v>
      </c>
      <c r="L51" s="110">
        <v>0.33</v>
      </c>
      <c r="M51" s="91">
        <f>K51*L51</f>
        <v>214585.80000000005</v>
      </c>
      <c r="O51" s="376"/>
      <c r="P51" s="378" t="s">
        <v>8</v>
      </c>
      <c r="Q51" s="379"/>
      <c r="R51" s="380"/>
      <c r="S51" s="240">
        <f>SUM(S47:S50)</f>
        <v>362</v>
      </c>
      <c r="T51" s="241">
        <v>3000</v>
      </c>
      <c r="U51" s="242">
        <f>SUM(U47:U50)</f>
        <v>1086000</v>
      </c>
      <c r="V51" s="241">
        <v>0</v>
      </c>
      <c r="W51" s="242">
        <v>0</v>
      </c>
      <c r="X51" s="243">
        <v>0</v>
      </c>
      <c r="Y51" s="242">
        <v>0</v>
      </c>
    </row>
    <row r="52" spans="1:25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712274.55</v>
      </c>
      <c r="O52" s="356" t="s">
        <v>229</v>
      </c>
      <c r="P52" s="225" t="s">
        <v>229</v>
      </c>
      <c r="Q52" s="244">
        <v>3.7499999999999999E-2</v>
      </c>
      <c r="R52" s="245"/>
      <c r="S52" s="226">
        <v>375</v>
      </c>
      <c r="T52" s="246">
        <v>240000</v>
      </c>
      <c r="U52" s="247">
        <f>T52</f>
        <v>240000</v>
      </c>
      <c r="V52" s="246">
        <v>0</v>
      </c>
      <c r="W52" s="247">
        <v>0</v>
      </c>
      <c r="X52" s="248">
        <v>0.06</v>
      </c>
      <c r="Y52" s="247">
        <f>U52*6%</f>
        <v>14400</v>
      </c>
    </row>
    <row r="53" spans="1:25" ht="14.4" thickBot="1" x14ac:dyDescent="0.3">
      <c r="A53" s="100" t="s">
        <v>26</v>
      </c>
      <c r="B53" s="71"/>
      <c r="C53" s="28">
        <v>0.5</v>
      </c>
      <c r="D53" s="29">
        <f t="shared" si="1"/>
        <v>0</v>
      </c>
      <c r="O53" s="345"/>
      <c r="P53" s="249" t="s">
        <v>230</v>
      </c>
      <c r="Q53" s="249"/>
      <c r="R53" s="249"/>
      <c r="S53" s="250">
        <f>SUM(S51:S52)</f>
        <v>737</v>
      </c>
      <c r="T53" s="251"/>
      <c r="U53" s="252"/>
      <c r="V53" s="251"/>
      <c r="W53" s="252"/>
      <c r="X53" s="253"/>
      <c r="Y53" s="252">
        <v>0</v>
      </c>
    </row>
    <row r="54" spans="1:25" x14ac:dyDescent="0.25">
      <c r="A54" s="22" t="s">
        <v>27</v>
      </c>
      <c r="B54" s="23">
        <f>SUM(B48:B53)-B49</f>
        <v>273</v>
      </c>
      <c r="C54" s="24"/>
      <c r="D54" s="25"/>
      <c r="O54" s="375" t="s">
        <v>173</v>
      </c>
      <c r="P54" s="225" t="s">
        <v>231</v>
      </c>
      <c r="Q54" s="254"/>
      <c r="R54" s="245"/>
      <c r="S54" s="226">
        <v>-160</v>
      </c>
      <c r="T54" s="227">
        <v>950000</v>
      </c>
      <c r="U54" s="228">
        <f>T54</f>
        <v>950000</v>
      </c>
      <c r="V54" s="227">
        <v>450000</v>
      </c>
      <c r="W54" s="228">
        <f>V54</f>
        <v>450000</v>
      </c>
      <c r="X54" s="229">
        <v>0.06</v>
      </c>
      <c r="Y54" s="228">
        <f>U54*6%</f>
        <v>57000</v>
      </c>
    </row>
    <row r="55" spans="1:25" ht="14.4" thickBot="1" x14ac:dyDescent="0.3">
      <c r="A55" s="18" t="s">
        <v>28</v>
      </c>
      <c r="B55" s="19">
        <f>B47-B54</f>
        <v>77</v>
      </c>
      <c r="C55" s="20"/>
      <c r="D55" s="21"/>
      <c r="O55" s="376"/>
      <c r="P55" s="249" t="s">
        <v>232</v>
      </c>
      <c r="Q55" s="249"/>
      <c r="R55" s="249"/>
      <c r="S55" s="250">
        <f>SUM(S53:S54)</f>
        <v>577</v>
      </c>
      <c r="T55" s="251"/>
      <c r="U55" s="252"/>
      <c r="V55" s="251"/>
      <c r="W55" s="252"/>
      <c r="X55" s="253"/>
      <c r="Y55" s="252"/>
    </row>
    <row r="56" spans="1:25" x14ac:dyDescent="0.25">
      <c r="A56" s="26" t="s">
        <v>29</v>
      </c>
      <c r="B56" s="105">
        <v>80</v>
      </c>
      <c r="C56" s="106">
        <v>0.25</v>
      </c>
      <c r="D56" s="107">
        <f>B56*C56</f>
        <v>20</v>
      </c>
      <c r="O56" s="375" t="s">
        <v>233</v>
      </c>
      <c r="P56" s="225" t="s">
        <v>234</v>
      </c>
      <c r="Q56" s="225"/>
      <c r="R56" s="225"/>
      <c r="S56" s="226">
        <f>-Q48-Q49-Q50</f>
        <v>-382</v>
      </c>
      <c r="T56" s="227"/>
      <c r="U56" s="228"/>
      <c r="V56" s="227"/>
      <c r="W56" s="228">
        <v>0</v>
      </c>
      <c r="X56" s="229">
        <v>0</v>
      </c>
      <c r="Y56" s="228">
        <v>0</v>
      </c>
    </row>
    <row r="57" spans="1:25" ht="14.4" thickBot="1" x14ac:dyDescent="0.3">
      <c r="A57" s="101" t="s">
        <v>31</v>
      </c>
      <c r="B57" s="102"/>
      <c r="C57" s="103"/>
      <c r="D57" s="104">
        <f>SUM(D48:D56)</f>
        <v>286.8</v>
      </c>
      <c r="F57" s="91"/>
      <c r="O57" s="376"/>
      <c r="P57" s="249" t="s">
        <v>235</v>
      </c>
      <c r="Q57" s="249"/>
      <c r="R57" s="249"/>
      <c r="S57" s="250">
        <f>SUM(S55:S56)</f>
        <v>195</v>
      </c>
      <c r="T57" s="251">
        <v>0</v>
      </c>
      <c r="U57" s="252">
        <v>0</v>
      </c>
      <c r="V57" s="251"/>
      <c r="W57" s="252">
        <v>0</v>
      </c>
      <c r="X57" s="253">
        <v>0</v>
      </c>
      <c r="Y57" s="252">
        <v>0</v>
      </c>
    </row>
    <row r="58" spans="1:25" ht="14.4" thickBot="1" x14ac:dyDescent="0.3">
      <c r="A58" s="18" t="s">
        <v>75</v>
      </c>
      <c r="B58" s="19"/>
      <c r="D58" s="91">
        <v>100000</v>
      </c>
      <c r="T58" s="218" t="s">
        <v>223</v>
      </c>
      <c r="U58" s="255">
        <f>SUM(U51:U57)</f>
        <v>2276000</v>
      </c>
      <c r="V58" s="219" t="s">
        <v>236</v>
      </c>
      <c r="W58" s="255">
        <f>SUM(W47:W57)</f>
        <v>450000</v>
      </c>
      <c r="X58" s="219" t="s">
        <v>237</v>
      </c>
      <c r="Y58" s="256">
        <f>SUM(Y51:Y57)</f>
        <v>71400</v>
      </c>
    </row>
    <row r="60" spans="1:25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A2:H14"/>
  <sheetViews>
    <sheetView rightToLeft="1" tabSelected="1" workbookViewId="0">
      <selection activeCell="A3" sqref="A3:H14"/>
    </sheetView>
  </sheetViews>
  <sheetFormatPr defaultRowHeight="13.8" x14ac:dyDescent="0.25"/>
  <cols>
    <col min="2" max="2" width="14.3984375" customWidth="1"/>
    <col min="3" max="3" width="13.09765625" customWidth="1"/>
    <col min="5" max="5" width="11.69921875" bestFit="1" customWidth="1"/>
    <col min="6" max="7" width="10.59765625" customWidth="1"/>
    <col min="8" max="8" width="14.69921875" customWidth="1"/>
    <col min="9" max="9" width="9.296875" customWidth="1"/>
    <col min="10" max="10" width="10.5" bestFit="1" customWidth="1"/>
    <col min="11" max="11" width="11" customWidth="1"/>
  </cols>
  <sheetData>
    <row r="2" spans="1:8" ht="14.4" thickBot="1" x14ac:dyDescent="0.3"/>
    <row r="3" spans="1:8" ht="14.4" thickBot="1" x14ac:dyDescent="0.3">
      <c r="A3" s="340" t="s">
        <v>304</v>
      </c>
      <c r="B3" s="341"/>
      <c r="C3" s="341"/>
      <c r="D3" s="341"/>
      <c r="E3" s="341"/>
      <c r="F3" s="341"/>
      <c r="G3" s="341"/>
      <c r="H3" s="342"/>
    </row>
    <row r="4" spans="1:8" x14ac:dyDescent="0.25">
      <c r="A4" s="313" t="s">
        <v>238</v>
      </c>
      <c r="B4" s="314" t="s">
        <v>283</v>
      </c>
      <c r="C4" s="315" t="s">
        <v>294</v>
      </c>
      <c r="D4" s="315" t="s">
        <v>284</v>
      </c>
      <c r="E4" s="314" t="s">
        <v>193</v>
      </c>
      <c r="F4" s="314" t="s">
        <v>225</v>
      </c>
      <c r="G4" s="314" t="s">
        <v>292</v>
      </c>
      <c r="H4" s="316" t="s">
        <v>49</v>
      </c>
    </row>
    <row r="5" spans="1:8" x14ac:dyDescent="0.25">
      <c r="A5" s="287">
        <v>1</v>
      </c>
      <c r="B5" s="307"/>
      <c r="C5" s="308"/>
      <c r="D5" s="296"/>
      <c r="E5" s="259"/>
      <c r="F5" s="259"/>
      <c r="G5" s="259">
        <f>SUM(E5:F5)</f>
        <v>0</v>
      </c>
      <c r="H5" s="288"/>
    </row>
    <row r="6" spans="1:8" x14ac:dyDescent="0.25">
      <c r="A6" s="287">
        <v>2</v>
      </c>
      <c r="B6" s="309"/>
      <c r="C6" s="308"/>
      <c r="D6" s="300"/>
      <c r="E6" s="292"/>
      <c r="F6" s="292"/>
      <c r="G6" s="259">
        <f t="shared" ref="G6:G10" si="0">SUM(E6:F6)</f>
        <v>0</v>
      </c>
      <c r="H6" s="317"/>
    </row>
    <row r="7" spans="1:8" x14ac:dyDescent="0.25">
      <c r="A7" s="287">
        <v>3</v>
      </c>
      <c r="B7" s="309"/>
      <c r="C7" s="310"/>
      <c r="D7" s="300"/>
      <c r="E7" s="292"/>
      <c r="F7" s="292"/>
      <c r="G7" s="259">
        <f t="shared" si="0"/>
        <v>0</v>
      </c>
      <c r="H7" s="317"/>
    </row>
    <row r="8" spans="1:8" x14ac:dyDescent="0.25">
      <c r="A8" s="287">
        <v>4</v>
      </c>
      <c r="B8" s="309"/>
      <c r="C8" s="310"/>
      <c r="D8" s="300"/>
      <c r="E8" s="292"/>
      <c r="F8" s="292"/>
      <c r="G8" s="259">
        <f t="shared" si="0"/>
        <v>0</v>
      </c>
      <c r="H8" s="317"/>
    </row>
    <row r="9" spans="1:8" x14ac:dyDescent="0.25">
      <c r="A9" s="287">
        <v>5</v>
      </c>
      <c r="B9" s="309"/>
      <c r="C9" s="310"/>
      <c r="D9" s="300"/>
      <c r="E9" s="292"/>
      <c r="F9" s="292"/>
      <c r="G9" s="259">
        <f t="shared" si="0"/>
        <v>0</v>
      </c>
      <c r="H9" s="317"/>
    </row>
    <row r="10" spans="1:8" ht="14.4" thickBot="1" x14ac:dyDescent="0.3">
      <c r="A10" s="289">
        <v>6</v>
      </c>
      <c r="B10" s="318"/>
      <c r="C10" s="319"/>
      <c r="D10" s="320"/>
      <c r="E10" s="321"/>
      <c r="F10" s="321"/>
      <c r="G10" s="323">
        <f t="shared" si="0"/>
        <v>0</v>
      </c>
      <c r="H10" s="322"/>
    </row>
    <row r="11" spans="1:8" ht="14.4" thickBot="1" x14ac:dyDescent="0.3">
      <c r="A11" s="337" t="s">
        <v>305</v>
      </c>
      <c r="B11" s="338"/>
      <c r="C11" s="338"/>
      <c r="D11" s="339"/>
      <c r="E11" s="327">
        <f>SUM(E5:E10)</f>
        <v>0</v>
      </c>
      <c r="F11" s="328">
        <f t="shared" ref="F11" si="1">SUM(F5:F10)</f>
        <v>0</v>
      </c>
      <c r="G11" s="329">
        <f>SUM(G5:G10)</f>
        <v>0</v>
      </c>
      <c r="H11" s="330">
        <f>SUM(H5:H10)</f>
        <v>0</v>
      </c>
    </row>
    <row r="12" spans="1:8" x14ac:dyDescent="0.25">
      <c r="A12" s="311"/>
      <c r="B12" s="312"/>
      <c r="C12" s="312"/>
      <c r="F12" s="331" t="s">
        <v>229</v>
      </c>
      <c r="G12" s="332"/>
      <c r="H12" s="333"/>
    </row>
    <row r="13" spans="1:8" ht="14.4" thickBot="1" x14ac:dyDescent="0.3">
      <c r="A13" s="290"/>
      <c r="E13" s="301"/>
      <c r="F13" s="334" t="s">
        <v>126</v>
      </c>
      <c r="G13" s="335"/>
      <c r="H13" s="336"/>
    </row>
    <row r="14" spans="1:8" ht="14.4" thickBot="1" x14ac:dyDescent="0.3">
      <c r="F14" s="324" t="s">
        <v>306</v>
      </c>
      <c r="G14" s="325">
        <f>SUM(E13:H13)</f>
        <v>0</v>
      </c>
      <c r="H14" s="326">
        <f>SUM(H5:H12)</f>
        <v>0</v>
      </c>
    </row>
  </sheetData>
  <mergeCells count="2">
    <mergeCell ref="A11:D11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Q56"/>
  <sheetViews>
    <sheetView rightToLeft="1" topLeftCell="A6" zoomScale="130" zoomScaleNormal="130" workbookViewId="0">
      <selection activeCell="H25" sqref="H25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1.09765625" style="17" bestFit="1" customWidth="1"/>
    <col min="6" max="6" width="12.19921875" style="17" bestFit="1" customWidth="1"/>
    <col min="7" max="7" width="10" bestFit="1" customWidth="1"/>
    <col min="8" max="8" width="14.59765625" bestFit="1" customWidth="1"/>
    <col min="9" max="9" width="12.09765625" bestFit="1" customWidth="1"/>
    <col min="10" max="10" width="14.59765625" bestFit="1" customWidth="1"/>
    <col min="14" max="14" width="12.19921875" bestFit="1" customWidth="1"/>
    <col min="15" max="15" width="9.19921875" bestFit="1" customWidth="1"/>
    <col min="17" max="17" width="12.19921875" bestFit="1" customWidth="1"/>
  </cols>
  <sheetData>
    <row r="2" spans="2:17" ht="15.6" x14ac:dyDescent="0.4">
      <c r="B2" s="39" t="s">
        <v>156</v>
      </c>
      <c r="C2" s="39"/>
      <c r="D2" s="131"/>
    </row>
    <row r="3" spans="2:17" x14ac:dyDescent="0.25">
      <c r="B3" t="s">
        <v>95</v>
      </c>
      <c r="C3" s="149"/>
      <c r="D3" s="149"/>
      <c r="G3" s="190"/>
      <c r="H3" s="149"/>
      <c r="I3" s="150"/>
      <c r="J3" s="150"/>
    </row>
    <row r="4" spans="2:17" x14ac:dyDescent="0.25">
      <c r="B4" t="s">
        <v>131</v>
      </c>
      <c r="C4" s="187"/>
      <c r="D4" s="38"/>
      <c r="G4" s="190"/>
      <c r="J4" s="150"/>
    </row>
    <row r="5" spans="2:17" x14ac:dyDescent="0.25">
      <c r="B5" t="s">
        <v>132</v>
      </c>
    </row>
    <row r="6" spans="2:17" x14ac:dyDescent="0.25">
      <c r="B6" t="s">
        <v>133</v>
      </c>
      <c r="C6" s="150"/>
      <c r="D6" s="149"/>
    </row>
    <row r="7" spans="2:17" x14ac:dyDescent="0.25">
      <c r="B7" t="s">
        <v>147</v>
      </c>
      <c r="C7" s="150">
        <f>F36</f>
        <v>8200</v>
      </c>
    </row>
    <row r="8" spans="2:17" x14ac:dyDescent="0.25">
      <c r="C8" s="150"/>
    </row>
    <row r="9" spans="2:17" x14ac:dyDescent="0.25">
      <c r="B9" s="39" t="s">
        <v>134</v>
      </c>
      <c r="C9" s="151"/>
    </row>
    <row r="10" spans="2:17" ht="27.6" x14ac:dyDescent="0.4">
      <c r="B10" s="39" t="s">
        <v>136</v>
      </c>
      <c r="C10" s="39" t="s">
        <v>135</v>
      </c>
      <c r="D10" s="131" t="s">
        <v>137</v>
      </c>
      <c r="E10" s="131" t="s">
        <v>138</v>
      </c>
      <c r="F10" s="131" t="s">
        <v>139</v>
      </c>
      <c r="G10" s="131" t="s">
        <v>140</v>
      </c>
      <c r="H10" s="189" t="s">
        <v>141</v>
      </c>
      <c r="I10" s="131" t="s">
        <v>142</v>
      </c>
      <c r="J10" s="131" t="s">
        <v>143</v>
      </c>
      <c r="K10" s="131" t="s">
        <v>144</v>
      </c>
      <c r="L10" s="131" t="s">
        <v>145</v>
      </c>
      <c r="M10" s="131" t="s">
        <v>146</v>
      </c>
    </row>
    <row r="11" spans="2:17" x14ac:dyDescent="0.25">
      <c r="B11" s="188"/>
    </row>
    <row r="13" spans="2:17" x14ac:dyDescent="0.25">
      <c r="C13" s="150"/>
    </row>
    <row r="14" spans="2:17" x14ac:dyDescent="0.25">
      <c r="D14"/>
      <c r="E14"/>
      <c r="F14"/>
    </row>
    <row r="15" spans="2:17" ht="14.4" thickBot="1" x14ac:dyDescent="0.3">
      <c r="B15" s="39"/>
      <c r="D15"/>
      <c r="E15"/>
      <c r="F15"/>
    </row>
    <row r="16" spans="2:17" ht="40.200000000000003" thickBot="1" x14ac:dyDescent="0.3">
      <c r="C16" s="265" t="s">
        <v>246</v>
      </c>
      <c r="D16" s="265" t="s">
        <v>247</v>
      </c>
      <c r="E16" s="265" t="s">
        <v>248</v>
      </c>
      <c r="F16" s="265" t="s">
        <v>249</v>
      </c>
      <c r="G16" s="265" t="s">
        <v>250</v>
      </c>
      <c r="H16" s="265" t="s">
        <v>251</v>
      </c>
      <c r="I16" s="265" t="s">
        <v>252</v>
      </c>
      <c r="J16" s="265" t="s">
        <v>140</v>
      </c>
      <c r="K16" s="265" t="s">
        <v>253</v>
      </c>
      <c r="L16" s="266" t="s">
        <v>254</v>
      </c>
      <c r="M16" s="267" t="s">
        <v>255</v>
      </c>
      <c r="N16" s="268" t="s">
        <v>8</v>
      </c>
      <c r="O16" s="269" t="s">
        <v>256</v>
      </c>
      <c r="P16" s="270" t="s">
        <v>257</v>
      </c>
      <c r="Q16" s="270" t="s">
        <v>258</v>
      </c>
    </row>
    <row r="17" spans="3:17" ht="27" thickBot="1" x14ac:dyDescent="0.3">
      <c r="C17" s="271" t="s">
        <v>259</v>
      </c>
      <c r="D17" s="272">
        <v>45074</v>
      </c>
      <c r="E17" s="273">
        <v>4000000</v>
      </c>
      <c r="F17" s="274">
        <f>E17/1.05</f>
        <v>3809523.8095238092</v>
      </c>
      <c r="G17" s="271" t="s">
        <v>260</v>
      </c>
      <c r="H17" s="271">
        <v>1</v>
      </c>
      <c r="I17" s="271" t="s">
        <v>261</v>
      </c>
      <c r="J17" s="271">
        <v>2005</v>
      </c>
      <c r="K17" s="271">
        <v>220</v>
      </c>
      <c r="L17" s="275">
        <v>514</v>
      </c>
      <c r="M17" s="276">
        <v>7000</v>
      </c>
      <c r="N17" s="277">
        <f>M17*K17</f>
        <v>1540000</v>
      </c>
      <c r="O17" s="278">
        <f>F17-N17</f>
        <v>2269523.8095238092</v>
      </c>
      <c r="P17" s="279">
        <f>1.07^3</f>
        <v>1.2250430000000001</v>
      </c>
      <c r="Q17" s="277">
        <f>P17*O17</f>
        <v>2780264.256190476</v>
      </c>
    </row>
    <row r="18" spans="3:17" x14ac:dyDescent="0.25">
      <c r="D18"/>
      <c r="E18"/>
      <c r="F18"/>
    </row>
    <row r="19" spans="3:17" x14ac:dyDescent="0.25">
      <c r="C19" s="280"/>
      <c r="D19"/>
      <c r="E19"/>
      <c r="F19"/>
    </row>
    <row r="20" spans="3:17" x14ac:dyDescent="0.25">
      <c r="C20" s="385"/>
      <c r="D20" s="386"/>
      <c r="E20" s="386"/>
      <c r="F20" s="386"/>
      <c r="G20" s="386"/>
      <c r="H20" s="386"/>
      <c r="I20" s="386"/>
      <c r="J20" s="386"/>
      <c r="K20" s="386"/>
      <c r="L20" s="386"/>
    </row>
    <row r="21" spans="3:17" ht="14.4" thickBot="1" x14ac:dyDescent="0.3">
      <c r="C21" s="281"/>
      <c r="D21"/>
      <c r="E21"/>
      <c r="F21"/>
    </row>
    <row r="22" spans="3:17" x14ac:dyDescent="0.25">
      <c r="C22" s="387" t="s">
        <v>262</v>
      </c>
      <c r="D22" s="388"/>
      <c r="E22" s="388"/>
      <c r="F22" s="388"/>
      <c r="G22" s="13" t="s">
        <v>138</v>
      </c>
    </row>
    <row r="23" spans="3:17" x14ac:dyDescent="0.25">
      <c r="C23" s="282" t="s">
        <v>250</v>
      </c>
      <c r="D23" t="s">
        <v>253</v>
      </c>
      <c r="E23" t="s">
        <v>21</v>
      </c>
      <c r="F23" t="s">
        <v>8</v>
      </c>
      <c r="G23" s="21">
        <f>L17</f>
        <v>514</v>
      </c>
    </row>
    <row r="24" spans="3:17" x14ac:dyDescent="0.25">
      <c r="C24" s="18" t="s">
        <v>55</v>
      </c>
      <c r="D24">
        <v>200</v>
      </c>
      <c r="E24">
        <v>1</v>
      </c>
      <c r="F24">
        <f>D24*E24</f>
        <v>200</v>
      </c>
      <c r="G24" s="21"/>
    </row>
    <row r="25" spans="3:17" x14ac:dyDescent="0.25">
      <c r="C25" s="18" t="s">
        <v>68</v>
      </c>
      <c r="D25">
        <v>7</v>
      </c>
      <c r="E25">
        <v>0.9</v>
      </c>
      <c r="F25">
        <f t="shared" ref="F25:F29" si="0">D25*E25</f>
        <v>6.3</v>
      </c>
      <c r="G25" s="21"/>
    </row>
    <row r="26" spans="3:17" x14ac:dyDescent="0.25">
      <c r="C26" s="18" t="s">
        <v>97</v>
      </c>
      <c r="D26">
        <v>30</v>
      </c>
      <c r="E26">
        <v>0.5</v>
      </c>
      <c r="F26">
        <f t="shared" si="0"/>
        <v>15</v>
      </c>
      <c r="G26" s="21"/>
    </row>
    <row r="27" spans="3:17" x14ac:dyDescent="0.25">
      <c r="C27" s="18" t="s">
        <v>263</v>
      </c>
      <c r="D27">
        <v>50</v>
      </c>
      <c r="E27">
        <v>0.4</v>
      </c>
      <c r="F27">
        <f t="shared" si="0"/>
        <v>20</v>
      </c>
      <c r="G27" s="21"/>
    </row>
    <row r="28" spans="3:17" x14ac:dyDescent="0.25">
      <c r="C28" s="18" t="s">
        <v>264</v>
      </c>
      <c r="D28">
        <f>G23*42%</f>
        <v>215.88</v>
      </c>
      <c r="E28"/>
      <c r="F28">
        <f t="shared" si="0"/>
        <v>0</v>
      </c>
      <c r="G28" s="21"/>
    </row>
    <row r="29" spans="3:17" x14ac:dyDescent="0.25">
      <c r="C29" s="18" t="s">
        <v>53</v>
      </c>
      <c r="D29">
        <f>G23-D28</f>
        <v>298.12</v>
      </c>
      <c r="E29">
        <v>0.25</v>
      </c>
      <c r="F29">
        <f t="shared" si="0"/>
        <v>74.53</v>
      </c>
      <c r="G29" s="21"/>
    </row>
    <row r="30" spans="3:17" x14ac:dyDescent="0.25">
      <c r="C30" s="381" t="s">
        <v>265</v>
      </c>
      <c r="D30" s="382"/>
      <c r="E30" s="382"/>
      <c r="F30">
        <f>SUM(F24:F29)</f>
        <v>315.83000000000004</v>
      </c>
      <c r="G30" s="21"/>
    </row>
    <row r="31" spans="3:17" x14ac:dyDescent="0.25">
      <c r="C31" s="381" t="s">
        <v>266</v>
      </c>
      <c r="D31" s="382"/>
      <c r="E31" s="382"/>
      <c r="F31" s="150">
        <f>Q17</f>
        <v>2780264.256190476</v>
      </c>
      <c r="G31" s="21"/>
    </row>
    <row r="32" spans="3:17" x14ac:dyDescent="0.25">
      <c r="C32" s="381" t="s">
        <v>267</v>
      </c>
      <c r="D32" s="382"/>
      <c r="E32" s="382"/>
      <c r="F32" s="151">
        <f>F31/F30</f>
        <v>8803.0404210824672</v>
      </c>
      <c r="G32" s="21"/>
    </row>
    <row r="33" spans="3:7" x14ac:dyDescent="0.25">
      <c r="C33" s="381" t="s">
        <v>268</v>
      </c>
      <c r="D33" s="382"/>
      <c r="E33" s="382"/>
      <c r="F33" s="151">
        <f>F32/0.97</f>
        <v>9075.2994031778017</v>
      </c>
      <c r="G33" s="21"/>
    </row>
    <row r="34" spans="3:7" x14ac:dyDescent="0.25">
      <c r="C34" s="381" t="s">
        <v>269</v>
      </c>
      <c r="D34" s="382"/>
      <c r="E34" s="382"/>
      <c r="F34">
        <v>0.9</v>
      </c>
      <c r="G34" s="21"/>
    </row>
    <row r="35" spans="3:7" x14ac:dyDescent="0.25">
      <c r="C35" s="381" t="s">
        <v>270</v>
      </c>
      <c r="D35" s="382"/>
      <c r="E35" s="382"/>
      <c r="F35" s="150">
        <f>F34*F33</f>
        <v>8167.769462860022</v>
      </c>
      <c r="G35" s="21"/>
    </row>
    <row r="36" spans="3:7" ht="14.4" thickBot="1" x14ac:dyDescent="0.3">
      <c r="C36" s="383" t="s">
        <v>271</v>
      </c>
      <c r="D36" s="384"/>
      <c r="E36" s="384"/>
      <c r="F36" s="283">
        <v>8200</v>
      </c>
      <c r="G36" s="284"/>
    </row>
    <row r="37" spans="3:7" x14ac:dyDescent="0.25">
      <c r="D37"/>
      <c r="G37" s="17"/>
    </row>
    <row r="38" spans="3:7" x14ac:dyDescent="0.25">
      <c r="D38"/>
      <c r="G38" s="17"/>
    </row>
    <row r="39" spans="3:7" x14ac:dyDescent="0.25">
      <c r="D39"/>
      <c r="G39" s="17"/>
    </row>
    <row r="40" spans="3:7" x14ac:dyDescent="0.25">
      <c r="D40"/>
      <c r="G40" s="17"/>
    </row>
    <row r="41" spans="3:7" x14ac:dyDescent="0.25">
      <c r="D41"/>
      <c r="G41" s="17"/>
    </row>
    <row r="42" spans="3:7" x14ac:dyDescent="0.25">
      <c r="D42"/>
      <c r="G42" s="17"/>
    </row>
    <row r="43" spans="3:7" x14ac:dyDescent="0.25">
      <c r="D43"/>
      <c r="G43" s="17"/>
    </row>
    <row r="44" spans="3:7" x14ac:dyDescent="0.25">
      <c r="D44"/>
      <c r="G44" s="17"/>
    </row>
    <row r="45" spans="3:7" x14ac:dyDescent="0.25">
      <c r="D45"/>
      <c r="G45" s="17"/>
    </row>
    <row r="46" spans="3:7" x14ac:dyDescent="0.25">
      <c r="D46"/>
      <c r="G46" s="17"/>
    </row>
    <row r="47" spans="3:7" x14ac:dyDescent="0.25">
      <c r="D47"/>
      <c r="G47" s="17"/>
    </row>
    <row r="48" spans="3:7" x14ac:dyDescent="0.25">
      <c r="D48"/>
      <c r="G48" s="17"/>
    </row>
    <row r="49" spans="4:7" x14ac:dyDescent="0.25">
      <c r="D49"/>
      <c r="G49" s="17"/>
    </row>
    <row r="50" spans="4:7" x14ac:dyDescent="0.25">
      <c r="D50"/>
      <c r="G50" s="17"/>
    </row>
    <row r="51" spans="4:7" x14ac:dyDescent="0.25">
      <c r="D51"/>
      <c r="G51" s="17"/>
    </row>
    <row r="52" spans="4:7" x14ac:dyDescent="0.25">
      <c r="D52"/>
      <c r="G52" s="17"/>
    </row>
    <row r="53" spans="4:7" x14ac:dyDescent="0.25">
      <c r="D53"/>
      <c r="G53" s="17"/>
    </row>
    <row r="54" spans="4:7" x14ac:dyDescent="0.25">
      <c r="D54"/>
      <c r="G54" s="17"/>
    </row>
    <row r="55" spans="4:7" x14ac:dyDescent="0.25">
      <c r="D55"/>
      <c r="G55" s="17"/>
    </row>
    <row r="56" spans="4:7" x14ac:dyDescent="0.25">
      <c r="D56"/>
      <c r="G56" s="17"/>
    </row>
  </sheetData>
  <mergeCells count="9">
    <mergeCell ref="C34:E34"/>
    <mergeCell ref="C35:E35"/>
    <mergeCell ref="C36:E36"/>
    <mergeCell ref="C20:L20"/>
    <mergeCell ref="C22:F22"/>
    <mergeCell ref="C30:E30"/>
    <mergeCell ref="C31:E31"/>
    <mergeCell ref="C32:E32"/>
    <mergeCell ref="C33:E3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topLeftCell="A2" zoomScale="130" zoomScaleNormal="130" workbookViewId="0">
      <selection activeCell="I5" sqref="I5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8" width="12.69921875" customWidth="1"/>
    <col min="9" max="9" width="13.39843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163</v>
      </c>
      <c r="C2" s="120" t="s">
        <v>164</v>
      </c>
      <c r="D2" s="92" t="s">
        <v>272</v>
      </c>
      <c r="E2" s="97" t="s">
        <v>273</v>
      </c>
      <c r="F2" s="92" t="s">
        <v>274</v>
      </c>
      <c r="G2" s="285" t="s">
        <v>275</v>
      </c>
      <c r="H2" s="47" t="s">
        <v>276</v>
      </c>
      <c r="I2" s="47" t="s">
        <v>277</v>
      </c>
      <c r="J2" s="286" t="s">
        <v>278</v>
      </c>
      <c r="K2" s="286" t="s">
        <v>279</v>
      </c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151</v>
      </c>
      <c r="B3" s="193"/>
      <c r="C3" s="121"/>
      <c r="D3" s="93">
        <v>103</v>
      </c>
      <c r="E3" s="144">
        <v>4</v>
      </c>
      <c r="F3" s="93">
        <f>15.5 +33+99+27.28</f>
        <v>174.78</v>
      </c>
      <c r="G3" s="64">
        <v>15</v>
      </c>
      <c r="H3" s="64">
        <v>105</v>
      </c>
      <c r="I3" s="64">
        <v>63</v>
      </c>
      <c r="J3" s="49">
        <v>448</v>
      </c>
      <c r="K3" s="49">
        <v>566</v>
      </c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94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/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148</v>
      </c>
      <c r="B6" s="193"/>
      <c r="C6" s="121"/>
      <c r="D6" s="93"/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149</v>
      </c>
      <c r="B7" s="193"/>
      <c r="C7" s="121"/>
      <c r="D7" s="93"/>
      <c r="E7" s="64"/>
      <c r="F7" s="93">
        <v>11</v>
      </c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150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18</v>
      </c>
      <c r="B9" s="194"/>
      <c r="C9" s="209"/>
      <c r="D9" s="95"/>
      <c r="E9" s="56"/>
      <c r="F9" s="94"/>
      <c r="G9" s="54"/>
      <c r="H9" s="54">
        <v>16</v>
      </c>
      <c r="I9" s="54">
        <v>4</v>
      </c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0</v>
      </c>
      <c r="E13" s="201">
        <f>SUM(E4:E12)</f>
        <v>0</v>
      </c>
      <c r="F13" s="201">
        <f>SUM(F3:F12)</f>
        <v>185.78</v>
      </c>
      <c r="G13" s="201">
        <f>SUM(G3:G12)</f>
        <v>15</v>
      </c>
      <c r="H13" s="202">
        <f t="shared" ref="H13" si="0">SUM(H3:H12)</f>
        <v>121</v>
      </c>
      <c r="I13" s="201">
        <f>SUM(I3:I12)</f>
        <v>67</v>
      </c>
      <c r="J13" s="202">
        <f t="shared" ref="J13:S13" si="1">SUM(J3:J12)</f>
        <v>448</v>
      </c>
      <c r="K13" s="202">
        <f t="shared" si="1"/>
        <v>566</v>
      </c>
      <c r="L13" s="202">
        <f t="shared" si="1"/>
        <v>0</v>
      </c>
      <c r="M13" s="202">
        <f t="shared" si="1"/>
        <v>0</v>
      </c>
      <c r="N13" s="203">
        <f t="shared" si="1"/>
        <v>0</v>
      </c>
      <c r="O13" s="203">
        <f t="shared" si="1"/>
        <v>0</v>
      </c>
      <c r="P13" s="203">
        <f t="shared" si="1"/>
        <v>0</v>
      </c>
      <c r="Q13" s="202">
        <f t="shared" si="1"/>
        <v>0</v>
      </c>
      <c r="R13" s="202">
        <f t="shared" si="1"/>
        <v>0</v>
      </c>
      <c r="S13" s="204">
        <f t="shared" si="1"/>
        <v>0</v>
      </c>
    </row>
    <row r="14" spans="1:19" ht="28.2" thickBot="1" x14ac:dyDescent="0.3">
      <c r="A14" s="126" t="s">
        <v>37</v>
      </c>
      <c r="B14" s="192" t="s">
        <v>163</v>
      </c>
      <c r="C14" s="120" t="s">
        <v>164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280</v>
      </c>
      <c r="B15" s="197"/>
      <c r="C15" s="122" t="s">
        <v>165</v>
      </c>
      <c r="D15" s="52">
        <f>90+15</f>
        <v>105</v>
      </c>
      <c r="E15" s="145"/>
      <c r="F15" s="52"/>
      <c r="G15" s="64"/>
      <c r="H15" s="64"/>
      <c r="I15" s="64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281</v>
      </c>
      <c r="B16" s="197" t="s">
        <v>165</v>
      </c>
      <c r="C16" s="122" t="s">
        <v>165</v>
      </c>
      <c r="D16" s="52"/>
      <c r="E16" s="51"/>
      <c r="F16" s="52"/>
      <c r="G16" s="64"/>
      <c r="H16" s="64"/>
      <c r="I16" s="64"/>
      <c r="J16" s="64"/>
      <c r="K16" s="48">
        <v>576</v>
      </c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282</v>
      </c>
      <c r="B17" s="197" t="s">
        <v>165</v>
      </c>
      <c r="C17" s="122" t="s">
        <v>165</v>
      </c>
      <c r="D17" s="52"/>
      <c r="E17" s="51"/>
      <c r="F17" s="52">
        <f>15.5+96.83+27.28</f>
        <v>139.61000000000001</v>
      </c>
      <c r="G17" s="64"/>
      <c r="H17" s="64"/>
      <c r="I17" s="64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/>
      <c r="B18" s="197"/>
      <c r="C18" s="122"/>
      <c r="D18" s="52"/>
      <c r="E18" s="51"/>
      <c r="F18" s="52"/>
      <c r="G18" s="64"/>
      <c r="H18" s="64"/>
      <c r="I18" s="64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/>
      <c r="B19" s="197"/>
      <c r="C19" s="122"/>
      <c r="D19" s="52"/>
      <c r="E19" s="51"/>
      <c r="F19" s="52"/>
      <c r="G19" s="64"/>
      <c r="H19" s="64"/>
      <c r="I19" s="64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/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2">SUM(F15:F23)</f>
        <v>139.61000000000001</v>
      </c>
      <c r="G24" s="119">
        <f t="shared" si="2"/>
        <v>0</v>
      </c>
      <c r="H24" s="119"/>
      <c r="I24" s="119">
        <f t="shared" si="2"/>
        <v>0</v>
      </c>
      <c r="J24" s="119">
        <f t="shared" si="2"/>
        <v>0</v>
      </c>
      <c r="K24" s="65">
        <f t="shared" si="2"/>
        <v>576</v>
      </c>
      <c r="L24" s="65">
        <f t="shared" si="2"/>
        <v>0</v>
      </c>
      <c r="M24" s="65">
        <f t="shared" si="2"/>
        <v>0</v>
      </c>
      <c r="N24" s="65">
        <f t="shared" si="2"/>
        <v>0</v>
      </c>
      <c r="O24" s="65">
        <f t="shared" si="2"/>
        <v>0</v>
      </c>
      <c r="P24" s="65">
        <f t="shared" si="2"/>
        <v>0</v>
      </c>
      <c r="Q24" s="141">
        <f t="shared" si="2"/>
        <v>0</v>
      </c>
      <c r="R24" s="141">
        <f t="shared" si="2"/>
        <v>0</v>
      </c>
      <c r="S24" s="139">
        <f t="shared" si="2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3">D13-D24</f>
        <v>0</v>
      </c>
      <c r="E25" s="138">
        <f t="shared" si="3"/>
        <v>0</v>
      </c>
      <c r="F25" s="138">
        <f t="shared" si="3"/>
        <v>46.169999999999987</v>
      </c>
      <c r="G25" s="138">
        <f t="shared" si="3"/>
        <v>15</v>
      </c>
      <c r="H25" s="138"/>
      <c r="I25" s="138">
        <f t="shared" si="3"/>
        <v>67</v>
      </c>
      <c r="J25" s="138">
        <f t="shared" si="3"/>
        <v>448</v>
      </c>
      <c r="K25" s="138">
        <f t="shared" si="3"/>
        <v>-10</v>
      </c>
      <c r="L25" s="138">
        <f t="shared" si="3"/>
        <v>0</v>
      </c>
      <c r="M25" s="138">
        <f t="shared" si="3"/>
        <v>0</v>
      </c>
      <c r="N25" s="138">
        <f t="shared" si="3"/>
        <v>0</v>
      </c>
      <c r="O25" s="138">
        <f t="shared" si="3"/>
        <v>0</v>
      </c>
      <c r="P25" s="138">
        <f t="shared" si="3"/>
        <v>0</v>
      </c>
      <c r="Q25" s="143">
        <f t="shared" si="3"/>
        <v>0</v>
      </c>
      <c r="R25" s="142">
        <f t="shared" si="3"/>
        <v>0</v>
      </c>
      <c r="S25" s="146">
        <f t="shared" si="3"/>
        <v>0</v>
      </c>
    </row>
    <row r="26" spans="1:19" x14ac:dyDescent="0.25">
      <c r="D26" s="135"/>
      <c r="E26" s="73"/>
      <c r="F26" s="148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13020</v>
      </c>
      <c r="F28" s="66"/>
      <c r="G28" s="91"/>
      <c r="H28" s="91"/>
      <c r="I28" s="91"/>
      <c r="K28" s="91"/>
    </row>
    <row r="29" spans="1:19" x14ac:dyDescent="0.25">
      <c r="E29" s="38" t="e">
        <f>375-E24-F24-#REF!</f>
        <v>#REF!</v>
      </c>
      <c r="F29" s="66"/>
      <c r="G29" s="91"/>
      <c r="H29" s="91"/>
      <c r="I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0</v>
      </c>
      <c r="G32" s="72"/>
      <c r="H32" s="72"/>
      <c r="I32" s="72"/>
      <c r="L32" s="91"/>
    </row>
    <row r="33" spans="1:10" x14ac:dyDescent="0.25">
      <c r="A33" t="s">
        <v>15</v>
      </c>
      <c r="E33" s="17">
        <f>-E13</f>
        <v>0</v>
      </c>
      <c r="G33" s="72"/>
      <c r="H33" s="72"/>
    </row>
    <row r="34" spans="1:10" x14ac:dyDescent="0.25">
      <c r="A34" t="s">
        <v>18</v>
      </c>
      <c r="E34" s="17" t="e">
        <f>#REF!</f>
        <v>#REF!</v>
      </c>
    </row>
    <row r="35" spans="1:10" x14ac:dyDescent="0.25">
      <c r="A35" s="40" t="s">
        <v>8</v>
      </c>
      <c r="B35" s="40"/>
      <c r="C35" s="40"/>
      <c r="D35" s="40"/>
      <c r="E35" s="23" t="e">
        <f>SUM(E31:E34)</f>
        <v>#REF!</v>
      </c>
      <c r="J35" s="72"/>
    </row>
    <row r="36" spans="1:10" x14ac:dyDescent="0.25">
      <c r="A36" t="s">
        <v>40</v>
      </c>
      <c r="E36" s="38">
        <v>375</v>
      </c>
      <c r="I36" s="91"/>
    </row>
    <row r="37" spans="1:10" x14ac:dyDescent="0.25">
      <c r="A37" s="40" t="s">
        <v>41</v>
      </c>
      <c r="B37" s="40"/>
      <c r="C37" s="40"/>
      <c r="D37" s="40"/>
      <c r="E37" s="23" t="e">
        <f>SUM(E35:E36)</f>
        <v>#REF!</v>
      </c>
    </row>
    <row r="38" spans="1:10" x14ac:dyDescent="0.25">
      <c r="A38" t="s">
        <v>42</v>
      </c>
      <c r="E38" s="17" t="e">
        <f>-E24-F24-#REF!</f>
        <v>#REF!</v>
      </c>
    </row>
    <row r="39" spans="1:10" x14ac:dyDescent="0.25">
      <c r="A39" s="40" t="s">
        <v>43</v>
      </c>
      <c r="B39" s="40"/>
      <c r="C39" s="40"/>
      <c r="D39" s="40"/>
      <c r="E39" s="70" t="e">
        <f>SUM(E37:E38)</f>
        <v>#REF!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39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H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H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D8" sqref="D8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167</v>
      </c>
      <c r="B2" s="39" t="s">
        <v>168</v>
      </c>
      <c r="C2" s="39" t="s">
        <v>136</v>
      </c>
      <c r="D2" s="39" t="s">
        <v>169</v>
      </c>
    </row>
    <row r="3" spans="1:6" x14ac:dyDescent="0.25">
      <c r="A3" s="260" t="s">
        <v>170</v>
      </c>
      <c r="B3" s="261" t="s">
        <v>239</v>
      </c>
      <c r="C3" s="262">
        <v>45111</v>
      </c>
      <c r="D3" s="263">
        <v>500</v>
      </c>
      <c r="E3" s="260"/>
      <c r="F3" s="260" t="s">
        <v>171</v>
      </c>
    </row>
    <row r="4" spans="1:6" x14ac:dyDescent="0.25">
      <c r="A4" s="260" t="s">
        <v>240</v>
      </c>
      <c r="B4" s="261" t="s">
        <v>241</v>
      </c>
      <c r="C4" s="262">
        <v>38165</v>
      </c>
      <c r="D4" s="263">
        <v>150</v>
      </c>
      <c r="E4" s="260"/>
      <c r="F4" s="260" t="s">
        <v>242</v>
      </c>
    </row>
    <row r="5" spans="1:6" x14ac:dyDescent="0.25">
      <c r="A5" s="260" t="s">
        <v>243</v>
      </c>
      <c r="B5" s="261" t="s">
        <v>244</v>
      </c>
      <c r="C5" s="264">
        <v>25807</v>
      </c>
      <c r="D5" s="260" t="s">
        <v>245</v>
      </c>
      <c r="E5" s="260">
        <v>2</v>
      </c>
      <c r="F5" s="260" t="s">
        <v>172</v>
      </c>
    </row>
    <row r="6" spans="1:6" x14ac:dyDescent="0.25">
      <c r="C6" s="188"/>
      <c r="D6" s="212"/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89" t="s">
        <v>120</v>
      </c>
      <c r="C2" s="390"/>
      <c r="D2" s="390"/>
      <c r="E2" s="390"/>
      <c r="F2" s="391"/>
    </row>
    <row r="3" spans="2:10" ht="14.4" thickBot="1" x14ac:dyDescent="0.3">
      <c r="B3" s="152" t="s">
        <v>49</v>
      </c>
      <c r="C3" s="392" t="s">
        <v>44</v>
      </c>
      <c r="D3" s="393"/>
      <c r="E3" s="392" t="s">
        <v>102</v>
      </c>
      <c r="F3" s="394"/>
    </row>
    <row r="4" spans="2:10" x14ac:dyDescent="0.25">
      <c r="B4" s="167" t="s">
        <v>103</v>
      </c>
      <c r="C4" s="406">
        <v>0</v>
      </c>
      <c r="D4" s="407"/>
      <c r="E4" s="406">
        <v>0</v>
      </c>
      <c r="F4" s="408"/>
    </row>
    <row r="5" spans="2:10" x14ac:dyDescent="0.25">
      <c r="B5" s="172" t="s">
        <v>104</v>
      </c>
      <c r="C5" s="406">
        <v>140000</v>
      </c>
      <c r="D5" s="407"/>
      <c r="E5" s="406">
        <f>6000*2</f>
        <v>12000</v>
      </c>
      <c r="F5" s="408"/>
    </row>
    <row r="6" spans="2:10" ht="27.6" x14ac:dyDescent="0.25">
      <c r="B6" s="172" t="s">
        <v>116</v>
      </c>
      <c r="C6" s="406">
        <f>46500*7</f>
        <v>325500</v>
      </c>
      <c r="D6" s="407"/>
      <c r="E6" s="406">
        <v>0</v>
      </c>
      <c r="F6" s="408"/>
    </row>
    <row r="7" spans="2:10" x14ac:dyDescent="0.25">
      <c r="B7" s="172" t="s">
        <v>105</v>
      </c>
      <c r="C7" s="406">
        <f>13000*7</f>
        <v>91000</v>
      </c>
      <c r="D7" s="407"/>
      <c r="E7" s="406">
        <f>4000*7</f>
        <v>28000</v>
      </c>
      <c r="F7" s="408"/>
    </row>
    <row r="8" spans="2:10" ht="14.4" thickBot="1" x14ac:dyDescent="0.3">
      <c r="B8" s="158" t="s">
        <v>106</v>
      </c>
      <c r="C8" s="406">
        <f>65000*7</f>
        <v>455000</v>
      </c>
      <c r="D8" s="407"/>
      <c r="E8" s="406">
        <v>50000</v>
      </c>
      <c r="F8" s="408"/>
      <c r="J8" t="s">
        <v>165</v>
      </c>
    </row>
    <row r="9" spans="2:10" ht="14.4" thickBot="1" x14ac:dyDescent="0.3">
      <c r="B9" s="389" t="s">
        <v>119</v>
      </c>
      <c r="C9" s="390"/>
      <c r="D9" s="390"/>
      <c r="E9" s="390"/>
      <c r="F9" s="391"/>
      <c r="J9" t="s">
        <v>166</v>
      </c>
    </row>
    <row r="10" spans="2:10" ht="16.2" thickBot="1" x14ac:dyDescent="0.3">
      <c r="B10" s="153" t="s">
        <v>114</v>
      </c>
      <c r="C10" s="154" t="s">
        <v>112</v>
      </c>
      <c r="D10" s="155" t="s">
        <v>109</v>
      </c>
      <c r="E10" s="156" t="s">
        <v>110</v>
      </c>
      <c r="F10" s="157" t="s">
        <v>111</v>
      </c>
    </row>
    <row r="11" spans="2:10" x14ac:dyDescent="0.25">
      <c r="B11" s="167" t="s">
        <v>103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107</v>
      </c>
      <c r="C13" s="398" t="s">
        <v>113</v>
      </c>
      <c r="D13" s="398"/>
      <c r="E13" s="398"/>
      <c r="F13" s="399"/>
    </row>
    <row r="14" spans="2:10" x14ac:dyDescent="0.25">
      <c r="B14" s="182" t="s">
        <v>105</v>
      </c>
      <c r="C14" s="398" t="s">
        <v>115</v>
      </c>
      <c r="D14" s="398"/>
      <c r="E14" s="398"/>
      <c r="F14" s="399"/>
    </row>
    <row r="15" spans="2:10" ht="14.4" thickBot="1" x14ac:dyDescent="0.3">
      <c r="B15" s="158" t="s">
        <v>106</v>
      </c>
      <c r="C15" s="400" t="s">
        <v>117</v>
      </c>
      <c r="D15" s="401"/>
      <c r="E15" s="401"/>
      <c r="F15" s="402"/>
    </row>
    <row r="16" spans="2:10" ht="14.4" thickBot="1" x14ac:dyDescent="0.3"/>
    <row r="17" spans="2:6" ht="14.4" thickBot="1" x14ac:dyDescent="0.3">
      <c r="B17" s="389" t="s">
        <v>101</v>
      </c>
      <c r="C17" s="390"/>
      <c r="D17" s="390"/>
      <c r="E17" s="390"/>
      <c r="F17" s="391"/>
    </row>
    <row r="18" spans="2:6" ht="14.4" thickBot="1" x14ac:dyDescent="0.3">
      <c r="B18" s="152" t="s">
        <v>108</v>
      </c>
      <c r="C18" s="392" t="s">
        <v>44</v>
      </c>
      <c r="D18" s="393"/>
      <c r="E18" s="392" t="s">
        <v>102</v>
      </c>
      <c r="F18" s="394"/>
    </row>
    <row r="19" spans="2:6" x14ac:dyDescent="0.25">
      <c r="B19" s="167" t="s">
        <v>103</v>
      </c>
      <c r="C19" s="403">
        <v>0</v>
      </c>
      <c r="D19" s="404"/>
      <c r="E19" s="403">
        <v>0</v>
      </c>
      <c r="F19" s="405"/>
    </row>
    <row r="20" spans="2:6" x14ac:dyDescent="0.25">
      <c r="B20" s="172" t="s">
        <v>104</v>
      </c>
      <c r="C20" s="420">
        <v>70000</v>
      </c>
      <c r="D20" s="421"/>
      <c r="E20" s="422">
        <f>6000*7</f>
        <v>42000</v>
      </c>
      <c r="F20" s="423"/>
    </row>
    <row r="21" spans="2:6" x14ac:dyDescent="0.25">
      <c r="B21" s="176" t="s">
        <v>107</v>
      </c>
      <c r="C21" s="420">
        <f>46500*7</f>
        <v>325500</v>
      </c>
      <c r="D21" s="421"/>
      <c r="E21" s="420">
        <v>0</v>
      </c>
      <c r="F21" s="424"/>
    </row>
    <row r="22" spans="2:6" x14ac:dyDescent="0.25">
      <c r="B22" s="172" t="s">
        <v>105</v>
      </c>
      <c r="C22" s="420">
        <f>13000*7</f>
        <v>91000</v>
      </c>
      <c r="D22" s="421"/>
      <c r="E22" s="420">
        <f>4000*7</f>
        <v>28000</v>
      </c>
      <c r="F22" s="424"/>
    </row>
    <row r="23" spans="2:6" ht="14.4" thickBot="1" x14ac:dyDescent="0.3">
      <c r="B23" s="158" t="s">
        <v>106</v>
      </c>
      <c r="C23" s="395">
        <f>65000*7</f>
        <v>455000</v>
      </c>
      <c r="D23" s="396"/>
      <c r="E23" s="395">
        <f>7000*7</f>
        <v>49000</v>
      </c>
      <c r="F23" s="397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114</v>
      </c>
      <c r="C25" s="154" t="s">
        <v>112</v>
      </c>
      <c r="D25" s="155" t="s">
        <v>109</v>
      </c>
      <c r="E25" s="156" t="s">
        <v>110</v>
      </c>
      <c r="F25" s="157" t="s">
        <v>111</v>
      </c>
    </row>
    <row r="26" spans="2:6" x14ac:dyDescent="0.25">
      <c r="B26" s="167" t="s">
        <v>103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107</v>
      </c>
      <c r="C28" s="418" t="s">
        <v>113</v>
      </c>
      <c r="D28" s="418"/>
      <c r="E28" s="418"/>
      <c r="F28" s="419"/>
    </row>
    <row r="29" spans="2:6" x14ac:dyDescent="0.25">
      <c r="B29" s="172" t="s">
        <v>105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89" t="s">
        <v>118</v>
      </c>
      <c r="C35" s="390"/>
      <c r="D35" s="390"/>
      <c r="E35" s="390"/>
      <c r="F35" s="391"/>
    </row>
    <row r="36" spans="2:6" ht="14.4" thickBot="1" x14ac:dyDescent="0.3">
      <c r="B36" s="152" t="s">
        <v>121</v>
      </c>
      <c r="C36" s="392" t="s">
        <v>44</v>
      </c>
      <c r="D36" s="393"/>
      <c r="E36" s="392" t="s">
        <v>102</v>
      </c>
      <c r="F36" s="394"/>
    </row>
    <row r="37" spans="2:6" x14ac:dyDescent="0.25">
      <c r="B37" s="167" t="s">
        <v>122</v>
      </c>
      <c r="C37" s="409" t="s">
        <v>125</v>
      </c>
      <c r="D37" s="410"/>
      <c r="E37" s="410"/>
      <c r="F37" s="411"/>
    </row>
    <row r="38" spans="2:6" x14ac:dyDescent="0.25">
      <c r="B38" s="172" t="s">
        <v>123</v>
      </c>
      <c r="C38" s="412" t="s">
        <v>124</v>
      </c>
      <c r="D38" s="413"/>
      <c r="E38" s="413"/>
      <c r="F38" s="414"/>
    </row>
    <row r="39" spans="2:6" x14ac:dyDescent="0.25">
      <c r="B39" s="172" t="s">
        <v>126</v>
      </c>
      <c r="C39" s="412" t="s">
        <v>127</v>
      </c>
      <c r="D39" s="413"/>
      <c r="E39" s="413"/>
      <c r="F39" s="414"/>
    </row>
    <row r="40" spans="2:6" ht="14.4" thickBot="1" x14ac:dyDescent="0.3">
      <c r="B40" s="158" t="s">
        <v>128</v>
      </c>
      <c r="C40" s="415" t="s">
        <v>129</v>
      </c>
      <c r="D40" s="416"/>
      <c r="E40" s="416"/>
      <c r="F40" s="417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174</v>
      </c>
      <c r="B2" t="s">
        <v>175</v>
      </c>
    </row>
    <row r="3" spans="1:14" x14ac:dyDescent="0.25">
      <c r="B3" t="s">
        <v>44</v>
      </c>
    </row>
    <row r="7" spans="1:14" x14ac:dyDescent="0.25">
      <c r="N7" t="s">
        <v>176</v>
      </c>
    </row>
    <row r="8" spans="1:14" x14ac:dyDescent="0.25">
      <c r="A8" t="s">
        <v>177</v>
      </c>
      <c r="N8" t="s">
        <v>178</v>
      </c>
    </row>
    <row r="9" spans="1:14" x14ac:dyDescent="0.25">
      <c r="A9" t="s">
        <v>179</v>
      </c>
      <c r="D9" s="213" t="s">
        <v>180</v>
      </c>
      <c r="E9" s="213"/>
      <c r="N9" t="s">
        <v>181</v>
      </c>
    </row>
    <row r="10" spans="1:14" x14ac:dyDescent="0.25">
      <c r="N10" t="s">
        <v>182</v>
      </c>
    </row>
    <row r="15" spans="1:14" x14ac:dyDescent="0.25">
      <c r="A15" t="s">
        <v>183</v>
      </c>
      <c r="B15" t="s">
        <v>184</v>
      </c>
    </row>
    <row r="19" spans="1:12" x14ac:dyDescent="0.25">
      <c r="A19" s="39" t="s">
        <v>185</v>
      </c>
      <c r="B19" s="39" t="s">
        <v>176</v>
      </c>
      <c r="C19" s="39" t="s">
        <v>80</v>
      </c>
      <c r="D19" s="39" t="s">
        <v>186</v>
      </c>
      <c r="E19" s="39" t="s">
        <v>187</v>
      </c>
      <c r="F19" s="39" t="s">
        <v>188</v>
      </c>
      <c r="G19" s="39" t="s">
        <v>21</v>
      </c>
      <c r="H19" s="39" t="s">
        <v>189</v>
      </c>
      <c r="I19" s="39" t="s">
        <v>190</v>
      </c>
      <c r="J19" s="39" t="s">
        <v>191</v>
      </c>
      <c r="K19" s="39" t="s">
        <v>192</v>
      </c>
      <c r="L19" s="39" t="s">
        <v>193</v>
      </c>
    </row>
    <row r="20" spans="1:12" x14ac:dyDescent="0.25">
      <c r="A20" t="s">
        <v>194</v>
      </c>
      <c r="H20" s="149">
        <f>'תחשיב לפי שווי שומה (2)'!B8</f>
        <v>8200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195</v>
      </c>
      <c r="H21" s="150">
        <f>H20</f>
        <v>8200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196</v>
      </c>
      <c r="H22" s="150">
        <f>H21</f>
        <v>8200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197</v>
      </c>
      <c r="H23" s="150">
        <f>H22</f>
        <v>8200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198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2026-02-23T12:22:57Z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