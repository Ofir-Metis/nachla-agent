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בלושטיין - כפר נטר/פרוייקט בדיקת התכנות/בדיקת התכנות/"/>
    </mc:Choice>
  </mc:AlternateContent>
  <xr:revisionPtr revIDLastSave="170" documentId="8_{E9A5D54E-385F-4F6C-AF2C-D62B03C85759}" xr6:coauthVersionLast="47" xr6:coauthVersionMax="47" xr10:uidLastSave="{0C4E5C66-CBD9-4B8F-B948-9CF110FF6B9C}"/>
  <bookViews>
    <workbookView xWindow="-57720" yWindow="-120" windowWidth="29040" windowHeight="15720" activeTab="3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תבעות!$A$2:$F$7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F53" i="5"/>
  <c r="F51" i="5"/>
  <c r="F50" i="5"/>
  <c r="G49" i="3"/>
  <c r="N16" i="10"/>
  <c r="N20" i="10" s="1"/>
  <c r="J14" i="10"/>
  <c r="J16" i="10" s="1"/>
  <c r="L12" i="10"/>
  <c r="J12" i="10"/>
  <c r="J20" i="10" s="1"/>
  <c r="D36" i="3"/>
  <c r="D33" i="3"/>
  <c r="L24" i="9"/>
  <c r="J24" i="9"/>
  <c r="L23" i="9"/>
  <c r="L22" i="9"/>
  <c r="L21" i="9"/>
  <c r="L20" i="9"/>
  <c r="C42" i="6"/>
  <c r="B8" i="6"/>
  <c r="H20" i="9" s="1"/>
  <c r="H21" i="9" s="1"/>
  <c r="L16" i="10" l="1"/>
  <c r="L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H23" i="9" l="1"/>
  <c r="J23" i="9" s="1"/>
  <c r="J22" i="9"/>
  <c r="D42" i="6"/>
  <c r="C35" i="6"/>
  <c r="D35" i="6" s="1"/>
  <c r="G25" i="4"/>
  <c r="I25" i="4"/>
  <c r="H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B8" i="3" l="1"/>
  <c r="B9" i="3" s="1"/>
  <c r="D11" i="3" s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4" i="3"/>
  <c r="B55" i="3" s="1"/>
  <c r="D56" i="3" s="1"/>
  <c r="D49" i="3"/>
  <c r="D52" i="3"/>
  <c r="D51" i="3"/>
  <c r="D50" i="3"/>
  <c r="F18" i="6"/>
  <c r="D28" i="3" l="1"/>
  <c r="B4" i="6" s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<sst xmlns="http://schemas.openxmlformats.org/spreadsheetml/2006/main" count="345" uniqueCount="241">
  <si>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</si>
  <si>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</si>
  <si>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</si>
  <si>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</si>
  <si>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</si>
  <si>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</si>
  <si>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</si>
  <si>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</si>
  <si>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</si>
  <si>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</si>
  <si>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</si>
  <si>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</si>
  <si>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</si>
  <si>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</si>
  <si>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</si>
  <si>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</si>
  <si>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</si>
  <si>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</si>
  <si>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</si>
  <si>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</si>
  <si>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</si>
  <si>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</si>
  <si>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</si>
  <si>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</si>
  <si>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</si>
  <si>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</si>
  <si>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</si>
  <si>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</si>
  <si>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</si>
  <si>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</si>
  <si>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</si>
  <si>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</si>
  <si>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</si>
  <si>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</si>
  <si>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</si>
  <si>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</si>
  <si>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</si>
  <si>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</si>
  <si>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</si>
  <si>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</si>
  <si>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</si>
  <si>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</si>
  <si>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</si>
  <si>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</si>
  <si>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</si>
  <si>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</si>
  <si>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</si>
  <si>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</si>
  <si>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</si>
  <si>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</si>
  <si>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</si>
  <si>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</si>
  <si>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</si>
  <si>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</si>
  <si>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</si>
  <si>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</si>
  <si>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</si>
  <si>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</si>
  <si>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</si>
  <si>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</si>
  <si>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</si>
  <si>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</si>
  <si>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</si>
  <si>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</si>
  <si>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</si>
  <si>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</si>
  <si>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</si>
  <si>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</si>
  <si>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</si>
  <si>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</si>
  <si>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</si>
  <si>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</si>
  <si>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</si>
  <si>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</si>
  <si>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</si>
  <si>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</si>
  <si>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</si>
  <si>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</si>
  <si>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</si>
  <si>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</si>
  <si>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</si>
  <si>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</si>
  <si>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</si>
  <si>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</si>
  <si>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</si>
  <si>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</si>
  <si>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</si>
  <si>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</si>
  <si>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</si>
  <si>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</si>
  <si>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</si>
  <si>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</si>
  <si>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</si>
  <si>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</si>
  <si>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</si>
  <si>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</si>
  <si>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</si>
  <si>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</si>
  <si>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</si>
  <si>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</si>
  <si>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</si>
  <si>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</si>
  <si>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</si>
  <si>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</si>
  <si>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</si>
  <si>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</si>
  <si>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</si>
  <si>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</si>
  <si>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</si>
  <si>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</si>
  <si>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</si>
  <si>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</si>
  <si>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</si>
  <si>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</si>
  <si>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</si>
  <si>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</si>
  <si>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</si>
  <si>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</si>
  <si>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</si>
  <si>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</si>
  <si>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</si>
  <si>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</si>
  <si>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</si>
  <si>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</si>
  <si>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</si>
  <si>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</si>
  <si>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</si>
  <si>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</si>
  <si>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</si>
  <si>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</si>
  <si>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</si>
  <si>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</si>
  <si>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</si>
  <si>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</si>
  <si>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</si>
  <si>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</si>
  <si>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</si>
  <si>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</si>
  <si>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</si>
  <si>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</si>
  <si>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</si>
  <si>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</si>
  <si>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</si>
  <si>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</si>
  <si>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</si>
  <si>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</si>
  <si>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</si>
  <si>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</si>
  <si>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</si>
  <si>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</si>
  <si>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</si>
  <si>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</si>
  <si>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</si>
  <si>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</si>
  <si>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</si>
  <si>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</si>
  <si>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</si>
  <si>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</si>
  <si>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</si>
  <si>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</si>
  <si>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</si>
  <si>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</si>
  <si>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</si>
  <si>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</si>
  <si>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</si>
  <si>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</si>
  <si>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</si>
  <si>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</si>
  <si>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</si>
  <si>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</si>
  <si>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</si>
  <si>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פל"ח</t>
  </si>
  <si>
    <t>גובמאפ</t>
  </si>
  <si>
    <t>בתים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</si>
  <si>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</si>
  <si>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</si>
  <si>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</si>
  <si>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</si>
  <si>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</si>
  <si>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</si>
  <si>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</si>
  <si>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</si>
  <si>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</si>
  <si>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</si>
  <si>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</si>
  <si>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</si>
  <si>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</si>
  <si>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</si>
  <si>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</si>
  <si>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</si>
  <si>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</si>
  <si>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</si>
  <si>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</si>
  <si>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</si>
  <si>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</si>
  <si>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</si>
  <si>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</si>
  <si>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</si>
  <si>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</si>
  <si>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מבנה 1 - בית מגורים</t>
  </si>
  <si>
    <t>היתר שנת 99</t>
  </si>
  <si>
    <t>היתר שנת 98 - חלקאי</t>
  </si>
  <si>
    <t>היתר שנת 01- חקלאי</t>
  </si>
  <si>
    <t>היתר שנת 2000 - חקלאי</t>
  </si>
  <si>
    <t>היתר שנת 78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</si>
  <si>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</si>
  <si>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</si>
  <si>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</si>
  <si>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</si>
  <si>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</si>
  <si>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</si>
  <si>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</si>
  <si>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</si>
  <si>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</si>
  <si>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</si>
  <si>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</si>
  <si>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</si>
  <si>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</si>
  <si>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</si>
  <si>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</si>
  <si>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</si>
  <si>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</si>
  <si>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</si>
  <si>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שווי מר"מ שומה הרחבה</t>
  </si>
  <si>
    <t>שנים</t>
  </si>
  <si>
    <t>מקדם לשנה</t>
  </si>
  <si>
    <t>מקדם משוקלל</t>
  </si>
  <si>
    <t>שווי מתואם</t>
  </si>
  <si>
    <t>מקדם לשומה</t>
  </si>
  <si>
    <t>לשומה</t>
  </si>
  <si>
    <t>חש/7/21</t>
  </si>
  <si>
    <t>שומת רמי</t>
  </si>
  <si>
    <t>חש/10/10</t>
  </si>
  <si>
    <t xml:space="preserve"> + 30 מ"ר ש"ש לכל יח"ד</t>
  </si>
  <si>
    <t>חניה + מרתף</t>
  </si>
  <si>
    <t>חש/11/10</t>
  </si>
  <si>
    <t>חש/12/21</t>
  </si>
  <si>
    <t>בריכה</t>
  </si>
  <si>
    <t>חש/5/21</t>
  </si>
  <si>
    <t>חש/15/10</t>
  </si>
  <si>
    <t>תבע עכשיו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</si>
</sst>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8" fillId="0" borderId="0"/>
  </cellStyleXfs>
  <cellXfs count="29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0" fillId="0" borderId="60" xfId="0" applyBorder="1"/>
    <xf numFmtId="0" fontId="0" fillId="0" borderId="19" xfId="0" applyBorder="1"/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5" xr:uid="{F91BC6E7-2F57-4E1C-83DA-56F34DC3A840}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738188</xdr:colOff>
      <xdr:row>12</xdr:row>
      <xdr:rowOff>160735</xdr:rowOff>
    </xdr:from>
    <xdr:to>
      <xdr:col>9</xdr:col>
      <xdr:colOff>170480</xdr:colOff>
      <xdr:row>17</xdr:row>
      <xdr:rowOff>2479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3094CF25-7D36-5E1B-497E-DD56D96A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7669079" y="2440782"/>
          <a:ext cx="4993702" cy="697327"/>
        </a:xfrm>
        <a:prstGeom prst="rect">
          <a:avLst/>
        </a:prstGeom>
      </xdr:spPr>
    </xdr:pic>
    <xdr:clientData/>
  </xdr:twoCellAnchor>
  <xdr:twoCellAnchor editAs="oneCell">
    <xdr:from>
      <xdr:col>3</xdr:col>
      <xdr:colOff>748188</xdr:colOff>
      <xdr:row>17</xdr:row>
      <xdr:rowOff>118192</xdr:rowOff>
    </xdr:from>
    <xdr:to>
      <xdr:col>11</xdr:col>
      <xdr:colOff>20224</xdr:colOff>
      <xdr:row>42</xdr:row>
      <xdr:rowOff>15840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5B923900-53E7-DCAF-E448-E9447864D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6073641" y="3261442"/>
          <a:ext cx="6579140" cy="42136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I27" sqref="I27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נחלה'!I14</f>
        <v>1022.5</v>
      </c>
      <c r="K2" s="1"/>
    </row>
    <row r="3" spans="1:11" x14ac:dyDescent="0.35">
      <c r="A3" s="1" t="s">
        <v>17</v>
      </c>
      <c r="B3" s="76">
        <f>'מ"ר אקו'' נחלה'!D14</f>
        <v>972.5</v>
      </c>
      <c r="K3" s="1"/>
    </row>
    <row r="4" spans="1:11" x14ac:dyDescent="0.35">
      <c r="A4" s="1" t="s">
        <v>92</v>
      </c>
      <c r="B4" s="76">
        <f>'מ"ר אקו'' נחלה'!D28</f>
        <v>144.55000000000001</v>
      </c>
      <c r="K4" s="1"/>
    </row>
    <row r="5" spans="1:11" x14ac:dyDescent="0.35">
      <c r="A5" s="1" t="s">
        <v>205</v>
      </c>
      <c r="B5" s="76">
        <f>'מ"ר אקו'' נחלה'!D38</f>
        <v>106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18000</v>
      </c>
      <c r="C8" s="1" t="s">
        <v>85</v>
      </c>
      <c r="D8" s="5">
        <v>2500</v>
      </c>
      <c r="F8" s="75"/>
      <c r="K8" s="1"/>
    </row>
    <row r="9" spans="1:11" x14ac:dyDescent="0.35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544218.75</v>
      </c>
      <c r="G11" s="75">
        <f>'מ"ר אקו'' נחלה'!D71*-3.75%</f>
        <v>-6562.5</v>
      </c>
      <c r="H11" s="88">
        <f>SUM(F11:G11)</f>
        <v>537656.25</v>
      </c>
      <c r="I11" s="9"/>
      <c r="J11" s="75"/>
    </row>
    <row r="12" spans="1:11" x14ac:dyDescent="0.35">
      <c r="A12" s="82" t="s">
        <v>63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1092487.5</v>
      </c>
      <c r="G12" s="75">
        <f>-'מ"ר אקו'' נחלה'!D58*C12</f>
        <v>-29250</v>
      </c>
      <c r="H12" s="6">
        <f>SUM(F12:G12)</f>
        <v>1063237.5</v>
      </c>
      <c r="J12" s="87"/>
    </row>
    <row r="13" spans="1:11" x14ac:dyDescent="0.35">
      <c r="A13" s="82" t="s">
        <v>64</v>
      </c>
      <c r="B13" s="114">
        <f>B7-B12</f>
        <v>79.300000000000011</v>
      </c>
      <c r="C13" s="115">
        <v>0.33</v>
      </c>
      <c r="D13" s="82">
        <f t="shared" si="0"/>
        <v>26.169000000000004</v>
      </c>
      <c r="E13" s="82">
        <v>1</v>
      </c>
      <c r="F13" s="84">
        <f>D13*$B$8*E13</f>
        <v>471042.00000000006</v>
      </c>
      <c r="G13" s="87">
        <f>G12*53/245</f>
        <v>-6327.5510204081629</v>
      </c>
      <c r="H13" s="6">
        <f>SUM(F13:G13)</f>
        <v>464714.44897959189</v>
      </c>
      <c r="I13" s="9"/>
      <c r="J13" s="75"/>
    </row>
    <row r="14" spans="1:11" ht="21" x14ac:dyDescent="0.4">
      <c r="A14" s="111" t="s">
        <v>65</v>
      </c>
      <c r="B14" s="112">
        <f>SUM(B12:B13)</f>
        <v>286.8</v>
      </c>
      <c r="C14" s="113"/>
      <c r="D14" s="113"/>
      <c r="E14" s="113"/>
      <c r="F14" s="113">
        <f>SUM(F12:F13)</f>
        <v>1563529.5</v>
      </c>
      <c r="G14" s="116"/>
      <c r="H14" s="89">
        <f>SUM(H12:H13)</f>
        <v>1527951.948979592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1587375</v>
      </c>
      <c r="G15" s="9"/>
      <c r="J15" s="86"/>
    </row>
    <row r="16" spans="1:11" ht="21" x14ac:dyDescent="0.4">
      <c r="A16" s="77" t="s">
        <v>5</v>
      </c>
      <c r="B16" s="81">
        <f>B3+B4-B5</f>
        <v>1011.05</v>
      </c>
      <c r="C16" s="80">
        <v>0.33</v>
      </c>
      <c r="D16" s="77">
        <f t="shared" si="0"/>
        <v>333.6465</v>
      </c>
      <c r="E16" s="77">
        <v>1</v>
      </c>
      <c r="F16" s="79">
        <f>D16*$B$8*E16</f>
        <v>6005637</v>
      </c>
      <c r="G16" s="75">
        <f>-'מ"ר אקו'' נחלה'!D15*C16</f>
        <v>-81510</v>
      </c>
      <c r="H16" s="88">
        <f>SUM(F16:G16)</f>
        <v>5924127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11466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1228.5</v>
      </c>
      <c r="G20" s="9"/>
      <c r="I20" s="6"/>
      <c r="J20" s="9"/>
    </row>
    <row r="21" spans="1:10" ht="21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4914</v>
      </c>
    </row>
    <row r="23" spans="1:10" ht="21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900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6"/>
      <c r="E27" s="186"/>
      <c r="F27" s="5"/>
      <c r="I27" s="75"/>
    </row>
    <row r="29" spans="1:10" x14ac:dyDescent="0.35">
      <c r="A29" s="2" t="s">
        <v>158</v>
      </c>
      <c r="C29" s="75"/>
    </row>
    <row r="30" spans="1:10" x14ac:dyDescent="0.35">
      <c r="A30" s="2"/>
      <c r="B30" s="2" t="s">
        <v>160</v>
      </c>
      <c r="C30" s="2" t="s">
        <v>21</v>
      </c>
      <c r="D30" s="2" t="s">
        <v>159</v>
      </c>
    </row>
    <row r="31" spans="1:10" x14ac:dyDescent="0.35">
      <c r="A31" s="1" t="s">
        <v>156</v>
      </c>
      <c r="B31" s="5">
        <f>'מ"ר אקו'' נחלה'!D57*'תחשיב לפי שווי שומה (2)'!$B$8</f>
        <v>5162400</v>
      </c>
      <c r="C31" s="191">
        <v>1</v>
      </c>
      <c r="D31" s="6">
        <f>C31*$B$8</f>
        <v>18000</v>
      </c>
    </row>
    <row r="32" spans="1:10" x14ac:dyDescent="0.35">
      <c r="A32" s="1" t="s">
        <v>155</v>
      </c>
      <c r="B32" s="6">
        <f>350*$B$8*C32</f>
        <v>945000</v>
      </c>
      <c r="C32" s="191">
        <v>0.15</v>
      </c>
      <c r="D32" s="6">
        <f>C32*$B$8</f>
        <v>2700</v>
      </c>
    </row>
    <row r="33" spans="1:6" x14ac:dyDescent="0.35">
      <c r="C33" s="75"/>
    </row>
    <row r="34" spans="1:6" x14ac:dyDescent="0.35">
      <c r="A34" s="1" t="s">
        <v>153</v>
      </c>
      <c r="B34" s="6">
        <f>B31-B32</f>
        <v>4217400</v>
      </c>
      <c r="C34" s="191">
        <f>C31-C32</f>
        <v>0.85</v>
      </c>
      <c r="D34" s="6">
        <f>C34*$B$8</f>
        <v>15300</v>
      </c>
    </row>
    <row r="35" spans="1:6" x14ac:dyDescent="0.35">
      <c r="A35" s="1" t="s">
        <v>154</v>
      </c>
      <c r="B35" s="6">
        <f>B34*50%</f>
        <v>2108700</v>
      </c>
      <c r="C35" s="191">
        <f>C34*50%</f>
        <v>0.42499999999999999</v>
      </c>
      <c r="D35" s="6">
        <f>C35*$B$8</f>
        <v>7650</v>
      </c>
    </row>
    <row r="37" spans="1:6" x14ac:dyDescent="0.35">
      <c r="A37" s="2" t="s">
        <v>162</v>
      </c>
      <c r="C37" s="75"/>
    </row>
    <row r="38" spans="1:6" x14ac:dyDescent="0.35">
      <c r="A38" s="2"/>
      <c r="B38" s="2" t="s">
        <v>160</v>
      </c>
      <c r="C38" s="2" t="s">
        <v>21</v>
      </c>
      <c r="D38" s="2" t="s">
        <v>159</v>
      </c>
    </row>
    <row r="39" spans="1:6" x14ac:dyDescent="0.35">
      <c r="A39" s="1" t="s">
        <v>156</v>
      </c>
      <c r="B39" s="5">
        <f>'מ"ר אקו'' נחלה'!D57*'תחשיב לפי שווי שומה (2)'!$B$8</f>
        <v>5162400</v>
      </c>
      <c r="C39" s="191">
        <v>1</v>
      </c>
      <c r="D39" s="6">
        <f>C39*$B$8</f>
        <v>18000</v>
      </c>
    </row>
    <row r="40" spans="1:6" x14ac:dyDescent="0.35">
      <c r="A40" s="1" t="s">
        <v>163</v>
      </c>
      <c r="B40" s="6">
        <f>B39*70%</f>
        <v>3613680</v>
      </c>
      <c r="C40" s="191">
        <v>0.7</v>
      </c>
      <c r="D40" s="6">
        <f>C40*$B$8</f>
        <v>12600</v>
      </c>
    </row>
    <row r="41" spans="1:6" x14ac:dyDescent="0.35">
      <c r="C41" s="75"/>
    </row>
    <row r="42" spans="1:6" x14ac:dyDescent="0.35">
      <c r="A42" s="1" t="s">
        <v>153</v>
      </c>
      <c r="B42" s="6">
        <f>B39-B40</f>
        <v>1548720</v>
      </c>
      <c r="C42" s="191">
        <f>C39-C40</f>
        <v>0.30000000000000004</v>
      </c>
      <c r="D42" s="6">
        <f>C42*$B$8</f>
        <v>5400.0000000000009</v>
      </c>
      <c r="F42" s="6"/>
    </row>
    <row r="43" spans="1:6" x14ac:dyDescent="0.35">
      <c r="A43" s="1" t="s">
        <v>154</v>
      </c>
      <c r="B43" s="6">
        <f>B42*50%</f>
        <v>774360</v>
      </c>
      <c r="C43" s="191">
        <f>C42*50%</f>
        <v>0.15000000000000002</v>
      </c>
      <c r="D43" s="6">
        <f>C43*$B$8</f>
        <v>2700.0000000000005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3.8" x14ac:dyDescent="0.25"/>
  <sheetData>
    <row r="8" spans="8:15" ht="14.4" thickBot="1" x14ac:dyDescent="0.3"/>
    <row r="9" spans="8:15" ht="14.4" thickBot="1" x14ac:dyDescent="0.3">
      <c r="H9" s="231" t="s">
        <v>212</v>
      </c>
      <c r="I9" s="232"/>
      <c r="J9" s="232"/>
      <c r="K9" s="232"/>
      <c r="L9" s="232"/>
      <c r="M9" s="232"/>
      <c r="N9" s="232"/>
      <c r="O9" s="233"/>
    </row>
    <row r="10" spans="8:15" x14ac:dyDescent="0.25">
      <c r="H10" s="234" t="s">
        <v>213</v>
      </c>
      <c r="I10" s="235"/>
      <c r="J10" s="234" t="s">
        <v>214</v>
      </c>
      <c r="K10" s="235"/>
      <c r="L10" s="238" t="s">
        <v>215</v>
      </c>
      <c r="M10" s="239"/>
      <c r="N10" s="234" t="s">
        <v>5</v>
      </c>
      <c r="O10" s="235"/>
    </row>
    <row r="11" spans="8:15" ht="14.4" thickBot="1" x14ac:dyDescent="0.3">
      <c r="H11" s="236"/>
      <c r="I11" s="237"/>
      <c r="J11" s="236"/>
      <c r="K11" s="237"/>
      <c r="L11" s="240"/>
      <c r="M11" s="241"/>
      <c r="N11" s="236"/>
      <c r="O11" s="237"/>
    </row>
    <row r="12" spans="8:15" x14ac:dyDescent="0.25">
      <c r="H12" s="223" t="s">
        <v>216</v>
      </c>
      <c r="I12" s="224"/>
      <c r="J12" s="227">
        <f>240000</f>
        <v>240000</v>
      </c>
      <c r="K12" s="227"/>
      <c r="L12" s="227">
        <f>240000</f>
        <v>240000</v>
      </c>
      <c r="M12" s="227"/>
      <c r="N12" s="227">
        <v>2700000</v>
      </c>
      <c r="O12" s="229"/>
    </row>
    <row r="13" spans="8:15" x14ac:dyDescent="0.25">
      <c r="H13" s="225"/>
      <c r="I13" s="226"/>
      <c r="J13" s="228"/>
      <c r="K13" s="228"/>
      <c r="L13" s="228"/>
      <c r="M13" s="228"/>
      <c r="N13" s="228"/>
      <c r="O13" s="230"/>
    </row>
    <row r="14" spans="8:15" x14ac:dyDescent="0.25">
      <c r="H14" s="225" t="s">
        <v>217</v>
      </c>
      <c r="I14" s="226"/>
      <c r="J14" s="228">
        <f>1000000</f>
        <v>1000000</v>
      </c>
      <c r="K14" s="228"/>
      <c r="L14" s="228">
        <v>1730000</v>
      </c>
      <c r="M14" s="228"/>
      <c r="N14" s="226" t="s">
        <v>218</v>
      </c>
      <c r="O14" s="242"/>
    </row>
    <row r="15" spans="8:15" x14ac:dyDescent="0.25">
      <c r="H15" s="225"/>
      <c r="I15" s="226"/>
      <c r="J15" s="228"/>
      <c r="K15" s="228"/>
      <c r="L15" s="228"/>
      <c r="M15" s="228"/>
      <c r="N15" s="226"/>
      <c r="O15" s="242"/>
    </row>
    <row r="16" spans="8:15" x14ac:dyDescent="0.25">
      <c r="H16" s="225" t="s">
        <v>219</v>
      </c>
      <c r="I16" s="226"/>
      <c r="J16" s="243">
        <f>(J14+J12)*0.06</f>
        <v>74400</v>
      </c>
      <c r="K16" s="243"/>
      <c r="L16" s="243">
        <f>(L14+L12)*0.06</f>
        <v>118200</v>
      </c>
      <c r="M16" s="243"/>
      <c r="N16" s="243">
        <f>N12*0.06</f>
        <v>162000</v>
      </c>
      <c r="O16" s="244"/>
    </row>
    <row r="17" spans="8:15" x14ac:dyDescent="0.25">
      <c r="H17" s="225"/>
      <c r="I17" s="226"/>
      <c r="J17" s="243"/>
      <c r="K17" s="243"/>
      <c r="L17" s="243"/>
      <c r="M17" s="243"/>
      <c r="N17" s="243"/>
      <c r="O17" s="244"/>
    </row>
    <row r="18" spans="8:15" x14ac:dyDescent="0.25">
      <c r="H18" s="225" t="s">
        <v>220</v>
      </c>
      <c r="I18" s="226"/>
      <c r="J18" s="226" t="s">
        <v>218</v>
      </c>
      <c r="K18" s="226"/>
      <c r="L18" s="243">
        <v>144000</v>
      </c>
      <c r="M18" s="243"/>
      <c r="N18" s="226" t="s">
        <v>218</v>
      </c>
      <c r="O18" s="242"/>
    </row>
    <row r="19" spans="8:15" x14ac:dyDescent="0.25">
      <c r="H19" s="225"/>
      <c r="I19" s="226"/>
      <c r="J19" s="226"/>
      <c r="K19" s="226"/>
      <c r="L19" s="243"/>
      <c r="M19" s="243"/>
      <c r="N19" s="226"/>
      <c r="O19" s="242"/>
    </row>
    <row r="20" spans="8:15" x14ac:dyDescent="0.25">
      <c r="H20" s="248" t="s">
        <v>8</v>
      </c>
      <c r="I20" s="249"/>
      <c r="J20" s="250">
        <f>SUM(J12:K19)</f>
        <v>1314400</v>
      </c>
      <c r="K20" s="249"/>
      <c r="L20" s="250">
        <f>SUM(L12:M19)</f>
        <v>2232200</v>
      </c>
      <c r="M20" s="249"/>
      <c r="N20" s="250">
        <f>SUM(N12:O19)</f>
        <v>2862000</v>
      </c>
      <c r="O20" s="251"/>
    </row>
    <row r="21" spans="8:15" x14ac:dyDescent="0.25">
      <c r="H21" s="248"/>
      <c r="I21" s="249"/>
      <c r="J21" s="249"/>
      <c r="K21" s="249"/>
      <c r="L21" s="249"/>
      <c r="M21" s="249"/>
      <c r="N21" s="249"/>
      <c r="O21" s="251"/>
    </row>
    <row r="22" spans="8:15" x14ac:dyDescent="0.25">
      <c r="H22" s="225" t="s">
        <v>221</v>
      </c>
      <c r="I22" s="226"/>
      <c r="J22" s="243">
        <v>500000</v>
      </c>
      <c r="K22" s="226"/>
      <c r="L22" s="243">
        <v>1500000</v>
      </c>
      <c r="M22" s="226"/>
      <c r="N22" s="226" t="s">
        <v>222</v>
      </c>
      <c r="O22" s="242"/>
    </row>
    <row r="23" spans="8:15" ht="14.4" thickBot="1" x14ac:dyDescent="0.3">
      <c r="H23" s="245"/>
      <c r="I23" s="246"/>
      <c r="J23" s="246"/>
      <c r="K23" s="246"/>
      <c r="L23" s="246"/>
      <c r="M23" s="246"/>
      <c r="N23" s="246"/>
      <c r="O23" s="247"/>
    </row>
  </sheetData>
  <mergeCells count="29"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  <mergeCell ref="H14:I15"/>
    <mergeCell ref="J14:K15"/>
    <mergeCell ref="L14:M15"/>
    <mergeCell ref="N14:O15"/>
    <mergeCell ref="H16:I17"/>
    <mergeCell ref="J16:K17"/>
    <mergeCell ref="L16:M17"/>
    <mergeCell ref="N16:O17"/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71"/>
  <sheetViews>
    <sheetView rightToLeft="1" zoomScale="70" zoomScaleNormal="70" workbookViewId="0">
      <selection activeCell="L25" sqref="L25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130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97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25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27</v>
      </c>
      <c r="B8" s="23">
        <f>SUM(B4:B7)</f>
        <v>600</v>
      </c>
      <c r="C8" s="24"/>
      <c r="D8" s="25"/>
      <c r="E8" s="91"/>
      <c r="F8" s="22" t="s">
        <v>27</v>
      </c>
      <c r="G8" s="23">
        <f>SUM(G4:G7)</f>
        <v>600</v>
      </c>
      <c r="H8" s="24"/>
      <c r="I8" s="25"/>
    </row>
    <row r="9" spans="1:10" x14ac:dyDescent="0.25">
      <c r="A9" s="26" t="s">
        <v>28</v>
      </c>
      <c r="B9" s="27">
        <f>B2-B8</f>
        <v>1900</v>
      </c>
      <c r="C9" s="28"/>
      <c r="D9" s="29"/>
      <c r="F9" s="26" t="s">
        <v>28</v>
      </c>
      <c r="G9" s="27">
        <f>G2-G8</f>
        <v>2400</v>
      </c>
      <c r="H9" s="28"/>
      <c r="I9" s="29"/>
    </row>
    <row r="10" spans="1:10" x14ac:dyDescent="0.25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30</v>
      </c>
      <c r="B11" s="19">
        <v>1000</v>
      </c>
      <c r="C11" s="20">
        <v>0.2</v>
      </c>
      <c r="D11" s="21">
        <f>C11*B11</f>
        <v>200</v>
      </c>
      <c r="F11" s="18" t="s">
        <v>30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25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31</v>
      </c>
      <c r="B13" s="31">
        <f>SUM(B4:B11)</f>
        <v>5100</v>
      </c>
      <c r="C13" s="32"/>
      <c r="D13" s="33">
        <f>SUM(D4:D12)</f>
        <v>972.5</v>
      </c>
      <c r="F13" s="30" t="s">
        <v>31</v>
      </c>
      <c r="G13" s="31">
        <f>SUM(G4:G11)</f>
        <v>5600</v>
      </c>
      <c r="H13" s="32"/>
      <c r="I13" s="33">
        <f>SUM(I4:I12)</f>
        <v>1022.5</v>
      </c>
      <c r="J13" s="74"/>
    </row>
    <row r="14" spans="1:10" ht="14.4" thickBot="1" x14ac:dyDescent="0.3">
      <c r="A14" s="34" t="s">
        <v>32</v>
      </c>
      <c r="B14" s="35"/>
      <c r="C14" s="36"/>
      <c r="D14" s="37">
        <f>D13</f>
        <v>972.5</v>
      </c>
      <c r="E14" s="72"/>
      <c r="F14" s="34" t="s">
        <v>32</v>
      </c>
      <c r="G14" s="35"/>
      <c r="H14" s="36"/>
      <c r="I14" s="37">
        <f>I13</f>
        <v>1022.5</v>
      </c>
    </row>
    <row r="15" spans="1:10" x14ac:dyDescent="0.25">
      <c r="A15" t="s">
        <v>66</v>
      </c>
      <c r="D15" s="17">
        <v>247000</v>
      </c>
      <c r="F15" t="s">
        <v>66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69</v>
      </c>
      <c r="B17" s="11">
        <v>2500</v>
      </c>
      <c r="C17" s="12" t="s">
        <v>98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99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100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89</v>
      </c>
      <c r="B27" s="31"/>
      <c r="C27" s="32"/>
      <c r="D27" s="33"/>
      <c r="I27" s="17"/>
    </row>
    <row r="28" spans="1:9" ht="14.4" thickBot="1" x14ac:dyDescent="0.3">
      <c r="A28" s="34" t="s">
        <v>32</v>
      </c>
      <c r="B28" s="35"/>
      <c r="C28" s="36"/>
      <c r="D28" s="37">
        <f>SUM(D19:D27)</f>
        <v>144.55000000000001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252" t="s">
        <v>205</v>
      </c>
      <c r="B30" s="253"/>
      <c r="C30" s="253"/>
      <c r="D30" s="254"/>
      <c r="I30" s="17"/>
    </row>
    <row r="31" spans="1:9" x14ac:dyDescent="0.25">
      <c r="A31" s="214" t="s">
        <v>206</v>
      </c>
      <c r="B31" s="12"/>
      <c r="C31" s="12"/>
      <c r="D31" s="215">
        <v>186</v>
      </c>
      <c r="I31" s="17"/>
    </row>
    <row r="32" spans="1:9" x14ac:dyDescent="0.25">
      <c r="A32" s="18" t="s">
        <v>207</v>
      </c>
      <c r="D32" s="216">
        <v>160</v>
      </c>
      <c r="I32" s="17"/>
    </row>
    <row r="33" spans="1:11" ht="14.4" thickBot="1" x14ac:dyDescent="0.3">
      <c r="A33" s="101" t="s">
        <v>208</v>
      </c>
      <c r="B33" s="103"/>
      <c r="C33" s="103"/>
      <c r="D33" s="217">
        <f>D31-D32</f>
        <v>26</v>
      </c>
      <c r="I33" s="17"/>
    </row>
    <row r="34" spans="1:11" x14ac:dyDescent="0.25">
      <c r="A34" s="10" t="s">
        <v>209</v>
      </c>
      <c r="B34" s="12"/>
      <c r="C34" s="12"/>
      <c r="D34" s="215">
        <v>240</v>
      </c>
      <c r="I34" s="17"/>
    </row>
    <row r="35" spans="1:11" x14ac:dyDescent="0.25">
      <c r="A35" s="18" t="s">
        <v>207</v>
      </c>
      <c r="D35" s="216">
        <v>160</v>
      </c>
      <c r="I35" s="17"/>
    </row>
    <row r="36" spans="1:11" ht="14.4" thickBot="1" x14ac:dyDescent="0.3">
      <c r="A36" s="101" t="s">
        <v>208</v>
      </c>
      <c r="B36" s="103"/>
      <c r="C36" s="103"/>
      <c r="D36" s="217">
        <f>D34-D35</f>
        <v>80</v>
      </c>
      <c r="I36" s="17"/>
    </row>
    <row r="37" spans="1:11" ht="14.4" thickBot="1" x14ac:dyDescent="0.3">
      <c r="A37" s="18"/>
      <c r="D37" s="216"/>
      <c r="I37" s="17"/>
    </row>
    <row r="38" spans="1:11" ht="14.4" thickBot="1" x14ac:dyDescent="0.3">
      <c r="A38" s="218" t="s">
        <v>210</v>
      </c>
      <c r="B38" s="219"/>
      <c r="C38" s="219"/>
      <c r="D38" s="220">
        <f>D36+D33</f>
        <v>106</v>
      </c>
      <c r="I38" s="17"/>
    </row>
    <row r="39" spans="1:11" x14ac:dyDescent="0.25">
      <c r="D39" s="17"/>
      <c r="I39" s="17"/>
    </row>
    <row r="40" spans="1:11" x14ac:dyDescent="0.25">
      <c r="D40" s="17"/>
      <c r="I40" s="17"/>
    </row>
    <row r="41" spans="1:11" x14ac:dyDescent="0.25">
      <c r="A41" t="s">
        <v>211</v>
      </c>
      <c r="D41" s="17">
        <f>D14+D28-D38</f>
        <v>1011.05</v>
      </c>
      <c r="I41" s="17"/>
    </row>
    <row r="42" spans="1:11" x14ac:dyDescent="0.25">
      <c r="D42" s="17"/>
      <c r="I42" s="17"/>
    </row>
    <row r="43" spans="1:11" x14ac:dyDescent="0.25">
      <c r="D43" s="17"/>
      <c r="I43" s="17"/>
    </row>
    <row r="44" spans="1:11" x14ac:dyDescent="0.25">
      <c r="D44" s="17"/>
      <c r="I44" s="17"/>
    </row>
    <row r="45" spans="1:11" x14ac:dyDescent="0.25">
      <c r="D45" s="17"/>
      <c r="I45" s="17"/>
    </row>
    <row r="46" spans="1:11" ht="14.4" thickBot="1" x14ac:dyDescent="0.3">
      <c r="A46" s="39" t="s">
        <v>161</v>
      </c>
    </row>
    <row r="47" spans="1:11" x14ac:dyDescent="0.25">
      <c r="A47" s="10" t="s">
        <v>51</v>
      </c>
      <c r="B47" s="99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</row>
    <row r="48" spans="1:11" x14ac:dyDescent="0.25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</row>
    <row r="49" spans="1:13" x14ac:dyDescent="0.25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</row>
    <row r="50" spans="1:13" x14ac:dyDescent="0.25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8"/>
      <c r="H50" s="108"/>
      <c r="I50" s="109">
        <f>I48+I49</f>
        <v>207.5</v>
      </c>
      <c r="J50" s="17">
        <f>'תחשיב לפי שווי שומה (2)'!B8</f>
        <v>18000</v>
      </c>
      <c r="K50" s="17">
        <f>I50*J50</f>
        <v>3735000</v>
      </c>
      <c r="L50" s="110">
        <v>0.29249999999999998</v>
      </c>
      <c r="M50" s="91">
        <f>K50*L50</f>
        <v>1092487.5</v>
      </c>
    </row>
    <row r="51" spans="1:13" ht="14.4" thickBot="1" x14ac:dyDescent="0.3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1" t="s">
        <v>61</v>
      </c>
      <c r="G51" s="103"/>
      <c r="H51" s="103"/>
      <c r="I51" s="104">
        <f>D57-I50</f>
        <v>79.300000000000011</v>
      </c>
      <c r="J51" s="17">
        <f>J50</f>
        <v>18000</v>
      </c>
      <c r="K51" s="17">
        <f>I51*J51</f>
        <v>1427400.0000000002</v>
      </c>
      <c r="L51" s="110">
        <v>0.33</v>
      </c>
      <c r="M51" s="91">
        <f>K51*L51</f>
        <v>471042.00000000012</v>
      </c>
    </row>
    <row r="52" spans="1:13" x14ac:dyDescent="0.25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1563529.5</v>
      </c>
    </row>
    <row r="53" spans="1:13" x14ac:dyDescent="0.25">
      <c r="A53" s="100" t="s">
        <v>26</v>
      </c>
      <c r="B53" s="71"/>
      <c r="C53" s="28">
        <v>0.5</v>
      </c>
      <c r="D53" s="29">
        <f t="shared" si="1"/>
        <v>0</v>
      </c>
    </row>
    <row r="54" spans="1:13" x14ac:dyDescent="0.25">
      <c r="A54" s="22" t="s">
        <v>27</v>
      </c>
      <c r="B54" s="23">
        <f>SUM(B48:B53)-B49</f>
        <v>273</v>
      </c>
      <c r="C54" s="24"/>
      <c r="D54" s="25"/>
    </row>
    <row r="55" spans="1:13" x14ac:dyDescent="0.25">
      <c r="A55" s="18" t="s">
        <v>28</v>
      </c>
      <c r="B55" s="19">
        <f>B47-B54</f>
        <v>77</v>
      </c>
      <c r="C55" s="20"/>
      <c r="D55" s="21"/>
    </row>
    <row r="56" spans="1:13" x14ac:dyDescent="0.25">
      <c r="A56" s="26" t="s">
        <v>29</v>
      </c>
      <c r="B56" s="105">
        <v>80</v>
      </c>
      <c r="C56" s="106">
        <v>0.25</v>
      </c>
      <c r="D56" s="107">
        <f>B56*C56</f>
        <v>20</v>
      </c>
    </row>
    <row r="57" spans="1:13" ht="14.4" thickBot="1" x14ac:dyDescent="0.3">
      <c r="A57" s="101" t="s">
        <v>31</v>
      </c>
      <c r="B57" s="102"/>
      <c r="C57" s="103"/>
      <c r="D57" s="104">
        <f>SUM(D48:D56)</f>
        <v>286.8</v>
      </c>
      <c r="F57" s="91"/>
    </row>
    <row r="58" spans="1:13" x14ac:dyDescent="0.25">
      <c r="A58" s="18" t="s">
        <v>75</v>
      </c>
      <c r="B58" s="19"/>
      <c r="D58" s="91">
        <v>100000</v>
      </c>
    </row>
    <row r="60" spans="1:13" ht="14.4" thickBot="1" x14ac:dyDescent="0.3">
      <c r="A60" t="s">
        <v>96</v>
      </c>
      <c r="B60">
        <v>2500</v>
      </c>
      <c r="F60" t="str">
        <f>A60</f>
        <v>לפי שומת הררי 2021</v>
      </c>
      <c r="G60">
        <v>3000</v>
      </c>
    </row>
    <row r="61" spans="1:13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13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13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13" x14ac:dyDescent="0.25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25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73</v>
      </c>
      <c r="G68">
        <v>500</v>
      </c>
      <c r="H68" s="20">
        <v>0.1</v>
      </c>
      <c r="I68" s="128">
        <f>G68*H68</f>
        <v>50</v>
      </c>
    </row>
    <row r="69" spans="1:9" x14ac:dyDescent="0.25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25">
      <c r="A71" t="s">
        <v>66</v>
      </c>
      <c r="D71" s="17">
        <v>175000</v>
      </c>
      <c r="F71" t="s">
        <v>66</v>
      </c>
      <c r="I71" s="17">
        <v>190000</v>
      </c>
    </row>
  </sheetData>
  <mergeCells count="1">
    <mergeCell ref="A30:D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M54"/>
  <sheetViews>
    <sheetView rightToLeft="1" tabSelected="1" topLeftCell="A8" zoomScale="130" zoomScaleNormal="130" workbookViewId="0">
      <selection activeCell="C8" sqref="C8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8.8984375" style="17" bestFit="1" customWidth="1"/>
    <col min="6" max="6" width="8.2968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</cols>
  <sheetData>
    <row r="2" spans="2:13" ht="15.6" x14ac:dyDescent="0.4">
      <c r="B2" s="39" t="s">
        <v>157</v>
      </c>
      <c r="C2" s="39"/>
      <c r="D2" s="131"/>
    </row>
    <row r="3" spans="2:13" x14ac:dyDescent="0.25">
      <c r="B3" t="s">
        <v>95</v>
      </c>
      <c r="C3" s="149"/>
      <c r="D3" s="149"/>
      <c r="G3" s="190"/>
      <c r="H3" s="149"/>
      <c r="I3" s="150"/>
      <c r="J3" s="150"/>
    </row>
    <row r="4" spans="2:13" x14ac:dyDescent="0.25">
      <c r="B4" t="s">
        <v>131</v>
      </c>
      <c r="C4" s="187"/>
      <c r="D4" s="38"/>
      <c r="G4" s="190"/>
      <c r="J4" s="150"/>
    </row>
    <row r="5" spans="2:13" x14ac:dyDescent="0.25">
      <c r="B5" t="s">
        <v>132</v>
      </c>
    </row>
    <row r="6" spans="2:13" x14ac:dyDescent="0.25">
      <c r="B6" t="s">
        <v>133</v>
      </c>
      <c r="C6" s="150"/>
      <c r="D6" s="149"/>
    </row>
    <row r="7" spans="2:13" x14ac:dyDescent="0.25">
      <c r="B7" t="s">
        <v>147</v>
      </c>
      <c r="C7" s="91">
        <f>F54</f>
        <v>18000</v>
      </c>
    </row>
    <row r="8" spans="2:13" x14ac:dyDescent="0.25">
      <c r="C8" s="150"/>
    </row>
    <row r="9" spans="2:13" x14ac:dyDescent="0.25">
      <c r="B9" s="39" t="s">
        <v>134</v>
      </c>
      <c r="C9" s="151"/>
    </row>
    <row r="10" spans="2:13" ht="27.6" x14ac:dyDescent="0.4">
      <c r="B10" s="39" t="s">
        <v>136</v>
      </c>
      <c r="C10" s="39" t="s">
        <v>135</v>
      </c>
      <c r="D10" s="131" t="s">
        <v>137</v>
      </c>
      <c r="E10" s="131" t="s">
        <v>138</v>
      </c>
      <c r="F10" s="131" t="s">
        <v>139</v>
      </c>
      <c r="G10" s="131" t="s">
        <v>140</v>
      </c>
      <c r="H10" s="189" t="s">
        <v>141</v>
      </c>
      <c r="I10" s="131" t="s">
        <v>142</v>
      </c>
      <c r="J10" s="131" t="s">
        <v>143</v>
      </c>
      <c r="K10" s="131" t="s">
        <v>144</v>
      </c>
      <c r="L10" s="131" t="s">
        <v>145</v>
      </c>
      <c r="M10" s="131" t="s">
        <v>146</v>
      </c>
    </row>
    <row r="11" spans="2:13" x14ac:dyDescent="0.25">
      <c r="B11" s="188"/>
    </row>
    <row r="13" spans="2:13" x14ac:dyDescent="0.25">
      <c r="C13" s="150"/>
    </row>
    <row r="14" spans="2:13" x14ac:dyDescent="0.25">
      <c r="C14" s="150"/>
    </row>
    <row r="15" spans="2:13" x14ac:dyDescent="0.25">
      <c r="B15" s="39"/>
    </row>
    <row r="16" spans="2:13" x14ac:dyDescent="0.25">
      <c r="C16" s="149"/>
    </row>
    <row r="17" spans="3:3" x14ac:dyDescent="0.25">
      <c r="C17" s="17"/>
    </row>
    <row r="19" spans="3:3" x14ac:dyDescent="0.25">
      <c r="C19" s="150"/>
    </row>
    <row r="20" spans="3:3" x14ac:dyDescent="0.25">
      <c r="C20" s="150"/>
    </row>
    <row r="21" spans="3:3" x14ac:dyDescent="0.25">
      <c r="C21" s="150"/>
    </row>
    <row r="47" spans="5:6" x14ac:dyDescent="0.25">
      <c r="E47" s="17" t="s">
        <v>223</v>
      </c>
      <c r="F47" s="17">
        <v>18000</v>
      </c>
    </row>
    <row r="48" spans="5:6" x14ac:dyDescent="0.25">
      <c r="E48" s="17" t="s">
        <v>224</v>
      </c>
      <c r="F48" s="38">
        <v>1.25</v>
      </c>
    </row>
    <row r="49" spans="5:6" x14ac:dyDescent="0.25">
      <c r="E49" s="17" t="s">
        <v>225</v>
      </c>
      <c r="F49" s="38">
        <v>1.07</v>
      </c>
    </row>
    <row r="50" spans="5:6" x14ac:dyDescent="0.25">
      <c r="E50" s="17" t="s">
        <v>226</v>
      </c>
      <c r="F50" s="38">
        <f>F49^F48</f>
        <v>1.0882526217519382</v>
      </c>
    </row>
    <row r="51" spans="5:6" x14ac:dyDescent="0.25">
      <c r="E51" s="17" t="s">
        <v>227</v>
      </c>
      <c r="F51" s="17">
        <f>F50*F47</f>
        <v>19588.547191534886</v>
      </c>
    </row>
    <row r="52" spans="5:6" x14ac:dyDescent="0.25">
      <c r="E52" s="17" t="s">
        <v>228</v>
      </c>
      <c r="F52" s="38">
        <v>0.9</v>
      </c>
    </row>
    <row r="53" spans="5:6" x14ac:dyDescent="0.25">
      <c r="E53" s="17" t="s">
        <v>227</v>
      </c>
      <c r="F53" s="17">
        <f>F52*F51</f>
        <v>17629.692472381397</v>
      </c>
    </row>
    <row r="54" spans="5:6" x14ac:dyDescent="0.25">
      <c r="E54" s="17" t="s">
        <v>229</v>
      </c>
      <c r="F54" s="17">
        <v>18000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D3" sqref="D3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20" t="s">
        <v>35</v>
      </c>
      <c r="B2" s="192" t="s">
        <v>164</v>
      </c>
      <c r="C2" s="120" t="s">
        <v>165</v>
      </c>
      <c r="D2" s="92" t="s">
        <v>199</v>
      </c>
      <c r="E2" s="97"/>
      <c r="F2" s="92"/>
      <c r="G2" s="92"/>
      <c r="H2" s="47"/>
      <c r="I2" s="47"/>
      <c r="J2" s="117"/>
      <c r="K2" s="117"/>
      <c r="L2" s="117"/>
      <c r="M2" s="117"/>
      <c r="N2" s="47"/>
      <c r="O2" s="47"/>
      <c r="P2" s="47"/>
      <c r="Q2" s="117"/>
      <c r="R2" s="117"/>
      <c r="S2" s="118"/>
    </row>
    <row r="3" spans="1:19" x14ac:dyDescent="0.25">
      <c r="A3" s="121" t="s">
        <v>152</v>
      </c>
      <c r="B3" s="193"/>
      <c r="C3" s="121"/>
      <c r="D3" s="93">
        <v>427</v>
      </c>
      <c r="E3" s="144"/>
      <c r="F3" s="93"/>
      <c r="G3" s="64"/>
      <c r="H3" s="64"/>
      <c r="I3" s="64"/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1" t="s">
        <v>94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76</v>
      </c>
      <c r="B5" s="193"/>
      <c r="C5" s="121"/>
      <c r="D5" s="93">
        <v>116</v>
      </c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148</v>
      </c>
      <c r="B6" s="193"/>
      <c r="C6" s="121"/>
      <c r="D6" s="93">
        <v>18</v>
      </c>
      <c r="E6" s="144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149</v>
      </c>
      <c r="B7" s="193"/>
      <c r="C7" s="121"/>
      <c r="D7" s="93"/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150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151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50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91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87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36</v>
      </c>
      <c r="B13" s="211"/>
      <c r="C13" s="210"/>
      <c r="D13" s="207">
        <f>SUM(D4:D12)</f>
        <v>134</v>
      </c>
      <c r="E13" s="201">
        <f>SUM(E4:E12)</f>
        <v>0</v>
      </c>
      <c r="F13" s="201">
        <f>SUM(F3:F12)</f>
        <v>0</v>
      </c>
      <c r="G13" s="201">
        <f>SUM(G3:G12)</f>
        <v>0</v>
      </c>
      <c r="H13" s="201">
        <f>SUM(H3:H12)</f>
        <v>0</v>
      </c>
      <c r="I13" s="202">
        <f t="shared" ref="I13:S13" si="0">SUM(I3:I12)</f>
        <v>0</v>
      </c>
      <c r="J13" s="202">
        <f t="shared" si="0"/>
        <v>0</v>
      </c>
      <c r="K13" s="202">
        <f t="shared" si="0"/>
        <v>0</v>
      </c>
      <c r="L13" s="202">
        <f t="shared" si="0"/>
        <v>0</v>
      </c>
      <c r="M13" s="202">
        <f t="shared" si="0"/>
        <v>0</v>
      </c>
      <c r="N13" s="203">
        <f t="shared" si="0"/>
        <v>0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37</v>
      </c>
      <c r="B14" s="192" t="s">
        <v>164</v>
      </c>
      <c r="C14" s="120" t="s">
        <v>165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204</v>
      </c>
      <c r="B15" s="197"/>
      <c r="C15" s="122"/>
      <c r="D15" s="52"/>
      <c r="E15" s="145">
        <v>93.5</v>
      </c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201</v>
      </c>
      <c r="B16" s="197"/>
      <c r="C16" s="122"/>
      <c r="D16" s="52"/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200</v>
      </c>
      <c r="B17" s="197"/>
      <c r="C17" s="122"/>
      <c r="D17" s="52">
        <v>117.64</v>
      </c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203</v>
      </c>
      <c r="B18" s="197"/>
      <c r="C18" s="122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203</v>
      </c>
      <c r="B19" s="197"/>
      <c r="C19" s="122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202</v>
      </c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90</v>
      </c>
      <c r="B24" s="198"/>
      <c r="C24" s="127"/>
      <c r="D24" s="208">
        <f>SUM(D17:D23)</f>
        <v>117.64</v>
      </c>
      <c r="E24" s="119">
        <f>SUM(E17:E23)</f>
        <v>0</v>
      </c>
      <c r="F24" s="119">
        <f t="shared" ref="F24:S24" si="1">SUM(F15:F23)</f>
        <v>0</v>
      </c>
      <c r="G24" s="119">
        <f t="shared" si="1"/>
        <v>0</v>
      </c>
      <c r="H24" s="119">
        <f t="shared" si="1"/>
        <v>0</v>
      </c>
      <c r="I24" s="119">
        <f t="shared" si="1"/>
        <v>0</v>
      </c>
      <c r="J24" s="119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1">
        <f t="shared" si="1"/>
        <v>0</v>
      </c>
      <c r="R24" s="141">
        <f t="shared" si="1"/>
        <v>0</v>
      </c>
      <c r="S24" s="139">
        <f t="shared" si="1"/>
        <v>0</v>
      </c>
    </row>
    <row r="25" spans="1:19" ht="14.4" thickBot="1" x14ac:dyDescent="0.3">
      <c r="A25" s="125" t="s">
        <v>38</v>
      </c>
      <c r="B25" s="199"/>
      <c r="C25" s="125"/>
      <c r="D25" s="142">
        <f t="shared" ref="D25:S25" si="2">D13-D24</f>
        <v>16.36</v>
      </c>
      <c r="E25" s="138">
        <f t="shared" si="2"/>
        <v>0</v>
      </c>
      <c r="F25" s="138">
        <f t="shared" si="2"/>
        <v>0</v>
      </c>
      <c r="G25" s="138">
        <f t="shared" si="2"/>
        <v>0</v>
      </c>
      <c r="H25" s="138">
        <f t="shared" si="2"/>
        <v>0</v>
      </c>
      <c r="I25" s="138">
        <f t="shared" si="2"/>
        <v>0</v>
      </c>
      <c r="J25" s="138">
        <f t="shared" si="2"/>
        <v>0</v>
      </c>
      <c r="K25" s="138">
        <f t="shared" si="2"/>
        <v>0</v>
      </c>
      <c r="L25" s="138">
        <f t="shared" si="2"/>
        <v>0</v>
      </c>
      <c r="M25" s="138">
        <f t="shared" si="2"/>
        <v>0</v>
      </c>
      <c r="N25" s="138">
        <f t="shared" si="2"/>
        <v>0</v>
      </c>
      <c r="O25" s="138">
        <f t="shared" si="2"/>
        <v>0</v>
      </c>
      <c r="P25" s="138">
        <f t="shared" si="2"/>
        <v>0</v>
      </c>
      <c r="Q25" s="143">
        <f t="shared" si="2"/>
        <v>0</v>
      </c>
      <c r="R25" s="142">
        <f t="shared" si="2"/>
        <v>0</v>
      </c>
      <c r="S25" s="146">
        <f t="shared" si="2"/>
        <v>0</v>
      </c>
    </row>
    <row r="26" spans="1:19" x14ac:dyDescent="0.25">
      <c r="D26" s="135"/>
      <c r="E26" s="73"/>
      <c r="F26" s="148"/>
      <c r="H26" s="73"/>
      <c r="I26" s="73"/>
      <c r="J26" s="73"/>
      <c r="K26" s="98"/>
      <c r="L26" s="148"/>
      <c r="M26" s="73"/>
    </row>
    <row r="27" spans="1:19" x14ac:dyDescent="0.25">
      <c r="A27" t="s">
        <v>88</v>
      </c>
      <c r="D27" s="136">
        <f>D8+D7</f>
        <v>0</v>
      </c>
      <c r="F27" s="73"/>
    </row>
    <row r="28" spans="1:19" x14ac:dyDescent="0.25">
      <c r="E28" s="91">
        <f>E3*9300*5%*7</f>
        <v>0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39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-134</v>
      </c>
      <c r="G32" s="72"/>
      <c r="H32" s="72"/>
      <c r="L32" s="91"/>
    </row>
    <row r="33" spans="1:10" x14ac:dyDescent="0.25">
      <c r="A33" t="s">
        <v>15</v>
      </c>
      <c r="E33" s="17">
        <f>-E13</f>
        <v>0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-134</v>
      </c>
      <c r="J35" s="72"/>
    </row>
    <row r="36" spans="1:10" x14ac:dyDescent="0.25">
      <c r="A36" t="s">
        <v>40</v>
      </c>
      <c r="E36" s="38">
        <v>375</v>
      </c>
      <c r="H36" s="91"/>
    </row>
    <row r="37" spans="1:10" x14ac:dyDescent="0.25">
      <c r="A37" s="40" t="s">
        <v>41</v>
      </c>
      <c r="B37" s="40"/>
      <c r="C37" s="40"/>
      <c r="D37" s="40"/>
      <c r="E37" s="23">
        <f>SUM(E35:E36)</f>
        <v>241</v>
      </c>
    </row>
    <row r="38" spans="1:10" x14ac:dyDescent="0.25">
      <c r="A38" t="s">
        <v>42</v>
      </c>
      <c r="E38" s="17">
        <f>-E24-F24-I24</f>
        <v>0</v>
      </c>
    </row>
    <row r="39" spans="1:10" x14ac:dyDescent="0.25">
      <c r="A39" s="40" t="s">
        <v>43</v>
      </c>
      <c r="B39" s="40"/>
      <c r="C39" s="40"/>
      <c r="D39" s="40"/>
      <c r="E39" s="70">
        <f>SUM(E37:E38)</f>
        <v>241</v>
      </c>
    </row>
    <row r="43" spans="1:10" x14ac:dyDescent="0.25">
      <c r="A43" s="130" t="s">
        <v>77</v>
      </c>
      <c r="B43" s="130"/>
      <c r="C43" s="130"/>
    </row>
    <row r="44" spans="1:10" ht="15.6" x14ac:dyDescent="0.4">
      <c r="A44" s="39" t="s">
        <v>78</v>
      </c>
      <c r="B44" s="39"/>
      <c r="C44" s="39"/>
      <c r="D44" s="39" t="s">
        <v>80</v>
      </c>
      <c r="E44" s="131" t="s">
        <v>81</v>
      </c>
      <c r="F44" s="39" t="s">
        <v>84</v>
      </c>
      <c r="G44" s="39"/>
      <c r="H44" s="17"/>
      <c r="I44" s="17"/>
    </row>
    <row r="45" spans="1:10" x14ac:dyDescent="0.25">
      <c r="A45" t="s">
        <v>44</v>
      </c>
      <c r="F45" s="91">
        <f>E45-D45</f>
        <v>0</v>
      </c>
    </row>
    <row r="46" spans="1:10" x14ac:dyDescent="0.25">
      <c r="A46" t="s">
        <v>79</v>
      </c>
      <c r="F46" s="91">
        <f>E46-D46</f>
        <v>0</v>
      </c>
    </row>
    <row r="47" spans="1:10" x14ac:dyDescent="0.25">
      <c r="A47" s="108" t="s">
        <v>82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83</v>
      </c>
      <c r="B49" s="39"/>
      <c r="C49" s="39"/>
      <c r="D49" s="39" t="s">
        <v>80</v>
      </c>
      <c r="E49" s="131" t="s">
        <v>81</v>
      </c>
      <c r="F49" s="39" t="s">
        <v>84</v>
      </c>
    </row>
    <row r="50" spans="1:10" x14ac:dyDescent="0.25">
      <c r="A50" t="s">
        <v>44</v>
      </c>
      <c r="F50" s="91">
        <f>E50-D50</f>
        <v>0</v>
      </c>
      <c r="G50" s="39"/>
      <c r="J50" s="17"/>
    </row>
    <row r="51" spans="1:10" x14ac:dyDescent="0.25">
      <c r="A51" t="s">
        <v>79</v>
      </c>
      <c r="F51" s="91">
        <f>E51-D51</f>
        <v>0</v>
      </c>
    </row>
    <row r="52" spans="1:10" x14ac:dyDescent="0.25">
      <c r="A52" s="108" t="s">
        <v>82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G8"/>
  <sheetViews>
    <sheetView rightToLeft="1" zoomScale="175" zoomScaleNormal="175" workbookViewId="0">
      <selection activeCell="C13" sqref="C13"/>
    </sheetView>
  </sheetViews>
  <sheetFormatPr defaultRowHeight="13.8" x14ac:dyDescent="0.25"/>
  <cols>
    <col min="1" max="1" width="8.5" bestFit="1" customWidth="1"/>
    <col min="2" max="2" width="11.5" bestFit="1" customWidth="1"/>
    <col min="3" max="3" width="9.8984375" bestFit="1" customWidth="1"/>
    <col min="6" max="6" width="22.09765625" bestFit="1" customWidth="1"/>
    <col min="7" max="7" width="10.59765625" bestFit="1" customWidth="1"/>
  </cols>
  <sheetData>
    <row r="2" spans="1:7" x14ac:dyDescent="0.25">
      <c r="A2" s="39" t="s">
        <v>168</v>
      </c>
      <c r="B2" s="39" t="s">
        <v>169</v>
      </c>
      <c r="C2" s="39" t="s">
        <v>136</v>
      </c>
      <c r="D2" s="39" t="s">
        <v>170</v>
      </c>
    </row>
    <row r="3" spans="1:7" x14ac:dyDescent="0.25">
      <c r="A3" t="s">
        <v>240</v>
      </c>
      <c r="B3" t="s">
        <v>239</v>
      </c>
      <c r="C3" s="188">
        <v>37847</v>
      </c>
      <c r="D3">
        <v>500</v>
      </c>
      <c r="E3" t="s">
        <v>171</v>
      </c>
    </row>
    <row r="4" spans="1:7" x14ac:dyDescent="0.25">
      <c r="B4" t="s">
        <v>236</v>
      </c>
      <c r="C4" s="188">
        <v>35761</v>
      </c>
      <c r="D4" s="190">
        <v>0.12</v>
      </c>
      <c r="E4" t="s">
        <v>237</v>
      </c>
    </row>
    <row r="5" spans="1:7" ht="14.4" thickBot="1" x14ac:dyDescent="0.3">
      <c r="A5" t="s">
        <v>172</v>
      </c>
      <c r="B5" t="s">
        <v>235</v>
      </c>
      <c r="C5" s="188">
        <v>33528</v>
      </c>
      <c r="D5">
        <v>2.5</v>
      </c>
      <c r="E5" t="s">
        <v>173</v>
      </c>
      <c r="F5">
        <v>450</v>
      </c>
    </row>
    <row r="6" spans="1:7" ht="14.4" thickBot="1" x14ac:dyDescent="0.3">
      <c r="A6" t="s">
        <v>172</v>
      </c>
      <c r="B6" t="s">
        <v>232</v>
      </c>
      <c r="C6" s="188">
        <v>32524</v>
      </c>
      <c r="D6">
        <v>2</v>
      </c>
      <c r="E6" t="s">
        <v>173</v>
      </c>
      <c r="F6" s="221" t="s">
        <v>233</v>
      </c>
      <c r="G6" s="222" t="s">
        <v>234</v>
      </c>
    </row>
    <row r="7" spans="1:7" x14ac:dyDescent="0.25">
      <c r="A7" t="s">
        <v>231</v>
      </c>
      <c r="B7" t="s">
        <v>230</v>
      </c>
      <c r="C7" s="188">
        <v>29958</v>
      </c>
      <c r="D7" s="212">
        <v>2</v>
      </c>
      <c r="E7" t="s">
        <v>173</v>
      </c>
      <c r="F7">
        <v>350</v>
      </c>
    </row>
    <row r="8" spans="1:7" x14ac:dyDescent="0.25">
      <c r="B8" t="s">
        <v>238</v>
      </c>
      <c r="C8">
        <v>28117</v>
      </c>
      <c r="D8">
        <v>2</v>
      </c>
      <c r="E8" t="s">
        <v>173</v>
      </c>
      <c r="F8">
        <v>300</v>
      </c>
    </row>
  </sheetData>
  <autoFilter ref="A2:F7" xr:uid="{3056B9E0-6524-4EBC-9BE5-F818961ABBE2}">
    <sortState xmlns:xlrd2="http://schemas.microsoft.com/office/spreadsheetml/2017/richdata2" ref="A3:F7">
      <sortCondition descending="1" ref="C2:C7"/>
    </sortState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268" t="s">
        <v>120</v>
      </c>
      <c r="C2" s="269"/>
      <c r="D2" s="269"/>
      <c r="E2" s="269"/>
      <c r="F2" s="270"/>
    </row>
    <row r="3" spans="2:10" ht="14.4" thickBot="1" x14ac:dyDescent="0.3">
      <c r="B3" s="152" t="s">
        <v>49</v>
      </c>
      <c r="C3" s="271" t="s">
        <v>44</v>
      </c>
      <c r="D3" s="272"/>
      <c r="E3" s="271" t="s">
        <v>102</v>
      </c>
      <c r="F3" s="273"/>
    </row>
    <row r="4" spans="2:10" x14ac:dyDescent="0.25">
      <c r="B4" s="167" t="s">
        <v>103</v>
      </c>
      <c r="C4" s="264">
        <v>0</v>
      </c>
      <c r="D4" s="290"/>
      <c r="E4" s="264">
        <v>0</v>
      </c>
      <c r="F4" s="265"/>
    </row>
    <row r="5" spans="2:10" x14ac:dyDescent="0.25">
      <c r="B5" s="172" t="s">
        <v>104</v>
      </c>
      <c r="C5" s="264">
        <v>140000</v>
      </c>
      <c r="D5" s="290"/>
      <c r="E5" s="264">
        <f>6000*2</f>
        <v>12000</v>
      </c>
      <c r="F5" s="265"/>
    </row>
    <row r="6" spans="2:10" ht="27.6" x14ac:dyDescent="0.25">
      <c r="B6" s="172" t="s">
        <v>116</v>
      </c>
      <c r="C6" s="264">
        <f>46500*7</f>
        <v>325500</v>
      </c>
      <c r="D6" s="290"/>
      <c r="E6" s="264">
        <v>0</v>
      </c>
      <c r="F6" s="265"/>
    </row>
    <row r="7" spans="2:10" x14ac:dyDescent="0.25">
      <c r="B7" s="172" t="s">
        <v>105</v>
      </c>
      <c r="C7" s="264">
        <f>13000*7</f>
        <v>91000</v>
      </c>
      <c r="D7" s="290"/>
      <c r="E7" s="264">
        <f>4000*7</f>
        <v>28000</v>
      </c>
      <c r="F7" s="265"/>
    </row>
    <row r="8" spans="2:10" ht="14.4" thickBot="1" x14ac:dyDescent="0.3">
      <c r="B8" s="158" t="s">
        <v>106</v>
      </c>
      <c r="C8" s="264">
        <f>65000*7</f>
        <v>455000</v>
      </c>
      <c r="D8" s="290"/>
      <c r="E8" s="264">
        <v>50000</v>
      </c>
      <c r="F8" s="265"/>
      <c r="J8" t="s">
        <v>166</v>
      </c>
    </row>
    <row r="9" spans="2:10" ht="14.4" thickBot="1" x14ac:dyDescent="0.3">
      <c r="B9" s="268" t="s">
        <v>119</v>
      </c>
      <c r="C9" s="269"/>
      <c r="D9" s="269"/>
      <c r="E9" s="269"/>
      <c r="F9" s="270"/>
      <c r="J9" t="s">
        <v>167</v>
      </c>
    </row>
    <row r="10" spans="2:10" ht="16.2" thickBot="1" x14ac:dyDescent="0.3">
      <c r="B10" s="153" t="s">
        <v>114</v>
      </c>
      <c r="C10" s="154" t="s">
        <v>112</v>
      </c>
      <c r="D10" s="155" t="s">
        <v>109</v>
      </c>
      <c r="E10" s="156" t="s">
        <v>110</v>
      </c>
      <c r="F10" s="157" t="s">
        <v>111</v>
      </c>
    </row>
    <row r="11" spans="2:10" x14ac:dyDescent="0.25">
      <c r="B11" s="167" t="s">
        <v>103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104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107</v>
      </c>
      <c r="C13" s="266" t="s">
        <v>113</v>
      </c>
      <c r="D13" s="266"/>
      <c r="E13" s="266"/>
      <c r="F13" s="267"/>
    </row>
    <row r="14" spans="2:10" x14ac:dyDescent="0.25">
      <c r="B14" s="182" t="s">
        <v>105</v>
      </c>
      <c r="C14" s="266" t="s">
        <v>115</v>
      </c>
      <c r="D14" s="266"/>
      <c r="E14" s="266"/>
      <c r="F14" s="267"/>
    </row>
    <row r="15" spans="2:10" ht="14.4" thickBot="1" x14ac:dyDescent="0.3">
      <c r="B15" s="158" t="s">
        <v>106</v>
      </c>
      <c r="C15" s="284" t="s">
        <v>117</v>
      </c>
      <c r="D15" s="285"/>
      <c r="E15" s="285"/>
      <c r="F15" s="286"/>
    </row>
    <row r="16" spans="2:10" ht="14.4" thickBot="1" x14ac:dyDescent="0.3"/>
    <row r="17" spans="2:6" ht="14.4" thickBot="1" x14ac:dyDescent="0.3">
      <c r="B17" s="268" t="s">
        <v>101</v>
      </c>
      <c r="C17" s="269"/>
      <c r="D17" s="269"/>
      <c r="E17" s="269"/>
      <c r="F17" s="270"/>
    </row>
    <row r="18" spans="2:6" ht="14.4" thickBot="1" x14ac:dyDescent="0.3">
      <c r="B18" s="152" t="s">
        <v>108</v>
      </c>
      <c r="C18" s="271" t="s">
        <v>44</v>
      </c>
      <c r="D18" s="272"/>
      <c r="E18" s="271" t="s">
        <v>102</v>
      </c>
      <c r="F18" s="273"/>
    </row>
    <row r="19" spans="2:6" x14ac:dyDescent="0.25">
      <c r="B19" s="167" t="s">
        <v>103</v>
      </c>
      <c r="C19" s="287">
        <v>0</v>
      </c>
      <c r="D19" s="288"/>
      <c r="E19" s="287">
        <v>0</v>
      </c>
      <c r="F19" s="289"/>
    </row>
    <row r="20" spans="2:6" x14ac:dyDescent="0.25">
      <c r="B20" s="172" t="s">
        <v>104</v>
      </c>
      <c r="C20" s="276">
        <v>70000</v>
      </c>
      <c r="D20" s="277"/>
      <c r="E20" s="278">
        <f>6000*7</f>
        <v>42000</v>
      </c>
      <c r="F20" s="279"/>
    </row>
    <row r="21" spans="2:6" x14ac:dyDescent="0.25">
      <c r="B21" s="176" t="s">
        <v>107</v>
      </c>
      <c r="C21" s="276">
        <f>46500*7</f>
        <v>325500</v>
      </c>
      <c r="D21" s="277"/>
      <c r="E21" s="276">
        <v>0</v>
      </c>
      <c r="F21" s="280"/>
    </row>
    <row r="22" spans="2:6" x14ac:dyDescent="0.25">
      <c r="B22" s="172" t="s">
        <v>105</v>
      </c>
      <c r="C22" s="276">
        <f>13000*7</f>
        <v>91000</v>
      </c>
      <c r="D22" s="277"/>
      <c r="E22" s="276">
        <f>4000*7</f>
        <v>28000</v>
      </c>
      <c r="F22" s="280"/>
    </row>
    <row r="23" spans="2:6" ht="14.4" thickBot="1" x14ac:dyDescent="0.3">
      <c r="B23" s="158" t="s">
        <v>106</v>
      </c>
      <c r="C23" s="281">
        <f>65000*7</f>
        <v>455000</v>
      </c>
      <c r="D23" s="282"/>
      <c r="E23" s="281">
        <f>7000*7</f>
        <v>49000</v>
      </c>
      <c r="F23" s="283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114</v>
      </c>
      <c r="C25" s="154" t="s">
        <v>112</v>
      </c>
      <c r="D25" s="155" t="s">
        <v>109</v>
      </c>
      <c r="E25" s="156" t="s">
        <v>110</v>
      </c>
      <c r="F25" s="157" t="s">
        <v>111</v>
      </c>
    </row>
    <row r="26" spans="2:6" x14ac:dyDescent="0.25">
      <c r="B26" s="167" t="s">
        <v>103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104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107</v>
      </c>
      <c r="C28" s="274" t="s">
        <v>113</v>
      </c>
      <c r="D28" s="274"/>
      <c r="E28" s="274"/>
      <c r="F28" s="275"/>
    </row>
    <row r="29" spans="2:6" x14ac:dyDescent="0.25">
      <c r="B29" s="172" t="s">
        <v>105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106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268" t="s">
        <v>118</v>
      </c>
      <c r="C35" s="269"/>
      <c r="D35" s="269"/>
      <c r="E35" s="269"/>
      <c r="F35" s="270"/>
    </row>
    <row r="36" spans="2:6" ht="14.4" thickBot="1" x14ac:dyDescent="0.3">
      <c r="B36" s="152" t="s">
        <v>121</v>
      </c>
      <c r="C36" s="271" t="s">
        <v>44</v>
      </c>
      <c r="D36" s="272"/>
      <c r="E36" s="271" t="s">
        <v>102</v>
      </c>
      <c r="F36" s="273"/>
    </row>
    <row r="37" spans="2:6" x14ac:dyDescent="0.25">
      <c r="B37" s="167" t="s">
        <v>122</v>
      </c>
      <c r="C37" s="255" t="s">
        <v>125</v>
      </c>
      <c r="D37" s="256"/>
      <c r="E37" s="256"/>
      <c r="F37" s="257"/>
    </row>
    <row r="38" spans="2:6" x14ac:dyDescent="0.25">
      <c r="B38" s="172" t="s">
        <v>123</v>
      </c>
      <c r="C38" s="258" t="s">
        <v>124</v>
      </c>
      <c r="D38" s="259"/>
      <c r="E38" s="259"/>
      <c r="F38" s="260"/>
    </row>
    <row r="39" spans="2:6" x14ac:dyDescent="0.25">
      <c r="B39" s="172" t="s">
        <v>126</v>
      </c>
      <c r="C39" s="258" t="s">
        <v>127</v>
      </c>
      <c r="D39" s="259"/>
      <c r="E39" s="259"/>
      <c r="F39" s="260"/>
    </row>
    <row r="40" spans="2:6" ht="14.4" thickBot="1" x14ac:dyDescent="0.3">
      <c r="B40" s="158" t="s">
        <v>128</v>
      </c>
      <c r="C40" s="261" t="s">
        <v>129</v>
      </c>
      <c r="D40" s="262"/>
      <c r="E40" s="262"/>
      <c r="F40" s="263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174</v>
      </c>
      <c r="B2" t="s">
        <v>175</v>
      </c>
    </row>
    <row r="3" spans="1:14" x14ac:dyDescent="0.25">
      <c r="B3" t="s">
        <v>44</v>
      </c>
    </row>
    <row r="7" spans="1:14" x14ac:dyDescent="0.25">
      <c r="N7" t="s">
        <v>176</v>
      </c>
    </row>
    <row r="8" spans="1:14" x14ac:dyDescent="0.25">
      <c r="A8" t="s">
        <v>177</v>
      </c>
      <c r="N8" t="s">
        <v>178</v>
      </c>
    </row>
    <row r="9" spans="1:14" x14ac:dyDescent="0.25">
      <c r="A9" t="s">
        <v>179</v>
      </c>
      <c r="D9" s="213" t="s">
        <v>180</v>
      </c>
      <c r="E9" s="213"/>
      <c r="N9" t="s">
        <v>181</v>
      </c>
    </row>
    <row r="10" spans="1:14" x14ac:dyDescent="0.25">
      <c r="N10" t="s">
        <v>182</v>
      </c>
    </row>
    <row r="15" spans="1:14" x14ac:dyDescent="0.25">
      <c r="A15" t="s">
        <v>183</v>
      </c>
      <c r="B15" t="s">
        <v>184</v>
      </c>
    </row>
    <row r="19" spans="1:12" x14ac:dyDescent="0.25">
      <c r="A19" s="39" t="s">
        <v>185</v>
      </c>
      <c r="B19" s="39" t="s">
        <v>176</v>
      </c>
      <c r="C19" s="39" t="s">
        <v>80</v>
      </c>
      <c r="D19" s="39" t="s">
        <v>186</v>
      </c>
      <c r="E19" s="39" t="s">
        <v>187</v>
      </c>
      <c r="F19" s="39" t="s">
        <v>188</v>
      </c>
      <c r="G19" s="39" t="s">
        <v>21</v>
      </c>
      <c r="H19" s="39" t="s">
        <v>189</v>
      </c>
      <c r="I19" s="39" t="s">
        <v>190</v>
      </c>
      <c r="J19" s="39" t="s">
        <v>191</v>
      </c>
      <c r="K19" s="39" t="s">
        <v>192</v>
      </c>
      <c r="L19" s="39" t="s">
        <v>193</v>
      </c>
    </row>
    <row r="20" spans="1:12" x14ac:dyDescent="0.25">
      <c r="A20" t="s">
        <v>194</v>
      </c>
      <c r="H20" s="149">
        <f>'תחשיב לפי שווי שומה (2)'!B8</f>
        <v>18000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195</v>
      </c>
      <c r="H21" s="150">
        <f>H20</f>
        <v>18000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196</v>
      </c>
      <c r="H22" s="150">
        <f>H21</f>
        <v>18000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197</v>
      </c>
      <c r="H23" s="150">
        <f>H22</f>
        <v>18000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198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2025-05-22T12:46:51Z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