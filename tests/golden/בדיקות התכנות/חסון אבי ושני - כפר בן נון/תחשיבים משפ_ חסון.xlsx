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חסון אבי ושני - כפר בן-נון/פרוייקט בדיקת התכנות/בדיקת התכנות/"/>
    </mc:Choice>
  </mc:AlternateContent>
  <xr:revisionPtr revIDLastSave="317" documentId="8_{E9A5D54E-385F-4F6C-AF2C-D62B03C85759}" xr6:coauthVersionLast="47" xr6:coauthVersionMax="47" xr10:uidLastSave="{C9F91699-E2F7-480F-9EF5-446243345AC9}"/>
  <bookViews>
    <workbookView minimized="1" xWindow="-24930" yWindow="2700" windowWidth="21600" windowHeight="11235" activeTab="5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תחשיבי הסדרה" sheetId="11" r:id="rId4"/>
    <sheet name="ניתוח איזור לעסקאות דמה" sheetId="5" r:id="rId5"/>
    <sheet name="חישוב גדלי בתים" sheetId="4" r:id="rId6"/>
    <sheet name="תבעות" sheetId="8" r:id="rId7"/>
    <sheet name="גיליון1" sheetId="7" r:id="rId8"/>
    <sheet name="בקרה" sheetId="9" r:id="rId9"/>
  </sheets>
  <externalReferences>
    <externalReference r:id="rId10"/>
  </externalReferences>
  <definedNames>
    <definedName name="_xlnm._FilterDatabase" localSheetId="6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1" l="1"/>
  <c r="L11" i="11"/>
  <c r="L14" i="11" s="1"/>
  <c r="K11" i="11"/>
  <c r="J11" i="11"/>
  <c r="I11" i="11"/>
  <c r="K10" i="11"/>
  <c r="K9" i="11"/>
  <c r="K8" i="11"/>
  <c r="K7" i="11"/>
  <c r="K6" i="11"/>
  <c r="K5" i="11"/>
  <c r="S41" i="5" l="1"/>
  <c r="S40" i="5"/>
  <c r="S42" i="5" s="1"/>
  <c r="C7" i="5"/>
  <c r="H23" i="5"/>
  <c r="I23" i="5" s="1"/>
  <c r="G23" i="5"/>
  <c r="I22" i="5"/>
  <c r="G22" i="5"/>
  <c r="I21" i="5"/>
  <c r="G21" i="5"/>
  <c r="E76" i="5"/>
  <c r="E75" i="5"/>
  <c r="E74" i="5"/>
  <c r="F73" i="5"/>
  <c r="C77" i="5" s="1"/>
  <c r="E77" i="5" s="1"/>
  <c r="I66" i="5"/>
  <c r="K66" i="5" s="1"/>
  <c r="K65" i="5"/>
  <c r="C65" i="5"/>
  <c r="E65" i="5" s="1"/>
  <c r="K64" i="5"/>
  <c r="E64" i="5"/>
  <c r="K63" i="5"/>
  <c r="E63" i="5"/>
  <c r="K62" i="5"/>
  <c r="E62" i="5"/>
  <c r="K61" i="5"/>
  <c r="E61" i="5"/>
  <c r="F60" i="5"/>
  <c r="E51" i="5"/>
  <c r="E50" i="5"/>
  <c r="E49" i="5"/>
  <c r="C48" i="5"/>
  <c r="E48" i="5" s="1"/>
  <c r="E47" i="5"/>
  <c r="F46" i="5"/>
  <c r="C52" i="5" s="1"/>
  <c r="E52" i="5" s="1"/>
  <c r="C38" i="5"/>
  <c r="E38" i="5" s="1"/>
  <c r="E36" i="5"/>
  <c r="K35" i="5"/>
  <c r="E35" i="5"/>
  <c r="I34" i="5"/>
  <c r="K34" i="5" s="1"/>
  <c r="K33" i="5"/>
  <c r="E33" i="5"/>
  <c r="K32" i="5"/>
  <c r="C32" i="5"/>
  <c r="C34" i="5" s="1"/>
  <c r="E34" i="5" s="1"/>
  <c r="L31" i="5"/>
  <c r="I37" i="5" s="1"/>
  <c r="K37" i="5" s="1"/>
  <c r="I20" i="5"/>
  <c r="G20" i="5"/>
  <c r="I19" i="5"/>
  <c r="G19" i="5"/>
  <c r="I18" i="5"/>
  <c r="G18" i="5"/>
  <c r="I17" i="5"/>
  <c r="G17" i="5"/>
  <c r="I16" i="5"/>
  <c r="G16" i="5"/>
  <c r="I15" i="5"/>
  <c r="G15" i="5"/>
  <c r="S56" i="3"/>
  <c r="W54" i="3"/>
  <c r="U54" i="3"/>
  <c r="Y54" i="3" s="1"/>
  <c r="U52" i="3"/>
  <c r="Y52" i="3" s="1"/>
  <c r="S51" i="3"/>
  <c r="S53" i="3" s="1"/>
  <c r="S55" i="3" s="1"/>
  <c r="S57" i="3" s="1"/>
  <c r="S50" i="3"/>
  <c r="U50" i="3" s="1"/>
  <c r="S49" i="3"/>
  <c r="U49" i="3" s="1"/>
  <c r="S48" i="3"/>
  <c r="U48" i="3" s="1"/>
  <c r="S47" i="3"/>
  <c r="W47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W58" i="3" l="1"/>
  <c r="J21" i="5"/>
  <c r="L21" i="5" s="1"/>
  <c r="E93" i="5" s="1"/>
  <c r="E94" i="5" s="1"/>
  <c r="N21" i="5" s="1"/>
  <c r="J22" i="5"/>
  <c r="L22" i="5" s="1"/>
  <c r="K92" i="5" s="1"/>
  <c r="K93" i="5" s="1"/>
  <c r="N22" i="5" s="1"/>
  <c r="J17" i="5"/>
  <c r="L17" i="5" s="1"/>
  <c r="E54" i="5" s="1"/>
  <c r="J19" i="5"/>
  <c r="L19" i="5" s="1"/>
  <c r="K68" i="5" s="1"/>
  <c r="J23" i="5"/>
  <c r="L23" i="5" s="1"/>
  <c r="J15" i="5"/>
  <c r="L15" i="5" s="1"/>
  <c r="J20" i="5"/>
  <c r="L20" i="5" s="1"/>
  <c r="J16" i="5"/>
  <c r="L16" i="5" s="1"/>
  <c r="E78" i="5"/>
  <c r="I36" i="5"/>
  <c r="K36" i="5" s="1"/>
  <c r="K38" i="5" s="1"/>
  <c r="E66" i="5"/>
  <c r="K67" i="5"/>
  <c r="J18" i="5"/>
  <c r="L18" i="5" s="1"/>
  <c r="E67" i="5" s="1"/>
  <c r="E53" i="5"/>
  <c r="C37" i="5"/>
  <c r="E37" i="5" s="1"/>
  <c r="E32" i="5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55" i="5" l="1"/>
  <c r="N17" i="5" s="1"/>
  <c r="E79" i="5"/>
  <c r="E80" i="5" s="1"/>
  <c r="N20" i="5" s="1"/>
  <c r="E104" i="5"/>
  <c r="E105" i="5" s="1"/>
  <c r="N23" i="5" s="1"/>
  <c r="K69" i="5"/>
  <c r="N19" i="5" s="1"/>
  <c r="E68" i="5"/>
  <c r="N18" i="5" s="1"/>
  <c r="E39" i="5"/>
  <c r="H23" i="9"/>
  <c r="J23" i="9" s="1"/>
  <c r="J22" i="9"/>
  <c r="D42" i="6"/>
  <c r="C35" i="6"/>
  <c r="D35" i="6" s="1"/>
  <c r="G25" i="4"/>
  <c r="I25" i="4"/>
  <c r="H25" i="4"/>
  <c r="D25" i="4"/>
  <c r="F25" i="4"/>
  <c r="E25" i="4"/>
  <c r="E40" i="5" l="1"/>
  <c r="E41" i="5" s="1"/>
  <c r="N15" i="5" s="1"/>
  <c r="K39" i="5"/>
  <c r="K40" i="5" s="1"/>
  <c r="N16" i="5" s="1"/>
  <c r="N24" i="5" s="1"/>
  <c r="C15" i="6"/>
  <c r="D27" i="4"/>
  <c r="N25" i="5" l="1"/>
  <c r="N27" i="5" s="1"/>
  <c r="D9" i="6"/>
  <c r="S24" i="4" l="1"/>
  <c r="R24" i="4"/>
  <c r="Q24" i="4"/>
  <c r="P24" i="4"/>
  <c r="O24" i="4"/>
  <c r="N24" i="4"/>
  <c r="M24" i="4"/>
  <c r="L24" i="4"/>
  <c r="K24" i="4"/>
  <c r="J24" i="4"/>
  <c r="D22" i="3" l="1"/>
  <c r="D10" i="3"/>
  <c r="D7" i="3"/>
  <c r="D6" i="3"/>
  <c r="D5" i="3"/>
  <c r="D4" i="3"/>
  <c r="B8" i="3" l="1"/>
  <c r="B9" i="3" s="1"/>
  <c r="D11" i="3" s="1"/>
  <c r="D13" i="3" s="1"/>
  <c r="S13" i="4" l="1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<sst xmlns="http://schemas.openxmlformats.org/spreadsheetml/2006/main" count="553" uniqueCount="329">
  <si>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</si>
  <si>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</si>
  <si>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</si>
  <si>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</si>
  <si>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</si>
  <si>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</si>
  <si>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</si>
  <si>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</si>
  <si>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</si>
  <si>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</si>
  <si>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</si>
  <si>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</si>
  <si>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</si>
  <si>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</si>
  <si>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</si>
  <si>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</si>
  <si>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</si>
  <si>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</si>
  <si>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</si>
  <si>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</si>
  <si>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</si>
  <si>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</si>
  <si>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</si>
  <si>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</si>
  <si>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</si>
  <si>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</si>
  <si>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</si>
  <si>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</si>
  <si>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</si>
  <si>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</si>
  <si>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</si>
  <si>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</si>
  <si>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</si>
  <si>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</si>
  <si>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</si>
  <si>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</si>
  <si>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</si>
  <si>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</si>
  <si>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</si>
  <si>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</si>
  <si>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</si>
  <si>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</si>
  <si>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</si>
  <si>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</si>
  <si>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</si>
  <si>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</si>
  <si>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</si>
  <si>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</si>
  <si>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</si>
  <si>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</si>
  <si>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</si>
  <si>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</si>
  <si>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</si>
  <si>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</si>
  <si>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</si>
  <si>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</si>
  <si>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</si>
  <si>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</si>
  <si>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</si>
  <si>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</si>
  <si>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</si>
  <si>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</si>
  <si>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</si>
  <si>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</si>
  <si>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</si>
  <si>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</si>
  <si>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</si>
  <si>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</si>
  <si>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</si>
  <si>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</si>
  <si>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</si>
  <si>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</si>
  <si>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</si>
  <si>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</si>
  <si>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</si>
  <si>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</si>
  <si>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</si>
  <si>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</si>
  <si>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</si>
  <si>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</si>
  <si>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</si>
  <si>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</si>
  <si>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</si>
  <si>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</si>
  <si>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</si>
  <si>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</si>
  <si>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</si>
  <si>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</si>
  <si>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</si>
  <si>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</si>
  <si>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</si>
  <si>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</si>
  <si>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</si>
  <si>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</si>
  <si>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</si>
  <si>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</si>
  <si>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</si>
  <si>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</si>
  <si>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</si>
  <si>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</si>
  <si>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</si>
  <si>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</si>
  <si>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</si>
  <si>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</si>
  <si>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</si>
  <si>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</si>
  <si>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</si>
  <si>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</si>
  <si>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</si>
  <si>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</si>
  <si>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</si>
  <si>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</si>
  <si>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</si>
  <si>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</si>
  <si>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</si>
  <si>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</si>
  <si>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</si>
  <si>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</si>
  <si>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</si>
  <si>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</si>
  <si>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</si>
  <si>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</si>
  <si>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</si>
  <si>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</si>
  <si>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</si>
  <si>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</si>
  <si>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</si>
  <si>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</si>
  <si>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</si>
  <si>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</si>
  <si>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</si>
  <si>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</si>
  <si>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</si>
  <si>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</si>
  <si>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</si>
  <si>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</si>
  <si>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</si>
  <si>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</si>
  <si>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</si>
  <si>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</si>
  <si>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</si>
  <si>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</si>
  <si>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</si>
  <si>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</si>
  <si>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</si>
  <si>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</si>
  <si>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</si>
  <si>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</si>
  <si>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</si>
  <si>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</si>
  <si>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</si>
  <si>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</si>
  <si>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</si>
  <si>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</si>
  <si>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</si>
  <si>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</si>
  <si>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</si>
  <si>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</si>
  <si>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</si>
  <si>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</si>
  <si>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</si>
  <si>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</si>
  <si>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</si>
  <si>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</si>
  <si>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</si>
  <si>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</si>
  <si>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</si>
  <si>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</si>
  <si>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</si>
  <si>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</si>
  <si>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</si>
  <si>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</si>
  <si>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</si>
  <si>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</si>
  <si>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</si>
  <si>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634-0454967</t>
  </si>
  <si>
    <t>בתים</t>
  </si>
  <si>
    <t>פיצול</t>
  </si>
  <si>
    <t>3/222/06/6</t>
  </si>
  <si>
    <t>222/03/6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</si>
  <si>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</si>
  <si>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</si>
  <si>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</si>
  <si>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</si>
  <si>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</si>
  <si>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</si>
  <si>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</si>
  <si>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</si>
  <si>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</si>
  <si>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</si>
  <si>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</si>
  <si>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</si>
  <si>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</si>
  <si>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</si>
  <si>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</si>
  <si>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</si>
  <si>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</si>
  <si>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</si>
  <si>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</si>
  <si>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</si>
  <si>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</si>
  <si>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</si>
  <si>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</si>
  <si>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</si>
  <si>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</si>
  <si>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</si>
  <si>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</si>
  <si>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</si>
  <si>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</si>
  <si>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היתר שנת 78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</si>
  <si>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</si>
  <si>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</si>
  <si>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</si>
  <si>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</si>
  <si>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</si>
  <si>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</si>
  <si>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</si>
  <si>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</si>
  <si>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</si>
  <si>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</si>
  <si>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</si>
  <si>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</si>
  <si>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</si>
  <si>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</si>
  <si>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</si>
  <si>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</si>
  <si>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</si>
  <si>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</si>
  <si>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</si>
  <si>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</si>
  <si>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</si>
  <si>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</si>
  <si>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</si>
  <si>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</si>
  <si>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</si>
  <si>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</si>
  <si>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</si>
  <si>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</si>
  <si>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</si>
  <si>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</si>
  <si>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</si>
  <si>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</si>
  <si>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</si>
  <si>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</si>
  <si>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</si>
  <si>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</si>
  <si>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</si>
  <si>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</si>
  <si>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</si>
  <si>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מס' מבנה</t>
  </si>
  <si>
    <t>מסד</t>
  </si>
  <si>
    <t>גוש חלקה</t>
  </si>
  <si>
    <t>יישוב</t>
  </si>
  <si>
    <t>יום מכירה</t>
  </si>
  <si>
    <t>תמורה</t>
  </si>
  <si>
    <t>בניכוי יזמות 5%</t>
  </si>
  <si>
    <t>תרומת הבנוי</t>
  </si>
  <si>
    <t>שווי יתרת מגרש</t>
  </si>
  <si>
    <t>מקדם התאמה לזמן</t>
  </si>
  <si>
    <t>שווי מגרש מתואם</t>
  </si>
  <si>
    <t>שטח מגרש</t>
  </si>
  <si>
    <t>*1</t>
  </si>
  <si>
    <t>4678-056</t>
  </si>
  <si>
    <t>כפר שמואל</t>
  </si>
  <si>
    <t>4672-082</t>
  </si>
  <si>
    <t>כפר נן נון</t>
  </si>
  <si>
    <t>4674-037</t>
  </si>
  <si>
    <t>כפר בן נון</t>
  </si>
  <si>
    <t>בית עוזיאל</t>
  </si>
  <si>
    <t>5429-031</t>
  </si>
  <si>
    <t>בית חשמונאי</t>
  </si>
  <si>
    <t>4677-073</t>
  </si>
  <si>
    <t>5578-19</t>
  </si>
  <si>
    <t>ממוצע</t>
  </si>
  <si>
    <t>בהתאמה לבעלות / 0.97</t>
  </si>
  <si>
    <t>ניתוח שטח אקו' מס"ד 1</t>
  </si>
  <si>
    <t>ניתוח שטח אקו' מס"ד 2</t>
  </si>
  <si>
    <t>מהות</t>
  </si>
  <si>
    <t>שטח</t>
  </si>
  <si>
    <t>עיקרי ק.ק</t>
  </si>
  <si>
    <t>עיקרי ק.א</t>
  </si>
  <si>
    <t>יתרת ש"ש עילי</t>
  </si>
  <si>
    <t>מרתף</t>
  </si>
  <si>
    <t>חצר עד 500</t>
  </si>
  <si>
    <t>שווי מגרש</t>
  </si>
  <si>
    <t>שווי מ"ר</t>
  </si>
  <si>
    <t>ניתוח שטח אקו' מס"ד 3</t>
  </si>
  <si>
    <t>מרתף שירות כולל ממ"ד</t>
  </si>
  <si>
    <t>חניה</t>
  </si>
  <si>
    <t>מרתף עיקרי</t>
  </si>
  <si>
    <t>סה"כ שטח אקו'</t>
  </si>
  <si>
    <t>שווי מ"ר מבונה אקו'</t>
  </si>
  <si>
    <t>ניתוח שטח אקו' מס"ד 5</t>
  </si>
  <si>
    <t>ניתוח שטח אקו' מס"ד 6</t>
  </si>
  <si>
    <t>יתרת שירות עילי</t>
  </si>
  <si>
    <t>שירות תת"ק</t>
  </si>
  <si>
    <t xml:space="preserve">חצר </t>
  </si>
  <si>
    <t>תכסית</t>
  </si>
  <si>
    <t>שווי יתרת קרקע</t>
  </si>
  <si>
    <t>ניתוח שטח אקו' מס"ד 7</t>
  </si>
  <si>
    <t>4757-0088</t>
  </si>
  <si>
    <t>פדיה</t>
  </si>
  <si>
    <t>5578-0019</t>
  </si>
  <si>
    <t>4668-0113</t>
  </si>
  <si>
    <t>עיקרי קומה א'</t>
  </si>
  <si>
    <t>יתרת שירות</t>
  </si>
  <si>
    <t>ניתוח שטח אקו' מס"ד 8</t>
  </si>
  <si>
    <t>ניתוח שטח אקו' מס"ד 9</t>
  </si>
  <si>
    <t>ניתוח שטח אקו' מס"ד 10</t>
  </si>
  <si>
    <t>מקדם התאמה לנחלה</t>
  </si>
  <si>
    <t>שווי לנחלה</t>
  </si>
  <si>
    <t>לשומה</t>
  </si>
  <si>
    <t>שומת רמ"י מועד קובע 2023</t>
  </si>
  <si>
    <t>שווי מ"ר שמאי רמי</t>
  </si>
  <si>
    <t>מקדם לנחלה</t>
  </si>
  <si>
    <t>שווי מתואם</t>
  </si>
  <si>
    <t>מקדם זמן</t>
  </si>
  <si>
    <t>מבנה 1 - בית מגורים ראשון</t>
  </si>
  <si>
    <t>מבנה 2 -בית מגורים שני</t>
  </si>
  <si>
    <t>מבנה 3 - לול / סככה חקלאית</t>
  </si>
  <si>
    <t>מבנה 4 - מוסך + משרד</t>
  </si>
  <si>
    <t>מבנה 5 - קונטיינרים</t>
  </si>
  <si>
    <t xml:space="preserve">אפשרות 1 </t>
  </si>
  <si>
    <t>שם מבנה</t>
  </si>
  <si>
    <t>פעולה</t>
  </si>
  <si>
    <t>גודל</t>
  </si>
  <si>
    <t>סה"כ למבנה</t>
  </si>
  <si>
    <t>סה"כ הסדרה</t>
  </si>
  <si>
    <t>סה"כ פרויקט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</si>
</sst>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u/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2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22" xfId="0" applyBorder="1" applyAlignment="1">
      <alignment horizontal="center"/>
    </xf>
    <xf numFmtId="0" fontId="19" fillId="13" borderId="22" xfId="5" applyFont="1" applyFill="1" applyBorder="1" applyAlignment="1">
      <alignment horizontal="center" vertical="center" wrapText="1"/>
    </xf>
    <xf numFmtId="0" fontId="20" fillId="0" borderId="22" xfId="5" applyFont="1" applyBorder="1" applyAlignment="1">
      <alignment horizontal="center" vertical="center"/>
    </xf>
    <xf numFmtId="0" fontId="20" fillId="0" borderId="22" xfId="5" applyFont="1" applyBorder="1" applyAlignment="1">
      <alignment horizontal="center"/>
    </xf>
    <xf numFmtId="14" fontId="20" fillId="0" borderId="22" xfId="5" applyNumberFormat="1" applyFont="1" applyBorder="1" applyAlignment="1">
      <alignment horizontal="center" vertical="center"/>
    </xf>
    <xf numFmtId="164" fontId="20" fillId="0" borderId="22" xfId="6" applyNumberFormat="1" applyFont="1" applyBorder="1" applyAlignment="1">
      <alignment horizontal="center" vertical="center"/>
    </xf>
    <xf numFmtId="164" fontId="20" fillId="0" borderId="22" xfId="5" applyNumberFormat="1" applyFont="1" applyBorder="1" applyAlignment="1">
      <alignment horizontal="center" vertical="center"/>
    </xf>
    <xf numFmtId="165" fontId="20" fillId="0" borderId="22" xfId="7" applyNumberFormat="1" applyFont="1" applyBorder="1" applyAlignment="1">
      <alignment horizontal="center" vertical="center"/>
    </xf>
    <xf numFmtId="164" fontId="0" fillId="0" borderId="22" xfId="0" applyNumberFormat="1" applyBorder="1"/>
    <xf numFmtId="0" fontId="0" fillId="0" borderId="23" xfId="0" applyBorder="1" applyAlignment="1">
      <alignment horizontal="center"/>
    </xf>
    <xf numFmtId="0" fontId="8" fillId="0" borderId="22" xfId="5" applyBorder="1" applyAlignment="1">
      <alignment horizontal="center"/>
    </xf>
    <xf numFmtId="0" fontId="8" fillId="0" borderId="23" xfId="5" applyBorder="1"/>
    <xf numFmtId="0" fontId="8" fillId="0" borderId="23" xfId="5" applyBorder="1" applyAlignment="1">
      <alignment horizontal="center" vertical="center"/>
    </xf>
    <xf numFmtId="0" fontId="8" fillId="0" borderId="22" xfId="5" applyBorder="1"/>
    <xf numFmtId="0" fontId="8" fillId="14" borderId="0" xfId="5" applyFill="1"/>
    <xf numFmtId="164" fontId="8" fillId="0" borderId="22" xfId="5" applyNumberFormat="1" applyBorder="1"/>
    <xf numFmtId="0" fontId="8" fillId="0" borderId="0" xfId="5"/>
    <xf numFmtId="0" fontId="8" fillId="0" borderId="0" xfId="5" applyAlignment="1">
      <alignment horizontal="center" vertical="center"/>
    </xf>
    <xf numFmtId="3" fontId="0" fillId="0" borderId="22" xfId="0" applyNumberFormat="1" applyBorder="1" applyAlignment="1">
      <alignment horizontal="center"/>
    </xf>
    <xf numFmtId="165" fontId="0" fillId="0" borderId="22" xfId="7" applyNumberFormat="1" applyFont="1" applyBorder="1" applyAlignment="1">
      <alignment horizontal="center"/>
    </xf>
    <xf numFmtId="0" fontId="0" fillId="14" borderId="0" xfId="0" applyFill="1"/>
    <xf numFmtId="165" fontId="0" fillId="0" borderId="22" xfId="1" applyNumberFormat="1" applyFont="1" applyBorder="1"/>
    <xf numFmtId="0" fontId="8" fillId="0" borderId="22" xfId="5" applyBorder="1" applyAlignment="1">
      <alignment horizontal="center" vertical="center"/>
    </xf>
    <xf numFmtId="14" fontId="8" fillId="0" borderId="22" xfId="5" applyNumberFormat="1" applyBorder="1" applyAlignment="1">
      <alignment horizontal="center" vertical="center"/>
    </xf>
    <xf numFmtId="164" fontId="8" fillId="0" borderId="22" xfId="6" applyNumberFormat="1" applyFont="1" applyBorder="1" applyAlignment="1">
      <alignment horizontal="center" vertical="center"/>
    </xf>
    <xf numFmtId="164" fontId="8" fillId="0" borderId="22" xfId="5" applyNumberFormat="1" applyBorder="1" applyAlignment="1">
      <alignment horizontal="center" vertical="center"/>
    </xf>
    <xf numFmtId="165" fontId="8" fillId="0" borderId="22" xfId="7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65" xfId="0" applyFont="1" applyBorder="1" applyAlignment="1">
      <alignment horizontal="center" vertical="center"/>
    </xf>
    <xf numFmtId="0" fontId="8" fillId="0" borderId="24" xfId="5" applyBorder="1" applyAlignment="1">
      <alignment horizontal="center"/>
    </xf>
    <xf numFmtId="0" fontId="8" fillId="0" borderId="24" xfId="5" applyBorder="1" applyAlignment="1">
      <alignment horizontal="center" vertical="center"/>
    </xf>
    <xf numFmtId="14" fontId="8" fillId="0" borderId="24" xfId="5" applyNumberFormat="1" applyBorder="1" applyAlignment="1">
      <alignment horizontal="center" vertical="center"/>
    </xf>
    <xf numFmtId="164" fontId="8" fillId="0" borderId="24" xfId="6" applyNumberFormat="1" applyFont="1" applyBorder="1" applyAlignment="1">
      <alignment horizontal="center" vertical="center"/>
    </xf>
    <xf numFmtId="164" fontId="8" fillId="0" borderId="24" xfId="5" applyNumberFormat="1" applyBorder="1" applyAlignment="1">
      <alignment horizontal="center" vertical="center"/>
    </xf>
    <xf numFmtId="165" fontId="8" fillId="0" borderId="24" xfId="7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wrapText="1"/>
    </xf>
    <xf numFmtId="14" fontId="8" fillId="0" borderId="22" xfId="0" applyNumberFormat="1" applyFont="1" applyBorder="1" applyAlignment="1">
      <alignment horizontal="center" wrapText="1"/>
    </xf>
    <xf numFmtId="3" fontId="8" fillId="0" borderId="22" xfId="0" applyNumberFormat="1" applyFont="1" applyBorder="1" applyAlignment="1">
      <alignment horizontal="center" wrapText="1"/>
    </xf>
    <xf numFmtId="164" fontId="6" fillId="0" borderId="22" xfId="0" applyNumberFormat="1" applyFont="1" applyBorder="1"/>
    <xf numFmtId="164" fontId="6" fillId="0" borderId="0" xfId="2" applyNumberFormat="1" applyFont="1"/>
    <xf numFmtId="165" fontId="21" fillId="3" borderId="18" xfId="1" applyNumberFormat="1" applyFont="1" applyFill="1" applyBorder="1" applyAlignment="1">
      <alignment horizontal="center" vertical="center" wrapText="1"/>
    </xf>
    <xf numFmtId="165" fontId="4" fillId="5" borderId="20" xfId="1" applyNumberFormat="1" applyFont="1" applyFill="1" applyBorder="1"/>
    <xf numFmtId="0" fontId="0" fillId="0" borderId="46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0" fontId="5" fillId="0" borderId="4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2" fillId="0" borderId="22" xfId="0" applyFont="1" applyBorder="1"/>
    <xf numFmtId="164" fontId="0" fillId="0" borderId="22" xfId="2" applyNumberFormat="1" applyFont="1" applyBorder="1"/>
    <xf numFmtId="164" fontId="0" fillId="0" borderId="69" xfId="2" applyNumberFormat="1" applyFont="1" applyBorder="1"/>
    <xf numFmtId="0" fontId="22" fillId="0" borderId="53" xfId="0" applyFont="1" applyBorder="1" applyAlignment="1">
      <alignment horizontal="center"/>
    </xf>
    <xf numFmtId="0" fontId="22" fillId="0" borderId="30" xfId="0" applyFont="1" applyBorder="1"/>
    <xf numFmtId="0" fontId="22" fillId="0" borderId="57" xfId="0" applyFont="1" applyBorder="1" applyAlignment="1">
      <alignment horizontal="center"/>
    </xf>
    <xf numFmtId="0" fontId="0" fillId="0" borderId="57" xfId="0" applyBorder="1" applyAlignment="1">
      <alignment horizontal="center"/>
    </xf>
    <xf numFmtId="164" fontId="0" fillId="0" borderId="30" xfId="2" applyNumberFormat="1" applyFont="1" applyBorder="1"/>
    <xf numFmtId="164" fontId="0" fillId="0" borderId="30" xfId="2" applyNumberFormat="1" applyFont="1" applyBorder="1" applyAlignment="1">
      <alignment horizontal="center" vertical="center"/>
    </xf>
    <xf numFmtId="164" fontId="0" fillId="0" borderId="71" xfId="2" applyNumberFormat="1" applyFont="1" applyBorder="1"/>
    <xf numFmtId="164" fontId="6" fillId="0" borderId="79" xfId="2" applyNumberFormat="1" applyFont="1" applyBorder="1"/>
    <xf numFmtId="164" fontId="6" fillId="0" borderId="17" xfId="2" applyNumberFormat="1" applyFont="1" applyBorder="1"/>
    <xf numFmtId="164" fontId="6" fillId="0" borderId="17" xfId="2" applyNumberFormat="1" applyFont="1" applyBorder="1" applyAlignment="1">
      <alignment horizontal="center" vertical="center"/>
    </xf>
    <xf numFmtId="164" fontId="6" fillId="0" borderId="80" xfId="2" applyNumberFormat="1" applyFont="1" applyBorder="1"/>
    <xf numFmtId="0" fontId="22" fillId="0" borderId="0" xfId="0" applyFont="1"/>
    <xf numFmtId="0" fontId="8" fillId="0" borderId="49" xfId="0" applyFont="1" applyBorder="1" applyAlignment="1">
      <alignment horizontal="center" vertical="center"/>
    </xf>
    <xf numFmtId="164" fontId="8" fillId="0" borderId="55" xfId="0" applyNumberFormat="1" applyFont="1" applyBorder="1" applyAlignment="1">
      <alignment horizontal="center" vertical="center"/>
    </xf>
    <xf numFmtId="164" fontId="8" fillId="0" borderId="56" xfId="2" applyNumberFormat="1" applyFont="1" applyBorder="1"/>
    <xf numFmtId="164" fontId="0" fillId="0" borderId="0" xfId="2" applyNumberFormat="1" applyFont="1" applyBorder="1"/>
    <xf numFmtId="164" fontId="8" fillId="0" borderId="70" xfId="0" applyNumberFormat="1" applyFont="1" applyBorder="1" applyAlignment="1">
      <alignment horizontal="center" vertical="center"/>
    </xf>
    <xf numFmtId="0" fontId="8" fillId="0" borderId="30" xfId="0" applyFont="1" applyBorder="1"/>
    <xf numFmtId="0" fontId="8" fillId="0" borderId="71" xfId="0" applyFont="1" applyBorder="1"/>
    <xf numFmtId="0" fontId="6" fillId="0" borderId="44" xfId="0" applyFont="1" applyBorder="1" applyAlignment="1">
      <alignment horizontal="center" vertical="center"/>
    </xf>
    <xf numFmtId="164" fontId="6" fillId="0" borderId="17" xfId="0" applyNumberFormat="1" applyFont="1" applyBorder="1"/>
    <xf numFmtId="164" fontId="6" fillId="0" borderId="80" xfId="0" applyNumberFormat="1" applyFont="1" applyBorder="1"/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6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6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22" xfId="5" applyBorder="1" applyAlignment="1">
      <alignment horizontal="center"/>
    </xf>
    <xf numFmtId="0" fontId="8" fillId="0" borderId="53" xfId="5" applyBorder="1" applyAlignment="1">
      <alignment horizontal="center"/>
    </xf>
    <xf numFmtId="0" fontId="8" fillId="0" borderId="10" xfId="5" applyBorder="1" applyAlignment="1">
      <alignment horizontal="center"/>
    </xf>
    <xf numFmtId="0" fontId="8" fillId="0" borderId="23" xfId="5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8">
    <cellStyle name="Comma" xfId="1" builtinId="3"/>
    <cellStyle name="Comma 2" xfId="7" xr:uid="{4F284E90-067B-42B3-AE45-46F395F207E9}"/>
    <cellStyle name="Currency" xfId="2" builtinId="4"/>
    <cellStyle name="Currency 2" xfId="6" xr:uid="{1D32F624-8B11-483F-BFB2-C9542D937ED7}"/>
    <cellStyle name="Normal" xfId="0" builtinId="0"/>
    <cellStyle name="Normal 2" xfId="5" xr:uid="{DE803DBC-EFBA-4F4A-83FC-82BA163D294C}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62449</xdr:colOff>
      <xdr:row>22</xdr:row>
      <xdr:rowOff>24848</xdr:rowOff>
    </xdr:from>
    <xdr:to>
      <xdr:col>22</xdr:col>
      <xdr:colOff>206164</xdr:colOff>
      <xdr:row>34</xdr:row>
      <xdr:rowOff>55492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B5ECFAE-664F-42D6-AD07-C89E09C1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76354140" y="4232413"/>
          <a:ext cx="4127650" cy="21292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45</v>
      </c>
      <c r="B2" s="76">
        <f>'מ"ר אקו'' נחלה'!I14</f>
        <v>1022.5</v>
      </c>
      <c r="K2" s="1"/>
    </row>
    <row r="3" spans="1:11" x14ac:dyDescent="0.35">
      <c r="A3" s="1" t="s">
        <v>17</v>
      </c>
      <c r="B3" s="76">
        <f>'מ"ר אקו'' נחלה'!D14</f>
        <v>972.5</v>
      </c>
      <c r="K3" s="1"/>
    </row>
    <row r="4" spans="1:11" x14ac:dyDescent="0.35">
      <c r="A4" s="1" t="s">
        <v>92</v>
      </c>
      <c r="B4" s="76">
        <f>'מ"ר אקו'' נחלה'!D28</f>
        <v>144.55000000000001</v>
      </c>
      <c r="K4" s="1"/>
    </row>
    <row r="5" spans="1:11" x14ac:dyDescent="0.35">
      <c r="A5" s="1" t="s">
        <v>210</v>
      </c>
      <c r="B5" s="76">
        <f>'מ"ר אקו'' נחלה'!D38</f>
        <v>106</v>
      </c>
      <c r="K5" s="1"/>
    </row>
    <row r="6" spans="1:11" x14ac:dyDescent="0.35">
      <c r="A6" s="1" t="s">
        <v>3</v>
      </c>
      <c r="B6" s="1">
        <f>'מ"ר אקו'' נחלה'!D70</f>
        <v>806.25</v>
      </c>
      <c r="F6" s="7"/>
      <c r="K6" s="1"/>
    </row>
    <row r="7" spans="1:11" x14ac:dyDescent="0.35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11000</v>
      </c>
      <c r="C8" s="1" t="s">
        <v>85</v>
      </c>
      <c r="D8" s="5">
        <v>2500</v>
      </c>
      <c r="F8" s="75"/>
      <c r="K8" s="1"/>
    </row>
    <row r="9" spans="1:11" x14ac:dyDescent="0.35">
      <c r="A9" s="3"/>
      <c r="B9" s="5"/>
      <c r="C9" s="1" t="s">
        <v>93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332578.125</v>
      </c>
      <c r="G11" s="75">
        <f>'מ"ר אקו'' נחלה'!D71*-3.75%</f>
        <v>-6562.5</v>
      </c>
      <c r="H11" s="88">
        <f>SUM(F11:G11)</f>
        <v>326015.625</v>
      </c>
      <c r="I11" s="9"/>
      <c r="J11" s="75"/>
    </row>
    <row r="12" spans="1:11" x14ac:dyDescent="0.35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667631.24999999988</v>
      </c>
      <c r="G12" s="75">
        <f>-'מ"ר אקו'' נחלה'!D58*C12</f>
        <v>-29250</v>
      </c>
      <c r="H12" s="6">
        <f>SUM(F12:G12)</f>
        <v>638381.24999999988</v>
      </c>
      <c r="J12" s="87"/>
    </row>
    <row r="13" spans="1:11" x14ac:dyDescent="0.35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287859.00000000006</v>
      </c>
      <c r="G13" s="87">
        <f>G12*53/245</f>
        <v>-6327.5510204081629</v>
      </c>
      <c r="H13" s="6">
        <f>SUM(F13:G13)</f>
        <v>281531.44897959189</v>
      </c>
      <c r="I13" s="9"/>
      <c r="J13" s="75"/>
    </row>
    <row r="14" spans="1:11" ht="2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955490.25</v>
      </c>
      <c r="G14" s="116"/>
      <c r="H14" s="89">
        <f>SUM(H12:H13)</f>
        <v>919912.69897959172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970062.5</v>
      </c>
      <c r="G15" s="9"/>
      <c r="J15" s="86"/>
    </row>
    <row r="16" spans="1:11" ht="2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3670111.5</v>
      </c>
      <c r="G16" s="75">
        <f>-'מ"ר אקו'' נחלה'!D15*C16</f>
        <v>-81510</v>
      </c>
      <c r="H16" s="88">
        <f>SUM(F16:G16)</f>
        <v>3588601.5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7007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750.75</v>
      </c>
      <c r="G20" s="9"/>
      <c r="I20" s="6"/>
      <c r="J20" s="9"/>
    </row>
    <row r="21" spans="1:10" ht="21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3003</v>
      </c>
    </row>
    <row r="23" spans="1:10" ht="21" x14ac:dyDescent="0.4">
      <c r="A23" s="82" t="s">
        <v>86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550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48</v>
      </c>
      <c r="B27" s="85"/>
      <c r="C27" s="8"/>
      <c r="D27" s="186"/>
      <c r="E27" s="186"/>
      <c r="F27" s="5"/>
      <c r="I27" s="75"/>
    </row>
    <row r="29" spans="1:10" x14ac:dyDescent="0.35">
      <c r="A29" s="2" t="s">
        <v>158</v>
      </c>
      <c r="C29" s="75"/>
    </row>
    <row r="30" spans="1:10" x14ac:dyDescent="0.35">
      <c r="A30" s="2"/>
      <c r="B30" s="2" t="s">
        <v>160</v>
      </c>
      <c r="C30" s="2" t="s">
        <v>21</v>
      </c>
      <c r="D30" s="2" t="s">
        <v>159</v>
      </c>
    </row>
    <row r="31" spans="1:10" x14ac:dyDescent="0.35">
      <c r="A31" s="1" t="s">
        <v>156</v>
      </c>
      <c r="B31" s="5">
        <f>'מ"ר אקו'' נחלה'!D57*'תחשיב לפי שווי שומה (2)'!$B$8</f>
        <v>3154800</v>
      </c>
      <c r="C31" s="191">
        <v>1</v>
      </c>
      <c r="D31" s="6">
        <f>C31*$B$8</f>
        <v>11000</v>
      </c>
    </row>
    <row r="32" spans="1:10" x14ac:dyDescent="0.35">
      <c r="A32" s="1" t="s">
        <v>155</v>
      </c>
      <c r="B32" s="6">
        <f>350*$B$8*C32</f>
        <v>577500</v>
      </c>
      <c r="C32" s="191">
        <v>0.15</v>
      </c>
      <c r="D32" s="6">
        <f>C32*$B$8</f>
        <v>1650</v>
      </c>
    </row>
    <row r="33" spans="1:6" x14ac:dyDescent="0.35">
      <c r="C33" s="75"/>
    </row>
    <row r="34" spans="1:6" x14ac:dyDescent="0.35">
      <c r="A34" s="1" t="s">
        <v>153</v>
      </c>
      <c r="B34" s="6">
        <f>B31-B32</f>
        <v>2577300</v>
      </c>
      <c r="C34" s="191">
        <f>C31-C32</f>
        <v>0.85</v>
      </c>
      <c r="D34" s="6">
        <f>C34*$B$8</f>
        <v>9350</v>
      </c>
    </row>
    <row r="35" spans="1:6" x14ac:dyDescent="0.35">
      <c r="A35" s="1" t="s">
        <v>154</v>
      </c>
      <c r="B35" s="6">
        <f>B34*50%</f>
        <v>1288650</v>
      </c>
      <c r="C35" s="191">
        <f>C34*50%</f>
        <v>0.42499999999999999</v>
      </c>
      <c r="D35" s="6">
        <f>C35*$B$8</f>
        <v>4675</v>
      </c>
    </row>
    <row r="37" spans="1:6" x14ac:dyDescent="0.35">
      <c r="A37" s="2" t="s">
        <v>162</v>
      </c>
      <c r="C37" s="75"/>
    </row>
    <row r="38" spans="1:6" x14ac:dyDescent="0.35">
      <c r="A38" s="2"/>
      <c r="B38" s="2" t="s">
        <v>160</v>
      </c>
      <c r="C38" s="2" t="s">
        <v>21</v>
      </c>
      <c r="D38" s="2" t="s">
        <v>159</v>
      </c>
    </row>
    <row r="39" spans="1:6" x14ac:dyDescent="0.35">
      <c r="A39" s="1" t="s">
        <v>156</v>
      </c>
      <c r="B39" s="5">
        <f>'מ"ר אקו'' נחלה'!D57*'תחשיב לפי שווי שומה (2)'!$B$8</f>
        <v>3154800</v>
      </c>
      <c r="C39" s="191">
        <v>1</v>
      </c>
      <c r="D39" s="6">
        <f>C39*$B$8</f>
        <v>11000</v>
      </c>
    </row>
    <row r="40" spans="1:6" x14ac:dyDescent="0.35">
      <c r="A40" s="1" t="s">
        <v>163</v>
      </c>
      <c r="B40" s="6">
        <f>B39*70%</f>
        <v>2208360</v>
      </c>
      <c r="C40" s="191">
        <v>0.7</v>
      </c>
      <c r="D40" s="6">
        <f>C40*$B$8</f>
        <v>7699.9999999999991</v>
      </c>
    </row>
    <row r="41" spans="1:6" x14ac:dyDescent="0.35">
      <c r="C41" s="75"/>
    </row>
    <row r="42" spans="1:6" x14ac:dyDescent="0.35">
      <c r="A42" s="1" t="s">
        <v>153</v>
      </c>
      <c r="B42" s="6">
        <f>B39-B40</f>
        <v>946440</v>
      </c>
      <c r="C42" s="191">
        <f>C39-C40</f>
        <v>0.30000000000000004</v>
      </c>
      <c r="D42" s="6">
        <f>C42*$B$8</f>
        <v>3300.0000000000005</v>
      </c>
      <c r="F42" s="6"/>
    </row>
    <row r="43" spans="1:6" x14ac:dyDescent="0.35">
      <c r="A43" s="1" t="s">
        <v>154</v>
      </c>
      <c r="B43" s="6">
        <f>B42*50%</f>
        <v>473220</v>
      </c>
      <c r="C43" s="191">
        <f>C42*50%</f>
        <v>0.15000000000000002</v>
      </c>
      <c r="D43" s="6">
        <f>C43*$B$8</f>
        <v>1650.0000000000002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3.8" x14ac:dyDescent="0.25"/>
  <sheetData>
    <row r="8" spans="8:15" ht="14.4" thickBot="1" x14ac:dyDescent="0.3"/>
    <row r="9" spans="8:15" ht="14.4" thickBot="1" x14ac:dyDescent="0.3">
      <c r="H9" s="354" t="s">
        <v>217</v>
      </c>
      <c r="I9" s="355"/>
      <c r="J9" s="355"/>
      <c r="K9" s="355"/>
      <c r="L9" s="355"/>
      <c r="M9" s="355"/>
      <c r="N9" s="355"/>
      <c r="O9" s="356"/>
    </row>
    <row r="10" spans="8:15" x14ac:dyDescent="0.25">
      <c r="H10" s="357" t="s">
        <v>218</v>
      </c>
      <c r="I10" s="358"/>
      <c r="J10" s="357" t="s">
        <v>219</v>
      </c>
      <c r="K10" s="358"/>
      <c r="L10" s="361" t="s">
        <v>220</v>
      </c>
      <c r="M10" s="362"/>
      <c r="N10" s="357" t="s">
        <v>5</v>
      </c>
      <c r="O10" s="358"/>
    </row>
    <row r="11" spans="8:15" ht="14.4" thickBot="1" x14ac:dyDescent="0.3">
      <c r="H11" s="359"/>
      <c r="I11" s="360"/>
      <c r="J11" s="359"/>
      <c r="K11" s="360"/>
      <c r="L11" s="363"/>
      <c r="M11" s="364"/>
      <c r="N11" s="359"/>
      <c r="O11" s="360"/>
    </row>
    <row r="12" spans="8:15" x14ac:dyDescent="0.25">
      <c r="H12" s="349" t="s">
        <v>221</v>
      </c>
      <c r="I12" s="350"/>
      <c r="J12" s="351">
        <f>240000</f>
        <v>240000</v>
      </c>
      <c r="K12" s="351"/>
      <c r="L12" s="351">
        <f>240000</f>
        <v>240000</v>
      </c>
      <c r="M12" s="351"/>
      <c r="N12" s="351">
        <v>2700000</v>
      </c>
      <c r="O12" s="352"/>
    </row>
    <row r="13" spans="8:15" x14ac:dyDescent="0.25">
      <c r="H13" s="336"/>
      <c r="I13" s="337"/>
      <c r="J13" s="347"/>
      <c r="K13" s="347"/>
      <c r="L13" s="347"/>
      <c r="M13" s="347"/>
      <c r="N13" s="347"/>
      <c r="O13" s="353"/>
    </row>
    <row r="14" spans="8:15" x14ac:dyDescent="0.25">
      <c r="H14" s="336" t="s">
        <v>222</v>
      </c>
      <c r="I14" s="337"/>
      <c r="J14" s="347">
        <f>1000000</f>
        <v>1000000</v>
      </c>
      <c r="K14" s="347"/>
      <c r="L14" s="347">
        <v>1730000</v>
      </c>
      <c r="M14" s="347"/>
      <c r="N14" s="337" t="s">
        <v>223</v>
      </c>
      <c r="O14" s="341"/>
    </row>
    <row r="15" spans="8:15" x14ac:dyDescent="0.25">
      <c r="H15" s="336"/>
      <c r="I15" s="337"/>
      <c r="J15" s="347"/>
      <c r="K15" s="347"/>
      <c r="L15" s="347"/>
      <c r="M15" s="347"/>
      <c r="N15" s="337"/>
      <c r="O15" s="341"/>
    </row>
    <row r="16" spans="8:15" x14ac:dyDescent="0.25">
      <c r="H16" s="336" t="s">
        <v>224</v>
      </c>
      <c r="I16" s="337"/>
      <c r="J16" s="340">
        <f>(J14+J12)*0.06</f>
        <v>74400</v>
      </c>
      <c r="K16" s="340"/>
      <c r="L16" s="340">
        <f>(L14+L12)*0.06</f>
        <v>118200</v>
      </c>
      <c r="M16" s="340"/>
      <c r="N16" s="340">
        <f>N12*0.06</f>
        <v>162000</v>
      </c>
      <c r="O16" s="348"/>
    </row>
    <row r="17" spans="8:15" x14ac:dyDescent="0.25">
      <c r="H17" s="336"/>
      <c r="I17" s="337"/>
      <c r="J17" s="340"/>
      <c r="K17" s="340"/>
      <c r="L17" s="340"/>
      <c r="M17" s="340"/>
      <c r="N17" s="340"/>
      <c r="O17" s="348"/>
    </row>
    <row r="18" spans="8:15" x14ac:dyDescent="0.25">
      <c r="H18" s="336" t="s">
        <v>225</v>
      </c>
      <c r="I18" s="337"/>
      <c r="J18" s="337" t="s">
        <v>223</v>
      </c>
      <c r="K18" s="337"/>
      <c r="L18" s="340">
        <v>144000</v>
      </c>
      <c r="M18" s="340"/>
      <c r="N18" s="337" t="s">
        <v>223</v>
      </c>
      <c r="O18" s="341"/>
    </row>
    <row r="19" spans="8:15" x14ac:dyDescent="0.25">
      <c r="H19" s="336"/>
      <c r="I19" s="337"/>
      <c r="J19" s="337"/>
      <c r="K19" s="337"/>
      <c r="L19" s="340"/>
      <c r="M19" s="340"/>
      <c r="N19" s="337"/>
      <c r="O19" s="341"/>
    </row>
    <row r="20" spans="8:15" x14ac:dyDescent="0.25">
      <c r="H20" s="343" t="s">
        <v>8</v>
      </c>
      <c r="I20" s="344"/>
      <c r="J20" s="345">
        <f>SUM(J12:K19)</f>
        <v>1314400</v>
      </c>
      <c r="K20" s="344"/>
      <c r="L20" s="345">
        <f>SUM(L12:M19)</f>
        <v>2232200</v>
      </c>
      <c r="M20" s="344"/>
      <c r="N20" s="345">
        <f>SUM(N12:O19)</f>
        <v>2862000</v>
      </c>
      <c r="O20" s="346"/>
    </row>
    <row r="21" spans="8:15" x14ac:dyDescent="0.25">
      <c r="H21" s="343"/>
      <c r="I21" s="344"/>
      <c r="J21" s="344"/>
      <c r="K21" s="344"/>
      <c r="L21" s="344"/>
      <c r="M21" s="344"/>
      <c r="N21" s="344"/>
      <c r="O21" s="346"/>
    </row>
    <row r="22" spans="8:15" x14ac:dyDescent="0.25">
      <c r="H22" s="336" t="s">
        <v>226</v>
      </c>
      <c r="I22" s="337"/>
      <c r="J22" s="340">
        <v>500000</v>
      </c>
      <c r="K22" s="337"/>
      <c r="L22" s="340">
        <v>1500000</v>
      </c>
      <c r="M22" s="337"/>
      <c r="N22" s="337" t="s">
        <v>227</v>
      </c>
      <c r="O22" s="341"/>
    </row>
    <row r="23" spans="8:15" ht="14.4" thickBot="1" x14ac:dyDescent="0.3">
      <c r="H23" s="338"/>
      <c r="I23" s="339"/>
      <c r="J23" s="339"/>
      <c r="K23" s="339"/>
      <c r="L23" s="339"/>
      <c r="M23" s="339"/>
      <c r="N23" s="339"/>
      <c r="O23" s="342"/>
    </row>
  </sheetData>
  <mergeCells count="29"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6:I17"/>
    <mergeCell ref="J16:K17"/>
    <mergeCell ref="L16:M17"/>
    <mergeCell ref="N16:O17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71"/>
  <sheetViews>
    <sheetView rightToLeft="1" topLeftCell="E1" workbookViewId="0">
      <selection activeCell="J25" sqref="J25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10" max="10" width="9.796875" bestFit="1" customWidth="1"/>
    <col min="11" max="11" width="12.19921875" bestFit="1" customWidth="1"/>
    <col min="13" max="13" width="10.69921875" bestFit="1" customWidth="1"/>
    <col min="14" max="14" width="8.796875" customWidth="1"/>
    <col min="15" max="15" width="12.8984375" customWidth="1"/>
    <col min="18" max="18" width="8.796875" customWidth="1"/>
    <col min="19" max="19" width="9.796875" customWidth="1"/>
    <col min="20" max="20" width="13" bestFit="1" customWidth="1"/>
    <col min="21" max="21" width="12" customWidth="1"/>
    <col min="22" max="22" width="15.59765625" customWidth="1"/>
    <col min="23" max="23" width="11" customWidth="1"/>
    <col min="24" max="24" width="13.19921875" bestFit="1" customWidth="1"/>
    <col min="25" max="25" width="9.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130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25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25">
      <c r="A6" s="18" t="s">
        <v>97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25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25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25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25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5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4" thickBot="1" x14ac:dyDescent="0.3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25">
      <c r="A15" t="s">
        <v>66</v>
      </c>
      <c r="D15" s="17">
        <v>247000</v>
      </c>
      <c r="F15" t="s">
        <v>66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69</v>
      </c>
      <c r="B17" s="11">
        <v>2500</v>
      </c>
      <c r="C17" s="12" t="s">
        <v>98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99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100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89</v>
      </c>
      <c r="B27" s="31"/>
      <c r="C27" s="32"/>
      <c r="D27" s="33"/>
      <c r="I27" s="17"/>
    </row>
    <row r="28" spans="1:9" ht="14.4" thickBot="1" x14ac:dyDescent="0.3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4" thickBot="1" x14ac:dyDescent="0.3">
      <c r="D29" s="17"/>
      <c r="I29" s="17"/>
    </row>
    <row r="30" spans="1:9" ht="14.4" thickBot="1" x14ac:dyDescent="0.3">
      <c r="A30" s="365" t="s">
        <v>210</v>
      </c>
      <c r="B30" s="366"/>
      <c r="C30" s="366"/>
      <c r="D30" s="367"/>
      <c r="I30" s="17"/>
    </row>
    <row r="31" spans="1:9" x14ac:dyDescent="0.25">
      <c r="A31" s="214" t="s">
        <v>211</v>
      </c>
      <c r="B31" s="12"/>
      <c r="C31" s="12"/>
      <c r="D31" s="215">
        <v>186</v>
      </c>
      <c r="I31" s="17"/>
    </row>
    <row r="32" spans="1:9" x14ac:dyDescent="0.25">
      <c r="A32" s="18" t="s">
        <v>212</v>
      </c>
      <c r="D32" s="216">
        <v>160</v>
      </c>
      <c r="I32" s="17"/>
    </row>
    <row r="33" spans="1:25" ht="14.4" thickBot="1" x14ac:dyDescent="0.3">
      <c r="A33" s="101" t="s">
        <v>213</v>
      </c>
      <c r="B33" s="103"/>
      <c r="C33" s="103"/>
      <c r="D33" s="217">
        <f>D31-D32</f>
        <v>26</v>
      </c>
      <c r="I33" s="17"/>
    </row>
    <row r="34" spans="1:25" x14ac:dyDescent="0.25">
      <c r="A34" s="10" t="s">
        <v>214</v>
      </c>
      <c r="B34" s="12"/>
      <c r="C34" s="12"/>
      <c r="D34" s="215">
        <v>240</v>
      </c>
      <c r="I34" s="17"/>
    </row>
    <row r="35" spans="1:25" x14ac:dyDescent="0.25">
      <c r="A35" s="18" t="s">
        <v>212</v>
      </c>
      <c r="D35" s="216">
        <v>160</v>
      </c>
      <c r="I35" s="17"/>
    </row>
    <row r="36" spans="1:25" ht="14.4" thickBot="1" x14ac:dyDescent="0.3">
      <c r="A36" s="101" t="s">
        <v>213</v>
      </c>
      <c r="B36" s="103"/>
      <c r="C36" s="103"/>
      <c r="D36" s="217">
        <f>D34-D35</f>
        <v>80</v>
      </c>
      <c r="I36" s="17"/>
    </row>
    <row r="37" spans="1:25" ht="14.4" thickBot="1" x14ac:dyDescent="0.3">
      <c r="A37" s="18"/>
      <c r="D37" s="216"/>
      <c r="I37" s="17"/>
    </row>
    <row r="38" spans="1:25" ht="14.4" thickBot="1" x14ac:dyDescent="0.3">
      <c r="A38" s="218" t="s">
        <v>215</v>
      </c>
      <c r="B38" s="219"/>
      <c r="C38" s="219"/>
      <c r="D38" s="220">
        <f>D36+D33</f>
        <v>106</v>
      </c>
      <c r="I38" s="17"/>
    </row>
    <row r="39" spans="1:25" x14ac:dyDescent="0.25">
      <c r="D39" s="17"/>
      <c r="I39" s="17"/>
    </row>
    <row r="40" spans="1:25" x14ac:dyDescent="0.25">
      <c r="D40" s="17"/>
      <c r="I40" s="17"/>
    </row>
    <row r="41" spans="1:25" x14ac:dyDescent="0.25">
      <c r="A41" t="s">
        <v>216</v>
      </c>
      <c r="D41" s="17">
        <f>D14+D28-D38</f>
        <v>1011.05</v>
      </c>
      <c r="I41" s="17"/>
    </row>
    <row r="42" spans="1:25" x14ac:dyDescent="0.25">
      <c r="D42" s="17"/>
      <c r="I42" s="17"/>
    </row>
    <row r="43" spans="1:25" x14ac:dyDescent="0.25">
      <c r="D43" s="17"/>
      <c r="I43" s="17"/>
    </row>
    <row r="44" spans="1:25" x14ac:dyDescent="0.25">
      <c r="D44" s="17"/>
      <c r="I44" s="17"/>
    </row>
    <row r="45" spans="1:25" ht="14.4" thickBot="1" x14ac:dyDescent="0.3">
      <c r="D45" s="17"/>
      <c r="I45" s="17"/>
    </row>
    <row r="46" spans="1:25" ht="14.4" thickBot="1" x14ac:dyDescent="0.3">
      <c r="A46" s="39" t="s">
        <v>161</v>
      </c>
      <c r="O46" s="221" t="s">
        <v>228</v>
      </c>
      <c r="P46" s="222" t="s">
        <v>229</v>
      </c>
      <c r="Q46" s="222" t="s">
        <v>230</v>
      </c>
      <c r="R46" s="222" t="s">
        <v>231</v>
      </c>
      <c r="S46" s="223" t="s">
        <v>232</v>
      </c>
      <c r="T46" s="221" t="s">
        <v>233</v>
      </c>
      <c r="U46" s="224" t="s">
        <v>234</v>
      </c>
      <c r="V46" s="221" t="s">
        <v>235</v>
      </c>
      <c r="W46" s="224" t="s">
        <v>236</v>
      </c>
      <c r="X46" s="221" t="s">
        <v>235</v>
      </c>
      <c r="Y46" s="224" t="s">
        <v>224</v>
      </c>
    </row>
    <row r="47" spans="1:25" x14ac:dyDescent="0.25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68" t="s">
        <v>237</v>
      </c>
      <c r="P47" s="225" t="s">
        <v>14</v>
      </c>
      <c r="Q47" s="225">
        <v>300</v>
      </c>
      <c r="R47" s="225">
        <v>160</v>
      </c>
      <c r="S47" s="226">
        <f>Q47-R47</f>
        <v>140</v>
      </c>
      <c r="T47" s="227">
        <v>3000</v>
      </c>
      <c r="U47" s="228">
        <f>S47*T47</f>
        <v>420000</v>
      </c>
      <c r="V47" s="227">
        <v>0</v>
      </c>
      <c r="W47" s="228">
        <f>S47*V47</f>
        <v>0</v>
      </c>
      <c r="X47" s="229">
        <v>0</v>
      </c>
      <c r="Y47" s="228">
        <v>0</v>
      </c>
    </row>
    <row r="48" spans="1:25" x14ac:dyDescent="0.25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70"/>
      <c r="P48" s="230" t="s">
        <v>15</v>
      </c>
      <c r="Q48" s="230">
        <v>197</v>
      </c>
      <c r="R48" s="230">
        <v>160</v>
      </c>
      <c r="S48" s="231">
        <f>Q48-R48</f>
        <v>37</v>
      </c>
      <c r="T48" s="232">
        <v>3000</v>
      </c>
      <c r="U48" s="233">
        <f>S48*T48</f>
        <v>111000</v>
      </c>
      <c r="V48" s="232">
        <v>0</v>
      </c>
      <c r="W48" s="233">
        <v>0</v>
      </c>
      <c r="X48" s="234">
        <v>0</v>
      </c>
      <c r="Y48" s="233">
        <v>0</v>
      </c>
    </row>
    <row r="49" spans="1:25" x14ac:dyDescent="0.25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70"/>
      <c r="P49" s="230" t="s">
        <v>238</v>
      </c>
      <c r="Q49" s="230">
        <v>130</v>
      </c>
      <c r="R49" s="230">
        <v>0</v>
      </c>
      <c r="S49" s="231">
        <f>Q49-R49</f>
        <v>130</v>
      </c>
      <c r="T49" s="232">
        <v>3000</v>
      </c>
      <c r="U49" s="233">
        <f>S49*T49</f>
        <v>390000</v>
      </c>
      <c r="V49" s="232">
        <v>0</v>
      </c>
      <c r="W49" s="233">
        <v>0</v>
      </c>
      <c r="X49" s="234">
        <v>0</v>
      </c>
      <c r="Y49" s="233">
        <v>0</v>
      </c>
    </row>
    <row r="50" spans="1:25" ht="14.4" thickBot="1" x14ac:dyDescent="0.3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11000</v>
      </c>
      <c r="K50" s="17">
        <f>I50*J50</f>
        <v>2282500</v>
      </c>
      <c r="L50" s="110">
        <v>0.29249999999999998</v>
      </c>
      <c r="M50" s="91">
        <f>K50*L50</f>
        <v>667631.25</v>
      </c>
      <c r="O50" s="370"/>
      <c r="P50" s="235" t="s">
        <v>239</v>
      </c>
      <c r="Q50" s="235">
        <v>55</v>
      </c>
      <c r="R50" s="235">
        <v>0</v>
      </c>
      <c r="S50" s="236">
        <f>Q50-R50</f>
        <v>55</v>
      </c>
      <c r="T50" s="237">
        <v>3000</v>
      </c>
      <c r="U50" s="238">
        <f>S50*T50</f>
        <v>165000</v>
      </c>
      <c r="V50" s="237">
        <v>0</v>
      </c>
      <c r="W50" s="238">
        <v>0</v>
      </c>
      <c r="X50" s="239">
        <v>0</v>
      </c>
      <c r="Y50" s="238">
        <v>0</v>
      </c>
    </row>
    <row r="51" spans="1:25" ht="15" thickTop="1" thickBot="1" x14ac:dyDescent="0.3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11000</v>
      </c>
      <c r="K51" s="17">
        <f>I51*J51</f>
        <v>872300.00000000012</v>
      </c>
      <c r="L51" s="110">
        <v>0.33</v>
      </c>
      <c r="M51" s="91">
        <f>K51*L51</f>
        <v>287859.00000000006</v>
      </c>
      <c r="O51" s="369"/>
      <c r="P51" s="371" t="s">
        <v>8</v>
      </c>
      <c r="Q51" s="372"/>
      <c r="R51" s="373"/>
      <c r="S51" s="240">
        <f>SUM(S47:S50)</f>
        <v>362</v>
      </c>
      <c r="T51" s="241">
        <v>3000</v>
      </c>
      <c r="U51" s="242">
        <f>SUM(U47:U50)</f>
        <v>1086000</v>
      </c>
      <c r="V51" s="241">
        <v>0</v>
      </c>
      <c r="W51" s="242">
        <v>0</v>
      </c>
      <c r="X51" s="243">
        <v>0</v>
      </c>
      <c r="Y51" s="242">
        <v>0</v>
      </c>
    </row>
    <row r="52" spans="1:25" x14ac:dyDescent="0.25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955490.25</v>
      </c>
      <c r="O52" s="349" t="s">
        <v>240</v>
      </c>
      <c r="P52" s="225" t="s">
        <v>240</v>
      </c>
      <c r="Q52" s="244">
        <v>3.7499999999999999E-2</v>
      </c>
      <c r="R52" s="245"/>
      <c r="S52" s="226">
        <v>375</v>
      </c>
      <c r="T52" s="246">
        <v>240000</v>
      </c>
      <c r="U52" s="247">
        <f>T52</f>
        <v>240000</v>
      </c>
      <c r="V52" s="246">
        <v>0</v>
      </c>
      <c r="W52" s="247">
        <v>0</v>
      </c>
      <c r="X52" s="248">
        <v>0.06</v>
      </c>
      <c r="Y52" s="247">
        <f>U52*6%</f>
        <v>14400</v>
      </c>
    </row>
    <row r="53" spans="1:25" ht="14.4" thickBot="1" x14ac:dyDescent="0.3">
      <c r="A53" s="100" t="s">
        <v>26</v>
      </c>
      <c r="B53" s="71"/>
      <c r="C53" s="28">
        <v>0.5</v>
      </c>
      <c r="D53" s="29">
        <f t="shared" si="1"/>
        <v>0</v>
      </c>
      <c r="O53" s="338"/>
      <c r="P53" s="249" t="s">
        <v>241</v>
      </c>
      <c r="Q53" s="249"/>
      <c r="R53" s="249"/>
      <c r="S53" s="250">
        <f>SUM(S51:S52)</f>
        <v>737</v>
      </c>
      <c r="T53" s="251"/>
      <c r="U53" s="252"/>
      <c r="V53" s="251"/>
      <c r="W53" s="252"/>
      <c r="X53" s="253"/>
      <c r="Y53" s="252">
        <v>0</v>
      </c>
    </row>
    <row r="54" spans="1:25" x14ac:dyDescent="0.25">
      <c r="A54" s="22" t="s">
        <v>27</v>
      </c>
      <c r="B54" s="23">
        <f>SUM(B48:B53)-B49</f>
        <v>273</v>
      </c>
      <c r="C54" s="24"/>
      <c r="D54" s="25"/>
      <c r="O54" s="368" t="s">
        <v>177</v>
      </c>
      <c r="P54" s="225" t="s">
        <v>242</v>
      </c>
      <c r="Q54" s="254"/>
      <c r="R54" s="245"/>
      <c r="S54" s="226">
        <v>-160</v>
      </c>
      <c r="T54" s="227">
        <v>950000</v>
      </c>
      <c r="U54" s="228">
        <f>T54</f>
        <v>950000</v>
      </c>
      <c r="V54" s="227">
        <v>450000</v>
      </c>
      <c r="W54" s="228">
        <f>V54</f>
        <v>450000</v>
      </c>
      <c r="X54" s="229">
        <v>0.06</v>
      </c>
      <c r="Y54" s="228">
        <f>U54*6%</f>
        <v>57000</v>
      </c>
    </row>
    <row r="55" spans="1:25" ht="14.4" thickBot="1" x14ac:dyDescent="0.3">
      <c r="A55" s="18" t="s">
        <v>28</v>
      </c>
      <c r="B55" s="19">
        <f>B47-B54</f>
        <v>77</v>
      </c>
      <c r="C55" s="20"/>
      <c r="D55" s="21"/>
      <c r="O55" s="369"/>
      <c r="P55" s="249" t="s">
        <v>243</v>
      </c>
      <c r="Q55" s="249"/>
      <c r="R55" s="249"/>
      <c r="S55" s="250">
        <f>SUM(S53:S54)</f>
        <v>577</v>
      </c>
      <c r="T55" s="251"/>
      <c r="U55" s="252"/>
      <c r="V55" s="251"/>
      <c r="W55" s="252"/>
      <c r="X55" s="253"/>
      <c r="Y55" s="252"/>
    </row>
    <row r="56" spans="1:25" x14ac:dyDescent="0.25">
      <c r="A56" s="26" t="s">
        <v>29</v>
      </c>
      <c r="B56" s="105">
        <v>80</v>
      </c>
      <c r="C56" s="106">
        <v>0.25</v>
      </c>
      <c r="D56" s="107">
        <f>B56*C56</f>
        <v>20</v>
      </c>
      <c r="O56" s="368" t="s">
        <v>244</v>
      </c>
      <c r="P56" s="225" t="s">
        <v>245</v>
      </c>
      <c r="Q56" s="225"/>
      <c r="R56" s="225"/>
      <c r="S56" s="226">
        <f>-Q48-Q49-Q50</f>
        <v>-382</v>
      </c>
      <c r="T56" s="227"/>
      <c r="U56" s="228"/>
      <c r="V56" s="227"/>
      <c r="W56" s="228">
        <v>0</v>
      </c>
      <c r="X56" s="229">
        <v>0</v>
      </c>
      <c r="Y56" s="228">
        <v>0</v>
      </c>
    </row>
    <row r="57" spans="1:25" ht="14.4" thickBot="1" x14ac:dyDescent="0.3">
      <c r="A57" s="101" t="s">
        <v>31</v>
      </c>
      <c r="B57" s="102"/>
      <c r="C57" s="103"/>
      <c r="D57" s="104">
        <f>SUM(D48:D56)</f>
        <v>286.8</v>
      </c>
      <c r="F57" s="91"/>
      <c r="O57" s="369"/>
      <c r="P57" s="249" t="s">
        <v>246</v>
      </c>
      <c r="Q57" s="249"/>
      <c r="R57" s="249"/>
      <c r="S57" s="250">
        <f>SUM(S55:S56)</f>
        <v>195</v>
      </c>
      <c r="T57" s="251">
        <v>0</v>
      </c>
      <c r="U57" s="252">
        <v>0</v>
      </c>
      <c r="V57" s="251"/>
      <c r="W57" s="252">
        <v>0</v>
      </c>
      <c r="X57" s="253">
        <v>0</v>
      </c>
      <c r="Y57" s="252">
        <v>0</v>
      </c>
    </row>
    <row r="58" spans="1:25" ht="14.4" thickBot="1" x14ac:dyDescent="0.3">
      <c r="A58" s="18" t="s">
        <v>75</v>
      </c>
      <c r="B58" s="19"/>
      <c r="D58" s="91">
        <v>100000</v>
      </c>
      <c r="T58" s="218" t="s">
        <v>234</v>
      </c>
      <c r="U58" s="255">
        <f>SUM(U51:U57)</f>
        <v>2276000</v>
      </c>
      <c r="V58" s="219" t="s">
        <v>247</v>
      </c>
      <c r="W58" s="255">
        <f>SUM(W47:W57)</f>
        <v>450000</v>
      </c>
      <c r="X58" s="219" t="s">
        <v>248</v>
      </c>
      <c r="Y58" s="256">
        <f>SUM(Y51:Y57)</f>
        <v>71400</v>
      </c>
    </row>
    <row r="60" spans="1:25" ht="14.4" thickBot="1" x14ac:dyDescent="0.3">
      <c r="A60" t="s">
        <v>96</v>
      </c>
      <c r="B60">
        <v>2500</v>
      </c>
      <c r="F60" t="str">
        <f>A60</f>
        <v>לפי שומת הררי 2021</v>
      </c>
      <c r="G60">
        <v>3000</v>
      </c>
    </row>
    <row r="61" spans="1:25" x14ac:dyDescent="0.25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25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25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25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25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25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25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25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9" x14ac:dyDescent="0.25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4" thickBot="1" x14ac:dyDescent="0.3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25">
      <c r="A71" t="s">
        <v>66</v>
      </c>
      <c r="D71" s="17">
        <v>175000</v>
      </c>
      <c r="F71" t="s">
        <v>66</v>
      </c>
      <c r="I71" s="17">
        <v>190000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41E-AD07-4ECE-B78D-396261D7684A}">
  <dimension ref="E2:L14"/>
  <sheetViews>
    <sheetView rightToLeft="1" workbookViewId="0">
      <selection activeCell="G26" sqref="G26"/>
    </sheetView>
  </sheetViews>
  <sheetFormatPr defaultRowHeight="13.8" x14ac:dyDescent="0.25"/>
  <cols>
    <col min="5" max="5" width="10.8984375" customWidth="1"/>
    <col min="6" max="7" width="10.59765625" customWidth="1"/>
    <col min="8" max="8" width="9.296875" customWidth="1"/>
    <col min="9" max="9" width="10.5" bestFit="1" customWidth="1"/>
    <col min="10" max="10" width="11" customWidth="1"/>
  </cols>
  <sheetData>
    <row r="2" spans="5:12" ht="14.4" thickBot="1" x14ac:dyDescent="0.3"/>
    <row r="3" spans="5:12" ht="14.4" thickBot="1" x14ac:dyDescent="0.3">
      <c r="E3" s="374" t="s">
        <v>322</v>
      </c>
      <c r="F3" s="375"/>
      <c r="G3" s="375"/>
      <c r="H3" s="375"/>
      <c r="I3" s="375"/>
      <c r="J3" s="375"/>
      <c r="K3" s="375"/>
      <c r="L3" s="376"/>
    </row>
    <row r="4" spans="5:12" x14ac:dyDescent="0.25">
      <c r="E4" s="304" t="s">
        <v>249</v>
      </c>
      <c r="F4" s="305" t="s">
        <v>323</v>
      </c>
      <c r="G4" s="306" t="s">
        <v>324</v>
      </c>
      <c r="H4" s="306" t="s">
        <v>325</v>
      </c>
      <c r="I4" s="305" t="s">
        <v>199</v>
      </c>
      <c r="J4" s="305" t="s">
        <v>236</v>
      </c>
      <c r="K4" s="305" t="s">
        <v>326</v>
      </c>
      <c r="L4" s="307" t="s">
        <v>49</v>
      </c>
    </row>
    <row r="5" spans="5:12" x14ac:dyDescent="0.25">
      <c r="E5" s="299">
        <v>1</v>
      </c>
      <c r="F5" s="308"/>
      <c r="G5" s="309"/>
      <c r="H5" s="310"/>
      <c r="I5" s="301"/>
      <c r="J5" s="301"/>
      <c r="K5" s="301">
        <f>SUM(I5:J5)</f>
        <v>0</v>
      </c>
      <c r="L5" s="302"/>
    </row>
    <row r="6" spans="5:12" x14ac:dyDescent="0.25">
      <c r="E6" s="299">
        <v>2</v>
      </c>
      <c r="F6" s="311"/>
      <c r="G6" s="309"/>
      <c r="H6" s="303"/>
      <c r="I6" s="312"/>
      <c r="J6" s="312"/>
      <c r="K6" s="301">
        <f t="shared" ref="K6:K10" si="0">SUM(I6:J6)</f>
        <v>0</v>
      </c>
      <c r="L6" s="313"/>
    </row>
    <row r="7" spans="5:12" x14ac:dyDescent="0.25">
      <c r="E7" s="299">
        <v>3</v>
      </c>
      <c r="F7" s="311"/>
      <c r="G7" s="314"/>
      <c r="H7" s="303"/>
      <c r="I7" s="312"/>
      <c r="J7" s="312"/>
      <c r="K7" s="301">
        <f t="shared" si="0"/>
        <v>0</v>
      </c>
      <c r="L7" s="313"/>
    </row>
    <row r="8" spans="5:12" x14ac:dyDescent="0.25">
      <c r="E8" s="299">
        <v>4</v>
      </c>
      <c r="F8" s="311"/>
      <c r="G8" s="314"/>
      <c r="H8" s="303"/>
      <c r="I8" s="312"/>
      <c r="J8" s="312"/>
      <c r="K8" s="301">
        <f t="shared" si="0"/>
        <v>0</v>
      </c>
      <c r="L8" s="313"/>
    </row>
    <row r="9" spans="5:12" x14ac:dyDescent="0.25">
      <c r="E9" s="299">
        <v>5</v>
      </c>
      <c r="F9" s="311"/>
      <c r="G9" s="314"/>
      <c r="H9" s="303"/>
      <c r="I9" s="312"/>
      <c r="J9" s="312"/>
      <c r="K9" s="301">
        <f t="shared" si="0"/>
        <v>0</v>
      </c>
      <c r="L9" s="313"/>
    </row>
    <row r="10" spans="5:12" ht="14.4" thickBot="1" x14ac:dyDescent="0.3">
      <c r="E10" s="300">
        <v>6</v>
      </c>
      <c r="F10" s="315"/>
      <c r="G10" s="316"/>
      <c r="H10" s="317"/>
      <c r="I10" s="318"/>
      <c r="J10" s="318"/>
      <c r="K10" s="319">
        <f t="shared" si="0"/>
        <v>0</v>
      </c>
      <c r="L10" s="320"/>
    </row>
    <row r="11" spans="5:12" ht="14.4" thickBot="1" x14ac:dyDescent="0.3">
      <c r="E11" s="377" t="s">
        <v>327</v>
      </c>
      <c r="F11" s="378"/>
      <c r="G11" s="378"/>
      <c r="H11" s="379"/>
      <c r="I11" s="321">
        <f>SUM(I5:I10)</f>
        <v>0</v>
      </c>
      <c r="J11" s="322">
        <f t="shared" ref="J11" si="1">SUM(J5:J10)</f>
        <v>0</v>
      </c>
      <c r="K11" s="323">
        <f>SUM(K5:K10)</f>
        <v>0</v>
      </c>
      <c r="L11" s="324">
        <f>SUM(L5:L10)</f>
        <v>0</v>
      </c>
    </row>
    <row r="12" spans="5:12" x14ac:dyDescent="0.25">
      <c r="F12" s="325"/>
      <c r="G12" s="325"/>
      <c r="J12" s="326" t="s">
        <v>240</v>
      </c>
      <c r="K12" s="327"/>
      <c r="L12" s="328"/>
    </row>
    <row r="13" spans="5:12" ht="14.4" thickBot="1" x14ac:dyDescent="0.3">
      <c r="I13" s="329"/>
      <c r="J13" s="330" t="s">
        <v>126</v>
      </c>
      <c r="K13" s="331"/>
      <c r="L13" s="332"/>
    </row>
    <row r="14" spans="5:12" ht="14.4" thickBot="1" x14ac:dyDescent="0.3">
      <c r="J14" s="333" t="s">
        <v>328</v>
      </c>
      <c r="K14" s="334">
        <f>SUM(I13:L13)</f>
        <v>0</v>
      </c>
      <c r="L14" s="335">
        <f>SUM(L5:L12)</f>
        <v>0</v>
      </c>
    </row>
  </sheetData>
  <mergeCells count="2">
    <mergeCell ref="E3:L3"/>
    <mergeCell ref="E11:H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V105"/>
  <sheetViews>
    <sheetView rightToLeft="1" zoomScale="115" zoomScaleNormal="115" workbookViewId="0">
      <selection activeCell="S43" sqref="S43"/>
    </sheetView>
  </sheetViews>
  <sheetFormatPr defaultRowHeight="13.8" x14ac:dyDescent="0.25"/>
  <cols>
    <col min="1" max="1" width="5.296875" customWidth="1"/>
    <col min="2" max="2" width="12.5" customWidth="1"/>
    <col min="3" max="3" width="9.5" bestFit="1" customWidth="1"/>
    <col min="4" max="4" width="10.296875" style="17" customWidth="1"/>
    <col min="5" max="6" width="12" style="17" bestFit="1" customWidth="1"/>
    <col min="7" max="7" width="12" bestFit="1" customWidth="1"/>
    <col min="8" max="8" width="14.59765625" bestFit="1" customWidth="1"/>
    <col min="9" max="9" width="12.09765625" bestFit="1" customWidth="1"/>
    <col min="10" max="10" width="14.59765625" bestFit="1" customWidth="1"/>
    <col min="11" max="11" width="13.3984375" bestFit="1" customWidth="1"/>
    <col min="12" max="12" width="12" bestFit="1" customWidth="1"/>
    <col min="13" max="13" width="8.796875" customWidth="1"/>
    <col min="14" max="14" width="12" bestFit="1" customWidth="1"/>
    <col min="18" max="18" width="13.8984375" bestFit="1" customWidth="1"/>
    <col min="19" max="19" width="12" bestFit="1" customWidth="1"/>
  </cols>
  <sheetData>
    <row r="2" spans="2:14" ht="15.6" x14ac:dyDescent="0.4">
      <c r="B2" s="39" t="s">
        <v>157</v>
      </c>
      <c r="C2" s="39"/>
      <c r="D2" s="131"/>
    </row>
    <row r="3" spans="2:14" x14ac:dyDescent="0.25">
      <c r="B3" t="s">
        <v>95</v>
      </c>
      <c r="C3" s="149"/>
      <c r="D3" s="149"/>
      <c r="G3" s="190"/>
      <c r="H3" s="149"/>
      <c r="I3" s="150"/>
      <c r="J3" s="150"/>
    </row>
    <row r="4" spans="2:14" x14ac:dyDescent="0.25">
      <c r="B4" t="s">
        <v>131</v>
      </c>
      <c r="C4" s="187"/>
      <c r="D4" s="38"/>
      <c r="G4" s="190"/>
      <c r="J4" s="150"/>
    </row>
    <row r="5" spans="2:14" x14ac:dyDescent="0.25">
      <c r="B5" t="s">
        <v>132</v>
      </c>
    </row>
    <row r="6" spans="2:14" x14ac:dyDescent="0.25">
      <c r="B6" t="s">
        <v>133</v>
      </c>
      <c r="C6" s="150"/>
      <c r="D6" s="149"/>
    </row>
    <row r="7" spans="2:14" x14ac:dyDescent="0.25">
      <c r="B7" t="s">
        <v>147</v>
      </c>
      <c r="C7" s="150">
        <f>N28</f>
        <v>11000</v>
      </c>
    </row>
    <row r="8" spans="2:14" x14ac:dyDescent="0.25">
      <c r="C8" s="150"/>
    </row>
    <row r="9" spans="2:14" x14ac:dyDescent="0.25">
      <c r="B9" s="39" t="s">
        <v>134</v>
      </c>
      <c r="C9" s="151"/>
    </row>
    <row r="10" spans="2:14" ht="27.6" x14ac:dyDescent="0.4">
      <c r="B10" s="39" t="s">
        <v>136</v>
      </c>
      <c r="C10" s="39" t="s">
        <v>135</v>
      </c>
      <c r="D10" s="131" t="s">
        <v>137</v>
      </c>
      <c r="E10" s="131" t="s">
        <v>138</v>
      </c>
      <c r="F10" s="131" t="s">
        <v>139</v>
      </c>
      <c r="G10" s="131" t="s">
        <v>140</v>
      </c>
      <c r="H10" s="189" t="s">
        <v>141</v>
      </c>
      <c r="I10" s="131" t="s">
        <v>142</v>
      </c>
      <c r="J10" s="131" t="s">
        <v>143</v>
      </c>
      <c r="K10" s="131" t="s">
        <v>144</v>
      </c>
      <c r="L10" s="131" t="s">
        <v>145</v>
      </c>
      <c r="M10" s="131" t="s">
        <v>146</v>
      </c>
    </row>
    <row r="11" spans="2:14" x14ac:dyDescent="0.25">
      <c r="B11" s="188"/>
    </row>
    <row r="13" spans="2:14" x14ac:dyDescent="0.25">
      <c r="C13" s="150"/>
    </row>
    <row r="14" spans="2:14" ht="26.4" x14ac:dyDescent="0.25">
      <c r="B14" s="258" t="s">
        <v>250</v>
      </c>
      <c r="C14" s="258" t="s">
        <v>251</v>
      </c>
      <c r="D14" s="258" t="s">
        <v>252</v>
      </c>
      <c r="E14" s="258" t="s">
        <v>253</v>
      </c>
      <c r="F14" s="258" t="s">
        <v>254</v>
      </c>
      <c r="G14" s="258" t="s">
        <v>255</v>
      </c>
      <c r="H14" s="258" t="s">
        <v>139</v>
      </c>
      <c r="I14" s="258" t="s">
        <v>256</v>
      </c>
      <c r="J14" s="258" t="s">
        <v>257</v>
      </c>
      <c r="K14" s="258" t="s">
        <v>258</v>
      </c>
      <c r="L14" s="258" t="s">
        <v>259</v>
      </c>
      <c r="M14" s="258" t="s">
        <v>260</v>
      </c>
      <c r="N14" s="258" t="s">
        <v>95</v>
      </c>
    </row>
    <row r="15" spans="2:14" x14ac:dyDescent="0.25">
      <c r="B15" s="259" t="s">
        <v>261</v>
      </c>
      <c r="C15" s="260" t="s">
        <v>262</v>
      </c>
      <c r="D15" s="259" t="s">
        <v>263</v>
      </c>
      <c r="E15" s="261">
        <v>45446</v>
      </c>
      <c r="F15" s="262">
        <v>6500000</v>
      </c>
      <c r="G15" s="263">
        <f t="shared" ref="G15:G23" si="0">F15/1.05</f>
        <v>6190476.1904761903</v>
      </c>
      <c r="H15" s="259">
        <v>111</v>
      </c>
      <c r="I15" s="264">
        <f>H15*7000</f>
        <v>777000</v>
      </c>
      <c r="J15" s="263">
        <f t="shared" ref="J15:J23" si="1">G15-I15</f>
        <v>5413476.1904761903</v>
      </c>
      <c r="K15" s="259">
        <v>1.0349999999999999</v>
      </c>
      <c r="L15" s="263">
        <f>J15*K15</f>
        <v>5602947.8571428563</v>
      </c>
      <c r="M15" s="259">
        <v>736</v>
      </c>
      <c r="N15" s="263">
        <f>E41</f>
        <v>15478.825491105345</v>
      </c>
    </row>
    <row r="16" spans="2:14" x14ac:dyDescent="0.25">
      <c r="B16" s="279">
        <v>2</v>
      </c>
      <c r="C16" s="267" t="s">
        <v>264</v>
      </c>
      <c r="D16" s="279" t="s">
        <v>265</v>
      </c>
      <c r="E16" s="280">
        <v>44859</v>
      </c>
      <c r="F16" s="281">
        <v>6950000</v>
      </c>
      <c r="G16" s="282">
        <f t="shared" si="0"/>
        <v>6619047.6190476185</v>
      </c>
      <c r="H16" s="279">
        <v>176</v>
      </c>
      <c r="I16" s="283">
        <f>H16*7000</f>
        <v>1232000</v>
      </c>
      <c r="J16" s="282">
        <f t="shared" si="1"/>
        <v>5387047.6190476185</v>
      </c>
      <c r="K16" s="279">
        <v>1.1000000000000001</v>
      </c>
      <c r="L16" s="282">
        <f>J16*K16</f>
        <v>5925752.3809523806</v>
      </c>
      <c r="M16" s="279">
        <v>1061</v>
      </c>
      <c r="N16" s="282">
        <f>K40</f>
        <v>12481.837558614809</v>
      </c>
    </row>
    <row r="17" spans="2:22" x14ac:dyDescent="0.25">
      <c r="B17" s="279">
        <v>3</v>
      </c>
      <c r="C17" s="267" t="s">
        <v>266</v>
      </c>
      <c r="D17" s="279" t="s">
        <v>267</v>
      </c>
      <c r="E17" s="280">
        <v>44579</v>
      </c>
      <c r="F17" s="281">
        <v>4820000</v>
      </c>
      <c r="G17" s="282">
        <f t="shared" si="0"/>
        <v>4590476.1904761903</v>
      </c>
      <c r="H17" s="279">
        <v>139</v>
      </c>
      <c r="I17" s="283">
        <f>H17*6000</f>
        <v>834000</v>
      </c>
      <c r="J17" s="282">
        <f t="shared" si="1"/>
        <v>3756476.1904761903</v>
      </c>
      <c r="K17" s="279">
        <v>1.1499999999999999</v>
      </c>
      <c r="L17" s="282">
        <f>K17*J17</f>
        <v>4319947.6190476185</v>
      </c>
      <c r="M17" s="279">
        <v>492</v>
      </c>
      <c r="N17" s="282">
        <f>E55</f>
        <v>11999.854497354496</v>
      </c>
    </row>
    <row r="18" spans="2:22" x14ac:dyDescent="0.25">
      <c r="B18" s="279">
        <v>5</v>
      </c>
      <c r="C18" s="267" t="s">
        <v>269</v>
      </c>
      <c r="D18" s="279" t="s">
        <v>270</v>
      </c>
      <c r="E18" s="280">
        <v>45386</v>
      </c>
      <c r="F18" s="281">
        <v>6600000</v>
      </c>
      <c r="G18" s="282">
        <f t="shared" si="0"/>
        <v>6285714.2857142854</v>
      </c>
      <c r="H18" s="279">
        <v>257</v>
      </c>
      <c r="I18" s="283">
        <f>7000*H18</f>
        <v>1799000</v>
      </c>
      <c r="J18" s="282">
        <f t="shared" si="1"/>
        <v>4486714.2857142854</v>
      </c>
      <c r="K18" s="279">
        <v>1.0349999999999999</v>
      </c>
      <c r="L18" s="282">
        <f>K18*J18</f>
        <v>4643749.2857142854</v>
      </c>
      <c r="M18" s="279">
        <v>450</v>
      </c>
      <c r="N18" s="282">
        <f>E68</f>
        <v>12790.9359198851</v>
      </c>
    </row>
    <row r="19" spans="2:22" x14ac:dyDescent="0.25">
      <c r="B19" s="284">
        <v>6</v>
      </c>
      <c r="C19" s="267" t="s">
        <v>271</v>
      </c>
      <c r="D19" s="279" t="s">
        <v>263</v>
      </c>
      <c r="E19" s="280">
        <v>45683</v>
      </c>
      <c r="F19" s="281">
        <v>5950000</v>
      </c>
      <c r="G19" s="282">
        <f t="shared" si="0"/>
        <v>5666666.666666666</v>
      </c>
      <c r="H19" s="279">
        <v>173</v>
      </c>
      <c r="I19" s="283">
        <f>H19*7000</f>
        <v>1211000</v>
      </c>
      <c r="J19" s="282">
        <f t="shared" si="1"/>
        <v>4455666.666666666</v>
      </c>
      <c r="K19" s="279">
        <v>1.0149999999999999</v>
      </c>
      <c r="L19" s="282">
        <f>J19*K19</f>
        <v>4522501.666666666</v>
      </c>
      <c r="M19" s="279">
        <v>530</v>
      </c>
      <c r="N19" s="282">
        <f>K69</f>
        <v>14293.620943952801</v>
      </c>
    </row>
    <row r="20" spans="2:22" x14ac:dyDescent="0.25">
      <c r="B20" s="285">
        <v>7</v>
      </c>
      <c r="C20" s="286" t="s">
        <v>272</v>
      </c>
      <c r="D20" s="287" t="s">
        <v>268</v>
      </c>
      <c r="E20" s="288">
        <v>45159</v>
      </c>
      <c r="F20" s="289">
        <v>4603000</v>
      </c>
      <c r="G20" s="290">
        <f t="shared" si="0"/>
        <v>4383809.5238095233</v>
      </c>
      <c r="H20" s="287">
        <v>150</v>
      </c>
      <c r="I20" s="291">
        <f>7000*H20</f>
        <v>1050000</v>
      </c>
      <c r="J20" s="290">
        <f t="shared" si="1"/>
        <v>3333809.5238095233</v>
      </c>
      <c r="K20" s="287">
        <v>1.07</v>
      </c>
      <c r="L20" s="290">
        <f>K20*J20</f>
        <v>3567176.1904761903</v>
      </c>
      <c r="M20" s="287">
        <v>499</v>
      </c>
      <c r="N20" s="290">
        <f>E80</f>
        <v>10923.828481017272</v>
      </c>
      <c r="R20" s="380" t="s">
        <v>312</v>
      </c>
      <c r="S20" s="380"/>
      <c r="T20" s="380"/>
      <c r="U20" s="380"/>
      <c r="V20" s="380"/>
    </row>
    <row r="21" spans="2:22" ht="15" customHeight="1" x14ac:dyDescent="0.25">
      <c r="B21" s="284">
        <v>8</v>
      </c>
      <c r="C21" s="292" t="s">
        <v>300</v>
      </c>
      <c r="D21" s="292" t="s">
        <v>301</v>
      </c>
      <c r="E21" s="293">
        <v>44990</v>
      </c>
      <c r="F21" s="294">
        <v>5300000</v>
      </c>
      <c r="G21" s="294">
        <f t="shared" si="0"/>
        <v>5047619.0476190476</v>
      </c>
      <c r="H21" s="292">
        <v>227.66</v>
      </c>
      <c r="I21" s="294">
        <f>7000*H21</f>
        <v>1593620</v>
      </c>
      <c r="J21" s="294">
        <f t="shared" si="1"/>
        <v>3453999.0476190476</v>
      </c>
      <c r="K21" s="292">
        <v>1.1000000000000001</v>
      </c>
      <c r="L21" s="282">
        <f>K21*J21</f>
        <v>3799398.9523809524</v>
      </c>
      <c r="M21" s="294">
        <v>504</v>
      </c>
      <c r="N21" s="294">
        <f>E94</f>
        <v>10316.043856586892</v>
      </c>
    </row>
    <row r="22" spans="2:22" x14ac:dyDescent="0.25">
      <c r="B22" s="284">
        <v>9</v>
      </c>
      <c r="C22" s="292" t="s">
        <v>302</v>
      </c>
      <c r="D22" s="292" t="s">
        <v>268</v>
      </c>
      <c r="E22" s="293">
        <v>45159</v>
      </c>
      <c r="F22" s="294">
        <v>4603000</v>
      </c>
      <c r="G22" s="294">
        <f t="shared" si="0"/>
        <v>4383809.5238095233</v>
      </c>
      <c r="H22" s="292">
        <v>149.97999999999999</v>
      </c>
      <c r="I22" s="294">
        <f>7500*H22</f>
        <v>1124850</v>
      </c>
      <c r="J22" s="294">
        <f t="shared" si="1"/>
        <v>3258959.5238095233</v>
      </c>
      <c r="K22" s="292">
        <v>1.075</v>
      </c>
      <c r="L22" s="282">
        <f>K22*J22</f>
        <v>3503381.4880952374</v>
      </c>
      <c r="M22" s="294">
        <v>499</v>
      </c>
      <c r="N22" s="294">
        <f>K93</f>
        <v>10728.468804456399</v>
      </c>
    </row>
    <row r="23" spans="2:22" x14ac:dyDescent="0.25">
      <c r="B23" s="284">
        <v>10</v>
      </c>
      <c r="C23" s="292" t="s">
        <v>303</v>
      </c>
      <c r="D23" s="292" t="s">
        <v>268</v>
      </c>
      <c r="E23" s="293">
        <v>45636</v>
      </c>
      <c r="F23" s="294">
        <v>6400000</v>
      </c>
      <c r="G23" s="294">
        <f t="shared" si="0"/>
        <v>6095238.0952380951</v>
      </c>
      <c r="H23" s="292">
        <f>202+9.36</f>
        <v>211.36</v>
      </c>
      <c r="I23" s="294">
        <f>H23*8000</f>
        <v>1690880</v>
      </c>
      <c r="J23" s="294">
        <f t="shared" si="1"/>
        <v>4404358.0952380951</v>
      </c>
      <c r="K23" s="292">
        <v>1.03</v>
      </c>
      <c r="L23" s="282">
        <f>K23*J23</f>
        <v>4536488.8380952384</v>
      </c>
      <c r="M23" s="294">
        <v>756</v>
      </c>
      <c r="N23" s="294">
        <f>E105</f>
        <v>11608.210947019545</v>
      </c>
    </row>
    <row r="24" spans="2:22" x14ac:dyDescent="0.25">
      <c r="B24" s="385" t="s">
        <v>273</v>
      </c>
      <c r="C24" s="385"/>
      <c r="D24" s="385"/>
      <c r="E24" s="385"/>
      <c r="F24" s="385"/>
      <c r="G24" s="385"/>
      <c r="H24" s="385"/>
      <c r="I24" s="385"/>
      <c r="J24" s="385"/>
      <c r="K24" s="385"/>
      <c r="L24" s="385"/>
      <c r="M24" s="385"/>
      <c r="N24" s="265">
        <f>AVERAGE(N16:N23)</f>
        <v>11892.850126110914</v>
      </c>
    </row>
    <row r="25" spans="2:22" x14ac:dyDescent="0.25">
      <c r="B25" s="386" t="s">
        <v>274</v>
      </c>
      <c r="C25" s="387"/>
      <c r="D25" s="387"/>
      <c r="E25" s="387"/>
      <c r="F25" s="387"/>
      <c r="G25" s="387"/>
      <c r="H25" s="387"/>
      <c r="I25" s="387"/>
      <c r="J25" s="387"/>
      <c r="K25" s="387"/>
      <c r="L25" s="387"/>
      <c r="M25" s="388"/>
      <c r="N25" s="265">
        <f>N24/0.97</f>
        <v>12260.670233104036</v>
      </c>
    </row>
    <row r="26" spans="2:22" x14ac:dyDescent="0.25">
      <c r="B26" s="385" t="s">
        <v>309</v>
      </c>
      <c r="C26" s="385"/>
      <c r="D26" s="385"/>
      <c r="E26" s="385"/>
      <c r="F26" s="385"/>
      <c r="G26" s="385"/>
      <c r="H26" s="385"/>
      <c r="I26" s="385"/>
      <c r="J26" s="385"/>
      <c r="K26" s="385"/>
      <c r="L26" s="385"/>
      <c r="M26" s="385"/>
      <c r="N26" s="230">
        <v>0.9</v>
      </c>
    </row>
    <row r="27" spans="2:22" x14ac:dyDescent="0.25">
      <c r="B27" s="385" t="s">
        <v>310</v>
      </c>
      <c r="C27" s="385"/>
      <c r="D27" s="385"/>
      <c r="E27" s="385"/>
      <c r="F27" s="385"/>
      <c r="G27" s="385"/>
      <c r="H27" s="385"/>
      <c r="I27" s="385"/>
      <c r="J27" s="385"/>
      <c r="K27" s="385"/>
      <c r="L27" s="385"/>
      <c r="M27" s="385"/>
      <c r="N27" s="265">
        <f>N25*N26</f>
        <v>11034.603209793633</v>
      </c>
    </row>
    <row r="28" spans="2:22" x14ac:dyDescent="0.25">
      <c r="B28" s="389" t="s">
        <v>311</v>
      </c>
      <c r="C28" s="389"/>
      <c r="D28" s="389"/>
      <c r="E28" s="389"/>
      <c r="F28" s="389"/>
      <c r="G28" s="389"/>
      <c r="H28" s="389"/>
      <c r="I28" s="389"/>
      <c r="J28" s="389"/>
      <c r="K28" s="389"/>
      <c r="L28" s="389"/>
      <c r="M28" s="389"/>
      <c r="N28" s="295">
        <v>11000</v>
      </c>
    </row>
    <row r="29" spans="2:22" x14ac:dyDescent="0.25">
      <c r="D29"/>
      <c r="E29"/>
      <c r="F29"/>
    </row>
    <row r="30" spans="2:22" x14ac:dyDescent="0.25">
      <c r="B30" s="381" t="s">
        <v>275</v>
      </c>
      <c r="C30" s="381"/>
      <c r="D30" s="381"/>
      <c r="E30" s="381"/>
      <c r="F30" s="268" t="s">
        <v>260</v>
      </c>
      <c r="H30" s="382" t="s">
        <v>276</v>
      </c>
      <c r="I30" s="383"/>
      <c r="J30" s="383"/>
      <c r="K30" s="384"/>
      <c r="L30" s="269" t="s">
        <v>260</v>
      </c>
    </row>
    <row r="31" spans="2:22" x14ac:dyDescent="0.25">
      <c r="B31" s="270" t="s">
        <v>277</v>
      </c>
      <c r="C31" s="270" t="s">
        <v>278</v>
      </c>
      <c r="D31" s="270" t="s">
        <v>21</v>
      </c>
      <c r="E31" s="270" t="s">
        <v>8</v>
      </c>
      <c r="F31" s="268">
        <v>736</v>
      </c>
      <c r="H31" s="270" t="s">
        <v>277</v>
      </c>
      <c r="I31" s="270" t="s">
        <v>278</v>
      </c>
      <c r="J31" s="270" t="s">
        <v>21</v>
      </c>
      <c r="K31" s="270" t="s">
        <v>8</v>
      </c>
      <c r="L31" s="269">
        <f>M16</f>
        <v>1061</v>
      </c>
    </row>
    <row r="32" spans="2:22" x14ac:dyDescent="0.25">
      <c r="B32" s="270" t="s">
        <v>279</v>
      </c>
      <c r="C32" s="270">
        <f>193/2</f>
        <v>96.5</v>
      </c>
      <c r="D32" s="270">
        <v>1</v>
      </c>
      <c r="E32" s="270">
        <f t="shared" ref="E32:E38" si="2">D32*C32</f>
        <v>96.5</v>
      </c>
      <c r="F32" s="271"/>
      <c r="H32" s="270" t="s">
        <v>280</v>
      </c>
      <c r="I32" s="270">
        <v>220</v>
      </c>
      <c r="J32" s="270">
        <v>1</v>
      </c>
      <c r="K32" s="270">
        <f t="shared" ref="K32:K37" si="3">J32*I32</f>
        <v>220</v>
      </c>
      <c r="L32" s="271"/>
    </row>
    <row r="33" spans="2:19" x14ac:dyDescent="0.25">
      <c r="B33" s="270" t="s">
        <v>68</v>
      </c>
      <c r="C33" s="270">
        <v>12</v>
      </c>
      <c r="D33" s="270">
        <v>0.9</v>
      </c>
      <c r="E33" s="270">
        <f t="shared" si="2"/>
        <v>10.8</v>
      </c>
      <c r="F33" s="271"/>
      <c r="H33" s="270" t="s">
        <v>68</v>
      </c>
      <c r="I33" s="270">
        <v>12</v>
      </c>
      <c r="J33" s="270">
        <v>0.9</v>
      </c>
      <c r="K33" s="270">
        <f t="shared" si="3"/>
        <v>10.8</v>
      </c>
      <c r="L33" s="271"/>
    </row>
    <row r="34" spans="2:19" x14ac:dyDescent="0.25">
      <c r="B34" s="270" t="s">
        <v>280</v>
      </c>
      <c r="C34" s="270">
        <f>C32</f>
        <v>96.5</v>
      </c>
      <c r="D34" s="270">
        <v>1</v>
      </c>
      <c r="E34" s="270">
        <f t="shared" si="2"/>
        <v>96.5</v>
      </c>
      <c r="F34" s="271"/>
      <c r="H34" s="270" t="s">
        <v>281</v>
      </c>
      <c r="I34" s="270">
        <f>45-I33</f>
        <v>33</v>
      </c>
      <c r="J34" s="270">
        <v>1</v>
      </c>
      <c r="K34" s="270">
        <f t="shared" si="3"/>
        <v>33</v>
      </c>
      <c r="L34" s="271"/>
    </row>
    <row r="35" spans="2:19" x14ac:dyDescent="0.25">
      <c r="B35" s="270" t="s">
        <v>281</v>
      </c>
      <c r="C35" s="270">
        <v>6</v>
      </c>
      <c r="D35" s="270">
        <v>0.5</v>
      </c>
      <c r="E35" s="270">
        <f t="shared" si="2"/>
        <v>3</v>
      </c>
      <c r="F35" s="271"/>
      <c r="H35" s="270" t="s">
        <v>282</v>
      </c>
      <c r="I35" s="270">
        <v>100</v>
      </c>
      <c r="J35" s="270">
        <v>0.4</v>
      </c>
      <c r="K35" s="270">
        <f t="shared" si="3"/>
        <v>40</v>
      </c>
      <c r="L35" s="271"/>
    </row>
    <row r="36" spans="2:19" x14ac:dyDescent="0.25">
      <c r="B36" s="270" t="s">
        <v>282</v>
      </c>
      <c r="C36" s="270">
        <v>29</v>
      </c>
      <c r="D36" s="270">
        <v>0.4</v>
      </c>
      <c r="E36" s="270">
        <f t="shared" si="2"/>
        <v>11.600000000000001</v>
      </c>
      <c r="F36" s="271"/>
      <c r="H36" s="270" t="s">
        <v>283</v>
      </c>
      <c r="I36" s="270">
        <f>500-I32-I33-I34</f>
        <v>235</v>
      </c>
      <c r="J36" s="270">
        <v>0.25</v>
      </c>
      <c r="K36" s="270">
        <f t="shared" si="3"/>
        <v>58.75</v>
      </c>
      <c r="L36" s="271"/>
    </row>
    <row r="37" spans="2:19" x14ac:dyDescent="0.25">
      <c r="B37" s="270" t="s">
        <v>283</v>
      </c>
      <c r="C37" s="270">
        <f>500-C32-C33-C35</f>
        <v>385.5</v>
      </c>
      <c r="D37" s="270">
        <v>0.25</v>
      </c>
      <c r="E37" s="270">
        <f t="shared" si="2"/>
        <v>96.375</v>
      </c>
      <c r="F37" s="271"/>
      <c r="H37" s="270" t="s">
        <v>30</v>
      </c>
      <c r="I37" s="270">
        <f>L31-500</f>
        <v>561</v>
      </c>
      <c r="J37" s="270">
        <v>0.2</v>
      </c>
      <c r="K37" s="270">
        <f t="shared" si="3"/>
        <v>112.2</v>
      </c>
      <c r="L37" s="271"/>
    </row>
    <row r="38" spans="2:19" x14ac:dyDescent="0.25">
      <c r="B38" s="270" t="s">
        <v>30</v>
      </c>
      <c r="C38" s="270">
        <f>F31-500</f>
        <v>236</v>
      </c>
      <c r="D38" s="270">
        <v>0.2</v>
      </c>
      <c r="E38" s="270">
        <f t="shared" si="2"/>
        <v>47.2</v>
      </c>
      <c r="F38" s="271"/>
      <c r="H38" s="382" t="s">
        <v>8</v>
      </c>
      <c r="I38" s="383"/>
      <c r="J38" s="384"/>
      <c r="K38" s="270">
        <f>SUM(K32:K37)</f>
        <v>474.75</v>
      </c>
      <c r="L38" s="271"/>
      <c r="R38" t="s">
        <v>313</v>
      </c>
      <c r="S38">
        <v>9800</v>
      </c>
    </row>
    <row r="39" spans="2:19" x14ac:dyDescent="0.25">
      <c r="B39" s="381" t="s">
        <v>8</v>
      </c>
      <c r="C39" s="381"/>
      <c r="D39" s="381"/>
      <c r="E39" s="270">
        <f>SUM(E32:E38)</f>
        <v>361.97499999999997</v>
      </c>
      <c r="F39" s="271"/>
      <c r="H39" s="382" t="s">
        <v>284</v>
      </c>
      <c r="I39" s="383"/>
      <c r="J39" s="384"/>
      <c r="K39" s="272">
        <f>L16</f>
        <v>5925752.3809523806</v>
      </c>
      <c r="L39" s="271"/>
      <c r="R39" t="s">
        <v>314</v>
      </c>
      <c r="S39">
        <v>0.9</v>
      </c>
    </row>
    <row r="40" spans="2:19" x14ac:dyDescent="0.25">
      <c r="B40" s="381" t="s">
        <v>284</v>
      </c>
      <c r="C40" s="381"/>
      <c r="D40" s="381"/>
      <c r="E40" s="272">
        <f>L15</f>
        <v>5602947.8571428563</v>
      </c>
      <c r="F40" s="271"/>
      <c r="H40" s="382" t="s">
        <v>285</v>
      </c>
      <c r="I40" s="383"/>
      <c r="J40" s="384"/>
      <c r="K40" s="272">
        <f>K39/K38</f>
        <v>12481.837558614809</v>
      </c>
      <c r="L40" s="271"/>
      <c r="R40" t="s">
        <v>315</v>
      </c>
      <c r="S40">
        <f>S38*S39</f>
        <v>8820</v>
      </c>
    </row>
    <row r="41" spans="2:19" x14ac:dyDescent="0.25">
      <c r="B41" s="382" t="s">
        <v>285</v>
      </c>
      <c r="C41" s="383"/>
      <c r="D41" s="384"/>
      <c r="E41" s="272">
        <f>E40/E39</f>
        <v>15478.825491105345</v>
      </c>
      <c r="F41" s="271"/>
      <c r="H41" s="273"/>
      <c r="I41" s="273"/>
      <c r="J41" s="273"/>
      <c r="K41" s="273"/>
      <c r="L41" s="274"/>
      <c r="R41" t="s">
        <v>316</v>
      </c>
      <c r="S41">
        <f>1.07^2.5</f>
        <v>1.1842937687499671</v>
      </c>
    </row>
    <row r="42" spans="2:19" x14ac:dyDescent="0.25">
      <c r="D42"/>
      <c r="E42"/>
      <c r="F42"/>
      <c r="R42" t="s">
        <v>315</v>
      </c>
      <c r="S42" s="149">
        <f>S40*S41</f>
        <v>10445.471040374709</v>
      </c>
    </row>
    <row r="43" spans="2:19" x14ac:dyDescent="0.25">
      <c r="D43"/>
      <c r="E43"/>
      <c r="F43"/>
      <c r="R43" s="68" t="s">
        <v>147</v>
      </c>
      <c r="S43" s="296">
        <v>11000</v>
      </c>
    </row>
    <row r="44" spans="2:19" x14ac:dyDescent="0.25">
      <c r="D44"/>
      <c r="E44"/>
      <c r="F44"/>
    </row>
    <row r="45" spans="2:19" x14ac:dyDescent="0.25">
      <c r="B45" s="382" t="s">
        <v>286</v>
      </c>
      <c r="C45" s="383"/>
      <c r="D45" s="383"/>
      <c r="E45" s="384"/>
      <c r="F45" s="268" t="s">
        <v>260</v>
      </c>
    </row>
    <row r="46" spans="2:19" x14ac:dyDescent="0.25">
      <c r="B46" s="270" t="s">
        <v>277</v>
      </c>
      <c r="C46" s="270" t="s">
        <v>278</v>
      </c>
      <c r="D46" s="270" t="s">
        <v>21</v>
      </c>
      <c r="E46" s="270" t="s">
        <v>8</v>
      </c>
      <c r="F46" s="268">
        <f>M17</f>
        <v>492</v>
      </c>
    </row>
    <row r="47" spans="2:19" x14ac:dyDescent="0.25">
      <c r="B47" s="270" t="s">
        <v>279</v>
      </c>
      <c r="C47" s="270">
        <v>110</v>
      </c>
      <c r="D47" s="270">
        <v>1</v>
      </c>
      <c r="E47" s="270">
        <f t="shared" ref="E47:E52" si="4">D47*C47</f>
        <v>110</v>
      </c>
      <c r="F47" s="271"/>
    </row>
    <row r="48" spans="2:19" x14ac:dyDescent="0.25">
      <c r="B48" s="270" t="s">
        <v>280</v>
      </c>
      <c r="C48" s="270">
        <f>C47</f>
        <v>110</v>
      </c>
      <c r="D48" s="270">
        <v>1</v>
      </c>
      <c r="E48" s="270">
        <f t="shared" si="4"/>
        <v>110</v>
      </c>
      <c r="F48" s="271"/>
    </row>
    <row r="49" spans="2:12" x14ac:dyDescent="0.25">
      <c r="B49" s="270" t="s">
        <v>287</v>
      </c>
      <c r="C49" s="270">
        <v>30</v>
      </c>
      <c r="D49" s="270">
        <v>0.4</v>
      </c>
      <c r="E49" s="270">
        <f t="shared" si="4"/>
        <v>12</v>
      </c>
      <c r="F49" s="271"/>
    </row>
    <row r="50" spans="2:12" x14ac:dyDescent="0.25">
      <c r="B50" s="270" t="s">
        <v>289</v>
      </c>
      <c r="C50" s="270">
        <v>60</v>
      </c>
      <c r="D50" s="270">
        <v>0.5</v>
      </c>
      <c r="E50" s="270">
        <f t="shared" si="4"/>
        <v>30</v>
      </c>
      <c r="F50" s="271"/>
    </row>
    <row r="51" spans="2:12" x14ac:dyDescent="0.25">
      <c r="B51" s="270" t="s">
        <v>288</v>
      </c>
      <c r="C51" s="270">
        <v>25</v>
      </c>
      <c r="D51" s="270">
        <v>0.35</v>
      </c>
      <c r="E51" s="270">
        <f t="shared" si="4"/>
        <v>8.75</v>
      </c>
      <c r="F51" s="271"/>
    </row>
    <row r="52" spans="2:12" x14ac:dyDescent="0.25">
      <c r="B52" s="270" t="s">
        <v>53</v>
      </c>
      <c r="C52" s="270">
        <f>F46-C47-C51</f>
        <v>357</v>
      </c>
      <c r="D52" s="270">
        <v>0.25</v>
      </c>
      <c r="E52" s="270">
        <f t="shared" si="4"/>
        <v>89.25</v>
      </c>
      <c r="F52" s="271"/>
    </row>
    <row r="53" spans="2:12" x14ac:dyDescent="0.25">
      <c r="B53" s="382" t="s">
        <v>8</v>
      </c>
      <c r="C53" s="383"/>
      <c r="D53" s="384"/>
      <c r="E53" s="270">
        <f>SUM(E47:E52)</f>
        <v>360</v>
      </c>
      <c r="F53" s="271"/>
    </row>
    <row r="54" spans="2:12" x14ac:dyDescent="0.25">
      <c r="B54" s="382" t="s">
        <v>284</v>
      </c>
      <c r="C54" s="383"/>
      <c r="D54" s="384"/>
      <c r="E54" s="272">
        <f>L17</f>
        <v>4319947.6190476185</v>
      </c>
      <c r="F54" s="271"/>
    </row>
    <row r="55" spans="2:12" x14ac:dyDescent="0.25">
      <c r="B55" s="382" t="s">
        <v>285</v>
      </c>
      <c r="C55" s="383"/>
      <c r="D55" s="384"/>
      <c r="E55" s="272">
        <f>E54/E53</f>
        <v>11999.854497354496</v>
      </c>
      <c r="F55" s="271"/>
    </row>
    <row r="56" spans="2:12" x14ac:dyDescent="0.25">
      <c r="D56"/>
      <c r="E56"/>
      <c r="F56"/>
    </row>
    <row r="57" spans="2:12" x14ac:dyDescent="0.25">
      <c r="D57"/>
      <c r="E57"/>
      <c r="F57"/>
    </row>
    <row r="58" spans="2:12" x14ac:dyDescent="0.25">
      <c r="D58"/>
      <c r="E58"/>
      <c r="F58"/>
    </row>
    <row r="59" spans="2:12" x14ac:dyDescent="0.25">
      <c r="B59" s="385" t="s">
        <v>292</v>
      </c>
      <c r="C59" s="385"/>
      <c r="D59" s="385"/>
      <c r="E59" s="385"/>
      <c r="F59" s="266" t="s">
        <v>260</v>
      </c>
      <c r="H59" s="385" t="s">
        <v>293</v>
      </c>
      <c r="I59" s="385"/>
      <c r="J59" s="385"/>
      <c r="K59" s="385"/>
      <c r="L59" s="230" t="s">
        <v>260</v>
      </c>
    </row>
    <row r="60" spans="2:12" x14ac:dyDescent="0.25">
      <c r="B60" s="257" t="s">
        <v>277</v>
      </c>
      <c r="C60" s="257" t="s">
        <v>278</v>
      </c>
      <c r="D60" s="257" t="s">
        <v>21</v>
      </c>
      <c r="E60" s="257" t="s">
        <v>8</v>
      </c>
      <c r="F60" s="266">
        <f>M18</f>
        <v>450</v>
      </c>
      <c r="H60" s="230" t="s">
        <v>277</v>
      </c>
      <c r="I60" s="230" t="s">
        <v>278</v>
      </c>
      <c r="J60" s="230" t="s">
        <v>21</v>
      </c>
      <c r="K60" s="230" t="s">
        <v>8</v>
      </c>
      <c r="L60" s="230">
        <v>530</v>
      </c>
    </row>
    <row r="61" spans="2:12" x14ac:dyDescent="0.25">
      <c r="B61" s="257" t="s">
        <v>55</v>
      </c>
      <c r="C61" s="257">
        <v>250</v>
      </c>
      <c r="D61" s="257">
        <v>1</v>
      </c>
      <c r="E61" s="257">
        <f>D61*C61</f>
        <v>250</v>
      </c>
      <c r="F61" s="271"/>
      <c r="H61" s="230" t="s">
        <v>55</v>
      </c>
      <c r="I61" s="230">
        <v>193</v>
      </c>
      <c r="J61" s="230">
        <v>1</v>
      </c>
      <c r="K61" s="230">
        <f>J61*I61</f>
        <v>193</v>
      </c>
      <c r="L61" s="277"/>
    </row>
    <row r="62" spans="2:12" x14ac:dyDescent="0.25">
      <c r="B62" s="257" t="s">
        <v>68</v>
      </c>
      <c r="C62" s="257">
        <v>12</v>
      </c>
      <c r="D62" s="257">
        <v>0.9</v>
      </c>
      <c r="E62" s="257">
        <f t="shared" ref="E62:E65" si="5">D62*C62</f>
        <v>10.8</v>
      </c>
      <c r="F62" s="271"/>
      <c r="H62" s="230" t="s">
        <v>68</v>
      </c>
      <c r="I62" s="230">
        <v>7</v>
      </c>
      <c r="J62" s="230">
        <v>0.9</v>
      </c>
      <c r="K62" s="230">
        <f t="shared" ref="K62:K66" si="6">J62*I62</f>
        <v>6.3</v>
      </c>
      <c r="L62" s="277"/>
    </row>
    <row r="63" spans="2:12" x14ac:dyDescent="0.25">
      <c r="B63" s="257" t="s">
        <v>18</v>
      </c>
      <c r="C63" s="257">
        <v>25</v>
      </c>
      <c r="D63" s="257">
        <v>0.5</v>
      </c>
      <c r="E63" s="257">
        <f t="shared" si="5"/>
        <v>12.5</v>
      </c>
      <c r="F63" s="271"/>
      <c r="H63" s="230" t="s">
        <v>294</v>
      </c>
      <c r="I63" s="230">
        <v>6</v>
      </c>
      <c r="J63" s="230">
        <v>0.5</v>
      </c>
      <c r="K63" s="230">
        <f t="shared" si="6"/>
        <v>3</v>
      </c>
      <c r="L63" s="277"/>
    </row>
    <row r="64" spans="2:12" x14ac:dyDescent="0.25">
      <c r="B64" s="257" t="s">
        <v>288</v>
      </c>
      <c r="C64" s="257">
        <v>15</v>
      </c>
      <c r="D64" s="257">
        <v>0.35</v>
      </c>
      <c r="E64" s="257">
        <f t="shared" si="5"/>
        <v>5.25</v>
      </c>
      <c r="F64" s="271"/>
      <c r="H64" s="230" t="s">
        <v>295</v>
      </c>
      <c r="I64" s="230">
        <v>29</v>
      </c>
      <c r="J64" s="230">
        <v>0.4</v>
      </c>
      <c r="K64" s="230">
        <f t="shared" si="6"/>
        <v>11.600000000000001</v>
      </c>
      <c r="L64" s="277"/>
    </row>
    <row r="65" spans="2:12" x14ac:dyDescent="0.25">
      <c r="B65" s="257" t="s">
        <v>296</v>
      </c>
      <c r="C65" s="257">
        <f>500-C61/2-C62-C63</f>
        <v>338</v>
      </c>
      <c r="D65" s="257">
        <v>0.25</v>
      </c>
      <c r="E65" s="257">
        <f t="shared" si="5"/>
        <v>84.5</v>
      </c>
      <c r="F65" s="271"/>
      <c r="H65" s="230" t="s">
        <v>297</v>
      </c>
      <c r="I65" s="230">
        <v>120</v>
      </c>
      <c r="J65" s="230">
        <v>0</v>
      </c>
      <c r="K65" s="230">
        <f t="shared" si="6"/>
        <v>0</v>
      </c>
      <c r="L65" s="277"/>
    </row>
    <row r="66" spans="2:12" x14ac:dyDescent="0.25">
      <c r="B66" s="386" t="s">
        <v>290</v>
      </c>
      <c r="C66" s="387"/>
      <c r="D66" s="388"/>
      <c r="E66" s="257">
        <f>SUM(E61:E65)</f>
        <v>363.05</v>
      </c>
      <c r="F66" s="271"/>
      <c r="H66" s="230" t="s">
        <v>53</v>
      </c>
      <c r="I66" s="230">
        <f>L60-I65</f>
        <v>410</v>
      </c>
      <c r="J66" s="230">
        <v>0.25</v>
      </c>
      <c r="K66" s="230">
        <f t="shared" si="6"/>
        <v>102.5</v>
      </c>
      <c r="L66" s="277"/>
    </row>
    <row r="67" spans="2:12" x14ac:dyDescent="0.25">
      <c r="B67" s="386" t="s">
        <v>284</v>
      </c>
      <c r="C67" s="387"/>
      <c r="D67" s="388"/>
      <c r="E67" s="275">
        <f>L18</f>
        <v>4643749.2857142854</v>
      </c>
      <c r="F67" s="271"/>
      <c r="H67" s="385" t="s">
        <v>290</v>
      </c>
      <c r="I67" s="385"/>
      <c r="J67" s="385"/>
      <c r="K67" s="230">
        <f>SUM(K61:K66)</f>
        <v>316.39999999999998</v>
      </c>
      <c r="L67" s="277"/>
    </row>
    <row r="68" spans="2:12" x14ac:dyDescent="0.25">
      <c r="B68" s="386" t="s">
        <v>291</v>
      </c>
      <c r="C68" s="387"/>
      <c r="D68" s="388"/>
      <c r="E68" s="276">
        <f>E67/E66</f>
        <v>12790.9359198851</v>
      </c>
      <c r="F68" s="271"/>
      <c r="H68" s="385" t="s">
        <v>298</v>
      </c>
      <c r="I68" s="385"/>
      <c r="J68" s="385"/>
      <c r="K68" s="265">
        <f>L19</f>
        <v>4522501.666666666</v>
      </c>
      <c r="L68" s="277"/>
    </row>
    <row r="69" spans="2:12" x14ac:dyDescent="0.25">
      <c r="D69"/>
      <c r="E69"/>
      <c r="F69"/>
      <c r="H69" s="385" t="s">
        <v>291</v>
      </c>
      <c r="I69" s="385"/>
      <c r="J69" s="385"/>
      <c r="K69" s="265">
        <f>K68/K67</f>
        <v>14293.620943952801</v>
      </c>
      <c r="L69" s="277"/>
    </row>
    <row r="70" spans="2:12" x14ac:dyDescent="0.25">
      <c r="D70"/>
      <c r="E70"/>
      <c r="F70"/>
    </row>
    <row r="71" spans="2:12" x14ac:dyDescent="0.25">
      <c r="D71"/>
      <c r="E71"/>
      <c r="F71"/>
    </row>
    <row r="72" spans="2:12" x14ac:dyDescent="0.25">
      <c r="B72" s="386" t="s">
        <v>299</v>
      </c>
      <c r="C72" s="387"/>
      <c r="D72" s="387"/>
      <c r="E72" s="388"/>
      <c r="F72" s="266" t="s">
        <v>260</v>
      </c>
    </row>
    <row r="73" spans="2:12" x14ac:dyDescent="0.25">
      <c r="B73" s="257" t="s">
        <v>277</v>
      </c>
      <c r="C73" s="257" t="s">
        <v>278</v>
      </c>
      <c r="D73" s="257" t="s">
        <v>21</v>
      </c>
      <c r="E73" s="257" t="s">
        <v>8</v>
      </c>
      <c r="F73" s="266">
        <f>M20</f>
        <v>499</v>
      </c>
    </row>
    <row r="74" spans="2:12" x14ac:dyDescent="0.25">
      <c r="B74" s="257" t="s">
        <v>55</v>
      </c>
      <c r="C74" s="257">
        <v>220</v>
      </c>
      <c r="D74" s="257">
        <v>1</v>
      </c>
      <c r="E74" s="257">
        <f>D74*C74</f>
        <v>220</v>
      </c>
      <c r="F74" s="271"/>
    </row>
    <row r="75" spans="2:12" x14ac:dyDescent="0.25">
      <c r="B75" s="257" t="s">
        <v>68</v>
      </c>
      <c r="C75" s="257">
        <v>12</v>
      </c>
      <c r="D75" s="257">
        <v>0.9</v>
      </c>
      <c r="E75" s="257">
        <f t="shared" ref="E75:E77" si="7">D75*C75</f>
        <v>10.8</v>
      </c>
      <c r="F75" s="271"/>
    </row>
    <row r="76" spans="2:12" x14ac:dyDescent="0.25">
      <c r="B76" s="257" t="s">
        <v>288</v>
      </c>
      <c r="C76" s="257">
        <v>15</v>
      </c>
      <c r="D76" s="257">
        <v>0.35</v>
      </c>
      <c r="E76" s="257">
        <f t="shared" si="7"/>
        <v>5.25</v>
      </c>
      <c r="F76" s="271"/>
    </row>
    <row r="77" spans="2:12" x14ac:dyDescent="0.25">
      <c r="B77" s="257" t="s">
        <v>53</v>
      </c>
      <c r="C77" s="257">
        <f>F73-C74/2-C75-C76</f>
        <v>362</v>
      </c>
      <c r="D77" s="257">
        <v>0.25</v>
      </c>
      <c r="E77" s="257">
        <f t="shared" si="7"/>
        <v>90.5</v>
      </c>
      <c r="F77" s="271"/>
    </row>
    <row r="78" spans="2:12" x14ac:dyDescent="0.25">
      <c r="B78" s="386" t="s">
        <v>290</v>
      </c>
      <c r="C78" s="387"/>
      <c r="D78" s="388"/>
      <c r="E78" s="257">
        <f>SUM(E74:E77)</f>
        <v>326.55</v>
      </c>
      <c r="F78" s="271"/>
    </row>
    <row r="79" spans="2:12" x14ac:dyDescent="0.25">
      <c r="B79" s="386" t="s">
        <v>284</v>
      </c>
      <c r="C79" s="387"/>
      <c r="D79" s="388"/>
      <c r="E79" s="275">
        <f>L20</f>
        <v>3567176.1904761903</v>
      </c>
      <c r="F79" s="271"/>
    </row>
    <row r="80" spans="2:12" x14ac:dyDescent="0.25">
      <c r="B80" s="386" t="s">
        <v>291</v>
      </c>
      <c r="C80" s="387"/>
      <c r="D80" s="388"/>
      <c r="E80" s="276">
        <f>E79/E78</f>
        <v>10923.828481017272</v>
      </c>
      <c r="F80" s="271"/>
    </row>
    <row r="81" spans="2:12" x14ac:dyDescent="0.25">
      <c r="D81"/>
      <c r="E81"/>
      <c r="F81"/>
    </row>
    <row r="84" spans="2:12" x14ac:dyDescent="0.25">
      <c r="B84" s="230" t="s">
        <v>306</v>
      </c>
      <c r="C84" s="230"/>
      <c r="D84" s="278"/>
      <c r="E84" s="278"/>
      <c r="F84" s="278" t="s">
        <v>260</v>
      </c>
      <c r="H84" s="230" t="s">
        <v>307</v>
      </c>
      <c r="I84" s="230"/>
      <c r="J84" s="230"/>
      <c r="K84" s="230"/>
      <c r="L84" s="230" t="s">
        <v>260</v>
      </c>
    </row>
    <row r="85" spans="2:12" x14ac:dyDescent="0.25">
      <c r="B85" s="230" t="s">
        <v>277</v>
      </c>
      <c r="C85" s="230" t="s">
        <v>278</v>
      </c>
      <c r="D85" s="278" t="s">
        <v>21</v>
      </c>
      <c r="E85" s="278" t="s">
        <v>8</v>
      </c>
      <c r="F85" s="278">
        <v>504</v>
      </c>
      <c r="H85" s="230" t="s">
        <v>277</v>
      </c>
      <c r="I85" s="230" t="s">
        <v>278</v>
      </c>
      <c r="J85" s="230" t="s">
        <v>21</v>
      </c>
      <c r="K85" s="230" t="s">
        <v>8</v>
      </c>
      <c r="L85" s="230">
        <v>499</v>
      </c>
    </row>
    <row r="86" spans="2:12" x14ac:dyDescent="0.25">
      <c r="B86" s="230" t="s">
        <v>279</v>
      </c>
      <c r="C86" s="230">
        <v>110</v>
      </c>
      <c r="D86" s="278">
        <v>1</v>
      </c>
      <c r="E86" s="278">
        <v>110</v>
      </c>
      <c r="F86" s="278"/>
      <c r="H86" s="230" t="s">
        <v>279</v>
      </c>
      <c r="I86" s="230">
        <v>110</v>
      </c>
      <c r="J86" s="230">
        <v>1</v>
      </c>
      <c r="K86" s="230">
        <v>110</v>
      </c>
      <c r="L86" s="230"/>
    </row>
    <row r="87" spans="2:12" x14ac:dyDescent="0.25">
      <c r="B87" s="230" t="s">
        <v>304</v>
      </c>
      <c r="C87" s="230">
        <v>110</v>
      </c>
      <c r="D87" s="278">
        <v>1</v>
      </c>
      <c r="E87" s="278">
        <v>110</v>
      </c>
      <c r="F87" s="278"/>
      <c r="H87" s="230" t="s">
        <v>304</v>
      </c>
      <c r="I87" s="230">
        <v>110</v>
      </c>
      <c r="J87" s="230">
        <v>1</v>
      </c>
      <c r="K87" s="230">
        <v>110</v>
      </c>
      <c r="L87" s="230"/>
    </row>
    <row r="88" spans="2:12" x14ac:dyDescent="0.25">
      <c r="B88" s="230" t="s">
        <v>68</v>
      </c>
      <c r="C88" s="230">
        <v>12</v>
      </c>
      <c r="D88" s="278">
        <v>0.9</v>
      </c>
      <c r="E88" s="278">
        <v>10.8</v>
      </c>
      <c r="F88" s="278"/>
      <c r="H88" s="230" t="s">
        <v>68</v>
      </c>
      <c r="I88" s="230">
        <v>12</v>
      </c>
      <c r="J88" s="230">
        <v>0.9</v>
      </c>
      <c r="K88" s="230">
        <v>10.8</v>
      </c>
      <c r="L88" s="230"/>
    </row>
    <row r="89" spans="2:12" x14ac:dyDescent="0.25">
      <c r="B89" s="230" t="s">
        <v>305</v>
      </c>
      <c r="C89" s="230">
        <v>48</v>
      </c>
      <c r="D89" s="278">
        <v>0.5</v>
      </c>
      <c r="E89" s="278">
        <v>24</v>
      </c>
      <c r="F89" s="278"/>
      <c r="H89" s="230" t="s">
        <v>288</v>
      </c>
      <c r="I89" s="230">
        <v>15</v>
      </c>
      <c r="J89" s="230">
        <v>0.35</v>
      </c>
      <c r="K89" s="230">
        <v>5.25</v>
      </c>
      <c r="L89" s="230"/>
    </row>
    <row r="90" spans="2:12" x14ac:dyDescent="0.25">
      <c r="B90" s="230" t="s">
        <v>289</v>
      </c>
      <c r="C90" s="230">
        <v>60</v>
      </c>
      <c r="D90" s="278">
        <v>0.5</v>
      </c>
      <c r="E90" s="278">
        <v>30</v>
      </c>
      <c r="F90" s="278"/>
      <c r="H90" s="230" t="s">
        <v>30</v>
      </c>
      <c r="I90" s="230">
        <v>362</v>
      </c>
      <c r="J90" s="230">
        <v>0.25</v>
      </c>
      <c r="K90" s="230">
        <v>90.5</v>
      </c>
      <c r="L90" s="230"/>
    </row>
    <row r="91" spans="2:12" x14ac:dyDescent="0.25">
      <c r="B91" s="230" t="s">
        <v>30</v>
      </c>
      <c r="C91" s="230">
        <v>334</v>
      </c>
      <c r="D91" s="278">
        <v>0.25</v>
      </c>
      <c r="E91" s="278">
        <v>83.5</v>
      </c>
      <c r="F91" s="278"/>
      <c r="H91" s="230" t="s">
        <v>290</v>
      </c>
      <c r="I91" s="230"/>
      <c r="J91" s="230"/>
      <c r="K91" s="230">
        <v>326.55</v>
      </c>
      <c r="L91" s="230"/>
    </row>
    <row r="92" spans="2:12" x14ac:dyDescent="0.25">
      <c r="B92" s="230" t="s">
        <v>290</v>
      </c>
      <c r="C92" s="230"/>
      <c r="D92" s="278"/>
      <c r="E92" s="278">
        <v>368.3</v>
      </c>
      <c r="F92" s="278"/>
      <c r="H92" s="385" t="s">
        <v>284</v>
      </c>
      <c r="I92" s="385"/>
      <c r="J92" s="385"/>
      <c r="K92" s="150">
        <f>L22</f>
        <v>3503381.4880952374</v>
      </c>
    </row>
    <row r="93" spans="2:12" x14ac:dyDescent="0.25">
      <c r="B93" s="385" t="s">
        <v>284</v>
      </c>
      <c r="C93" s="385"/>
      <c r="D93" s="385"/>
      <c r="E93" s="17">
        <f>L21</f>
        <v>3799398.9523809524</v>
      </c>
      <c r="H93" s="385" t="s">
        <v>285</v>
      </c>
      <c r="I93" s="385"/>
      <c r="J93" s="385"/>
      <c r="K93" s="17">
        <f>K92/K91</f>
        <v>10728.468804456399</v>
      </c>
    </row>
    <row r="94" spans="2:12" x14ac:dyDescent="0.25">
      <c r="B94" s="385" t="s">
        <v>285</v>
      </c>
      <c r="C94" s="385"/>
      <c r="D94" s="385"/>
      <c r="E94" s="17">
        <f>E93/E92</f>
        <v>10316.043856586892</v>
      </c>
    </row>
    <row r="96" spans="2:12" x14ac:dyDescent="0.25">
      <c r="B96" s="230" t="s">
        <v>308</v>
      </c>
      <c r="C96" s="230"/>
      <c r="D96" s="278"/>
      <c r="E96" s="278"/>
      <c r="F96" s="278" t="s">
        <v>260</v>
      </c>
    </row>
    <row r="97" spans="2:6" x14ac:dyDescent="0.25">
      <c r="B97" s="230" t="s">
        <v>277</v>
      </c>
      <c r="C97" s="230" t="s">
        <v>278</v>
      </c>
      <c r="D97" s="278" t="s">
        <v>21</v>
      </c>
      <c r="E97" s="278" t="s">
        <v>8</v>
      </c>
      <c r="F97" s="278">
        <v>756</v>
      </c>
    </row>
    <row r="98" spans="2:6" x14ac:dyDescent="0.25">
      <c r="B98" s="230" t="s">
        <v>279</v>
      </c>
      <c r="C98" s="230">
        <v>110</v>
      </c>
      <c r="D98" s="278">
        <v>1</v>
      </c>
      <c r="E98" s="278">
        <v>110</v>
      </c>
      <c r="F98" s="278"/>
    </row>
    <row r="99" spans="2:6" x14ac:dyDescent="0.25">
      <c r="B99" s="230" t="s">
        <v>304</v>
      </c>
      <c r="C99" s="230">
        <v>110</v>
      </c>
      <c r="D99" s="278">
        <v>1</v>
      </c>
      <c r="E99" s="278">
        <v>110</v>
      </c>
      <c r="F99" s="278"/>
    </row>
    <row r="100" spans="2:6" x14ac:dyDescent="0.25">
      <c r="B100" s="230" t="s">
        <v>68</v>
      </c>
      <c r="C100" s="230">
        <v>12</v>
      </c>
      <c r="D100" s="278">
        <v>0.9</v>
      </c>
      <c r="E100" s="278">
        <v>10.8</v>
      </c>
      <c r="F100" s="278"/>
    </row>
    <row r="101" spans="2:6" x14ac:dyDescent="0.25">
      <c r="B101" s="230" t="s">
        <v>288</v>
      </c>
      <c r="C101" s="230">
        <v>15</v>
      </c>
      <c r="D101" s="278">
        <v>0.35</v>
      </c>
      <c r="E101" s="278">
        <v>5.25</v>
      </c>
      <c r="F101" s="278"/>
    </row>
    <row r="102" spans="2:6" x14ac:dyDescent="0.25">
      <c r="B102" s="230" t="s">
        <v>30</v>
      </c>
      <c r="C102" s="230">
        <v>619</v>
      </c>
      <c r="D102" s="278">
        <v>0.25</v>
      </c>
      <c r="E102" s="278">
        <v>154.75</v>
      </c>
      <c r="F102" s="278"/>
    </row>
    <row r="103" spans="2:6" x14ac:dyDescent="0.25">
      <c r="B103" s="230" t="s">
        <v>290</v>
      </c>
      <c r="C103" s="230"/>
      <c r="D103" s="278"/>
      <c r="E103" s="278">
        <v>390.8</v>
      </c>
      <c r="F103" s="278"/>
    </row>
    <row r="104" spans="2:6" x14ac:dyDescent="0.25">
      <c r="B104" s="385" t="s">
        <v>284</v>
      </c>
      <c r="C104" s="385"/>
      <c r="D104" s="385"/>
      <c r="E104" s="17">
        <f>L23</f>
        <v>4536488.8380952384</v>
      </c>
    </row>
    <row r="105" spans="2:6" x14ac:dyDescent="0.25">
      <c r="B105" s="385" t="s">
        <v>285</v>
      </c>
      <c r="C105" s="385"/>
      <c r="D105" s="385"/>
      <c r="E105" s="17">
        <f>E104/E103</f>
        <v>11608.210947019545</v>
      </c>
    </row>
  </sheetData>
  <mergeCells count="36">
    <mergeCell ref="H69:J69"/>
    <mergeCell ref="B53:D53"/>
    <mergeCell ref="B54:D54"/>
    <mergeCell ref="B55:D55"/>
    <mergeCell ref="B59:E59"/>
    <mergeCell ref="H59:K59"/>
    <mergeCell ref="B66:D66"/>
    <mergeCell ref="B67:D67"/>
    <mergeCell ref="H67:J67"/>
    <mergeCell ref="B68:D68"/>
    <mergeCell ref="H68:J68"/>
    <mergeCell ref="B104:D104"/>
    <mergeCell ref="B105:D105"/>
    <mergeCell ref="H92:J92"/>
    <mergeCell ref="H93:J93"/>
    <mergeCell ref="B72:E72"/>
    <mergeCell ref="B78:D78"/>
    <mergeCell ref="B79:D79"/>
    <mergeCell ref="B80:D80"/>
    <mergeCell ref="B93:D93"/>
    <mergeCell ref="B94:D94"/>
    <mergeCell ref="R20:V20"/>
    <mergeCell ref="B40:D40"/>
    <mergeCell ref="H40:J40"/>
    <mergeCell ref="B41:D41"/>
    <mergeCell ref="B45:E45"/>
    <mergeCell ref="B24:M24"/>
    <mergeCell ref="B25:M25"/>
    <mergeCell ref="B30:E30"/>
    <mergeCell ref="H30:K30"/>
    <mergeCell ref="H38:J38"/>
    <mergeCell ref="B39:D39"/>
    <mergeCell ref="H39:J39"/>
    <mergeCell ref="B26:M26"/>
    <mergeCell ref="B27:M27"/>
    <mergeCell ref="B28:M28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tabSelected="1" zoomScale="130" zoomScaleNormal="130" workbookViewId="0">
      <selection activeCell="H3" sqref="H3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35</v>
      </c>
      <c r="B2" s="192" t="s">
        <v>164</v>
      </c>
      <c r="C2" s="120" t="s">
        <v>165</v>
      </c>
      <c r="D2" s="297" t="s">
        <v>317</v>
      </c>
      <c r="E2" s="97" t="s">
        <v>318</v>
      </c>
      <c r="F2" s="297" t="s">
        <v>319</v>
      </c>
      <c r="G2" s="92" t="s">
        <v>320</v>
      </c>
      <c r="H2" s="47" t="s">
        <v>321</v>
      </c>
      <c r="I2" s="47"/>
      <c r="J2" s="117"/>
      <c r="K2" s="117"/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152</v>
      </c>
      <c r="B3" s="193"/>
      <c r="C3" s="121"/>
      <c r="D3" s="93">
        <v>104</v>
      </c>
      <c r="E3" s="144">
        <v>60</v>
      </c>
      <c r="F3" s="93">
        <v>198</v>
      </c>
      <c r="G3" s="64">
        <v>98</v>
      </c>
      <c r="H3" s="64">
        <v>12</v>
      </c>
      <c r="I3" s="64"/>
      <c r="J3" s="49"/>
      <c r="K3" s="49"/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94</v>
      </c>
      <c r="B4" s="193"/>
      <c r="C4" s="121"/>
      <c r="D4" s="93"/>
      <c r="E4" s="144"/>
      <c r="F4" s="93"/>
      <c r="G4" s="64"/>
      <c r="H4" s="298">
        <v>12</v>
      </c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76</v>
      </c>
      <c r="B5" s="193"/>
      <c r="C5" s="121"/>
      <c r="D5" s="93"/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148</v>
      </c>
      <c r="B6" s="193"/>
      <c r="C6" s="121"/>
      <c r="D6" s="93">
        <v>47</v>
      </c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149</v>
      </c>
      <c r="B7" s="193"/>
      <c r="C7" s="121"/>
      <c r="D7" s="93"/>
      <c r="E7" s="64"/>
      <c r="F7" s="93"/>
      <c r="G7" s="64"/>
      <c r="H7" s="64"/>
      <c r="I7" s="64"/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150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151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50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91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87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36</v>
      </c>
      <c r="B13" s="211"/>
      <c r="C13" s="210"/>
      <c r="D13" s="207">
        <f>SUM(D4:D12)</f>
        <v>47</v>
      </c>
      <c r="E13" s="201">
        <f>SUM(E4:E12)</f>
        <v>0</v>
      </c>
      <c r="F13" s="201">
        <f>SUM(F3:F12)</f>
        <v>198</v>
      </c>
      <c r="G13" s="201">
        <f>SUM(G3:G12)</f>
        <v>98</v>
      </c>
      <c r="H13" s="201">
        <f>SUM(H3:H12)</f>
        <v>24</v>
      </c>
      <c r="I13" s="202">
        <f t="shared" ref="I13:S13" si="0">SUM(I3:I12)</f>
        <v>0</v>
      </c>
      <c r="J13" s="202">
        <f t="shared" si="0"/>
        <v>0</v>
      </c>
      <c r="K13" s="202">
        <f t="shared" si="0"/>
        <v>0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37</v>
      </c>
      <c r="B14" s="192" t="s">
        <v>164</v>
      </c>
      <c r="C14" s="120" t="s">
        <v>165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209</v>
      </c>
      <c r="B15" s="197"/>
      <c r="C15" s="122"/>
      <c r="D15" s="52"/>
      <c r="E15" s="145">
        <v>93.5</v>
      </c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206</v>
      </c>
      <c r="B16" s="197"/>
      <c r="C16" s="122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205</v>
      </c>
      <c r="B17" s="197"/>
      <c r="C17" s="122"/>
      <c r="D17" s="52">
        <v>117.64</v>
      </c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208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208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207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90</v>
      </c>
      <c r="B24" s="198"/>
      <c r="C24" s="127"/>
      <c r="D24" s="208">
        <f>SUM(D17:D23)</f>
        <v>117.64</v>
      </c>
      <c r="E24" s="119">
        <f>SUM(E17:E23)</f>
        <v>0</v>
      </c>
      <c r="F24" s="119">
        <f t="shared" ref="F24:S24" si="1">SUM(F15:F23)</f>
        <v>0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38</v>
      </c>
      <c r="B25" s="199"/>
      <c r="C25" s="125"/>
      <c r="D25" s="142">
        <f t="shared" ref="D25:S25" si="2">D13-D24</f>
        <v>-70.64</v>
      </c>
      <c r="E25" s="138">
        <f t="shared" si="2"/>
        <v>0</v>
      </c>
      <c r="F25" s="138">
        <f t="shared" si="2"/>
        <v>198</v>
      </c>
      <c r="G25" s="138">
        <f t="shared" si="2"/>
        <v>98</v>
      </c>
      <c r="H25" s="138">
        <f t="shared" si="2"/>
        <v>24</v>
      </c>
      <c r="I25" s="138">
        <f t="shared" si="2"/>
        <v>0</v>
      </c>
      <c r="J25" s="138">
        <f t="shared" si="2"/>
        <v>0</v>
      </c>
      <c r="K25" s="138">
        <f t="shared" si="2"/>
        <v>0</v>
      </c>
      <c r="L25" s="138">
        <f t="shared" si="2"/>
        <v>0</v>
      </c>
      <c r="M25" s="138">
        <f t="shared" si="2"/>
        <v>0</v>
      </c>
      <c r="N25" s="138">
        <f t="shared" si="2"/>
        <v>0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88</v>
      </c>
      <c r="D27" s="136">
        <f>D8+D7</f>
        <v>0</v>
      </c>
      <c r="F27" s="73"/>
    </row>
    <row r="28" spans="1:19" x14ac:dyDescent="0.25">
      <c r="E28" s="91">
        <f>E3*9300*5%*7</f>
        <v>195300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39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-47</v>
      </c>
      <c r="G32" s="72"/>
      <c r="H32" s="72"/>
      <c r="L32" s="91"/>
    </row>
    <row r="33" spans="1:10" x14ac:dyDescent="0.25">
      <c r="A33" t="s">
        <v>15</v>
      </c>
      <c r="E33" s="17">
        <f>-E13</f>
        <v>0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-47</v>
      </c>
      <c r="J35" s="72"/>
    </row>
    <row r="36" spans="1:10" x14ac:dyDescent="0.25">
      <c r="A36" t="s">
        <v>40</v>
      </c>
      <c r="E36" s="38">
        <v>375</v>
      </c>
      <c r="H36" s="91"/>
    </row>
    <row r="37" spans="1:10" x14ac:dyDescent="0.25">
      <c r="A37" s="40" t="s">
        <v>41</v>
      </c>
      <c r="B37" s="40"/>
      <c r="C37" s="40"/>
      <c r="D37" s="40"/>
      <c r="E37" s="23">
        <f>SUM(E35:E36)</f>
        <v>328</v>
      </c>
    </row>
    <row r="38" spans="1:10" x14ac:dyDescent="0.25">
      <c r="A38" t="s">
        <v>42</v>
      </c>
      <c r="E38" s="17">
        <f>-E24-F24-I24</f>
        <v>0</v>
      </c>
    </row>
    <row r="39" spans="1:10" x14ac:dyDescent="0.25">
      <c r="A39" s="40" t="s">
        <v>43</v>
      </c>
      <c r="B39" s="40"/>
      <c r="C39" s="40"/>
      <c r="D39" s="40"/>
      <c r="E39" s="70">
        <f>SUM(E37:E38)</f>
        <v>328</v>
      </c>
    </row>
    <row r="43" spans="1:10" x14ac:dyDescent="0.25">
      <c r="A43" s="130" t="s">
        <v>77</v>
      </c>
      <c r="B43" s="130"/>
      <c r="C43" s="130"/>
    </row>
    <row r="44" spans="1:10" ht="15.6" x14ac:dyDescent="0.4">
      <c r="A44" s="39" t="s">
        <v>78</v>
      </c>
      <c r="B44" s="39"/>
      <c r="C44" s="39"/>
      <c r="D44" s="39" t="s">
        <v>80</v>
      </c>
      <c r="E44" s="131" t="s">
        <v>81</v>
      </c>
      <c r="F44" s="39" t="s">
        <v>84</v>
      </c>
      <c r="G44" s="39"/>
      <c r="H44" s="17"/>
      <c r="I44" s="17"/>
    </row>
    <row r="45" spans="1:10" x14ac:dyDescent="0.25">
      <c r="A45" t="s">
        <v>44</v>
      </c>
      <c r="F45" s="91">
        <f>E45-D45</f>
        <v>0</v>
      </c>
    </row>
    <row r="46" spans="1:10" x14ac:dyDescent="0.25">
      <c r="A46" t="s">
        <v>79</v>
      </c>
      <c r="F46" s="91">
        <f>E46-D46</f>
        <v>0</v>
      </c>
    </row>
    <row r="47" spans="1:10" x14ac:dyDescent="0.25">
      <c r="A47" s="108" t="s">
        <v>82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83</v>
      </c>
      <c r="B49" s="39"/>
      <c r="C49" s="39"/>
      <c r="D49" s="39" t="s">
        <v>80</v>
      </c>
      <c r="E49" s="131" t="s">
        <v>81</v>
      </c>
      <c r="F49" s="39" t="s">
        <v>84</v>
      </c>
    </row>
    <row r="50" spans="1:10" x14ac:dyDescent="0.25">
      <c r="A50" t="s">
        <v>44</v>
      </c>
      <c r="F50" s="91">
        <f>E50-D50</f>
        <v>0</v>
      </c>
      <c r="G50" s="39"/>
      <c r="J50" s="17"/>
    </row>
    <row r="51" spans="1:10" x14ac:dyDescent="0.25">
      <c r="A51" t="s">
        <v>79</v>
      </c>
      <c r="F51" s="91">
        <f>E51-D51</f>
        <v>0</v>
      </c>
    </row>
    <row r="52" spans="1:10" x14ac:dyDescent="0.25">
      <c r="A52" s="108" t="s">
        <v>82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D10" sqref="D10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168</v>
      </c>
      <c r="B2" s="39" t="s">
        <v>169</v>
      </c>
      <c r="C2" s="39" t="s">
        <v>136</v>
      </c>
      <c r="D2" s="39" t="s">
        <v>170</v>
      </c>
    </row>
    <row r="3" spans="1:6" x14ac:dyDescent="0.25">
      <c r="A3" t="s">
        <v>171</v>
      </c>
      <c r="B3" t="s">
        <v>172</v>
      </c>
      <c r="C3" s="188">
        <v>45344</v>
      </c>
      <c r="D3">
        <v>500</v>
      </c>
      <c r="E3" t="s">
        <v>173</v>
      </c>
    </row>
    <row r="4" spans="1:6" x14ac:dyDescent="0.25">
      <c r="A4" t="s">
        <v>174</v>
      </c>
      <c r="B4" t="s">
        <v>175</v>
      </c>
      <c r="C4" s="188">
        <v>44271</v>
      </c>
      <c r="D4">
        <v>3.5</v>
      </c>
      <c r="E4" t="s">
        <v>176</v>
      </c>
      <c r="F4" t="s">
        <v>177</v>
      </c>
    </row>
    <row r="5" spans="1:6" x14ac:dyDescent="0.25">
      <c r="A5" t="s">
        <v>174</v>
      </c>
      <c r="B5" t="s">
        <v>178</v>
      </c>
      <c r="C5" s="188">
        <v>40000</v>
      </c>
      <c r="D5">
        <v>2.5</v>
      </c>
      <c r="E5" t="s">
        <v>176</v>
      </c>
    </row>
    <row r="6" spans="1:6" x14ac:dyDescent="0.25">
      <c r="A6" t="s">
        <v>174</v>
      </c>
      <c r="B6" t="s">
        <v>179</v>
      </c>
      <c r="C6" s="188">
        <v>33248</v>
      </c>
      <c r="D6" s="212">
        <v>2</v>
      </c>
      <c r="E6" t="s">
        <v>176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90" t="s">
        <v>120</v>
      </c>
      <c r="C2" s="391"/>
      <c r="D2" s="391"/>
      <c r="E2" s="391"/>
      <c r="F2" s="392"/>
    </row>
    <row r="3" spans="2:10" ht="14.4" thickBot="1" x14ac:dyDescent="0.3">
      <c r="B3" s="152" t="s">
        <v>49</v>
      </c>
      <c r="C3" s="393" t="s">
        <v>44</v>
      </c>
      <c r="D3" s="394"/>
      <c r="E3" s="393" t="s">
        <v>102</v>
      </c>
      <c r="F3" s="395"/>
    </row>
    <row r="4" spans="2:10" x14ac:dyDescent="0.25">
      <c r="B4" s="167" t="s">
        <v>103</v>
      </c>
      <c r="C4" s="407">
        <v>0</v>
      </c>
      <c r="D4" s="408"/>
      <c r="E4" s="407">
        <v>0</v>
      </c>
      <c r="F4" s="409"/>
    </row>
    <row r="5" spans="2:10" x14ac:dyDescent="0.25">
      <c r="B5" s="172" t="s">
        <v>104</v>
      </c>
      <c r="C5" s="407">
        <v>140000</v>
      </c>
      <c r="D5" s="408"/>
      <c r="E5" s="407">
        <f>6000*2</f>
        <v>12000</v>
      </c>
      <c r="F5" s="409"/>
    </row>
    <row r="6" spans="2:10" ht="27.6" x14ac:dyDescent="0.25">
      <c r="B6" s="172" t="s">
        <v>116</v>
      </c>
      <c r="C6" s="407">
        <f>46500*7</f>
        <v>325500</v>
      </c>
      <c r="D6" s="408"/>
      <c r="E6" s="407">
        <v>0</v>
      </c>
      <c r="F6" s="409"/>
    </row>
    <row r="7" spans="2:10" x14ac:dyDescent="0.25">
      <c r="B7" s="172" t="s">
        <v>105</v>
      </c>
      <c r="C7" s="407">
        <f>13000*7</f>
        <v>91000</v>
      </c>
      <c r="D7" s="408"/>
      <c r="E7" s="407">
        <f>4000*7</f>
        <v>28000</v>
      </c>
      <c r="F7" s="409"/>
    </row>
    <row r="8" spans="2:10" ht="14.4" thickBot="1" x14ac:dyDescent="0.3">
      <c r="B8" s="158" t="s">
        <v>106</v>
      </c>
      <c r="C8" s="407">
        <f>65000*7</f>
        <v>455000</v>
      </c>
      <c r="D8" s="408"/>
      <c r="E8" s="407">
        <v>50000</v>
      </c>
      <c r="F8" s="409"/>
      <c r="J8" t="s">
        <v>166</v>
      </c>
    </row>
    <row r="9" spans="2:10" ht="14.4" thickBot="1" x14ac:dyDescent="0.3">
      <c r="B9" s="390" t="s">
        <v>119</v>
      </c>
      <c r="C9" s="391"/>
      <c r="D9" s="391"/>
      <c r="E9" s="391"/>
      <c r="F9" s="392"/>
      <c r="J9" t="s">
        <v>167</v>
      </c>
    </row>
    <row r="10" spans="2:10" ht="16.2" thickBot="1" x14ac:dyDescent="0.3">
      <c r="B10" s="153" t="s">
        <v>114</v>
      </c>
      <c r="C10" s="154" t="s">
        <v>112</v>
      </c>
      <c r="D10" s="155" t="s">
        <v>109</v>
      </c>
      <c r="E10" s="156" t="s">
        <v>110</v>
      </c>
      <c r="F10" s="157" t="s">
        <v>111</v>
      </c>
    </row>
    <row r="11" spans="2:10" x14ac:dyDescent="0.25">
      <c r="B11" s="167" t="s">
        <v>103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104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107</v>
      </c>
      <c r="C13" s="399" t="s">
        <v>113</v>
      </c>
      <c r="D13" s="399"/>
      <c r="E13" s="399"/>
      <c r="F13" s="400"/>
    </row>
    <row r="14" spans="2:10" x14ac:dyDescent="0.25">
      <c r="B14" s="182" t="s">
        <v>105</v>
      </c>
      <c r="C14" s="399" t="s">
        <v>115</v>
      </c>
      <c r="D14" s="399"/>
      <c r="E14" s="399"/>
      <c r="F14" s="400"/>
    </row>
    <row r="15" spans="2:10" ht="14.4" thickBot="1" x14ac:dyDescent="0.3">
      <c r="B15" s="158" t="s">
        <v>106</v>
      </c>
      <c r="C15" s="401" t="s">
        <v>117</v>
      </c>
      <c r="D15" s="402"/>
      <c r="E15" s="402"/>
      <c r="F15" s="403"/>
    </row>
    <row r="16" spans="2:10" ht="14.4" thickBot="1" x14ac:dyDescent="0.3"/>
    <row r="17" spans="2:6" ht="14.4" thickBot="1" x14ac:dyDescent="0.3">
      <c r="B17" s="390" t="s">
        <v>101</v>
      </c>
      <c r="C17" s="391"/>
      <c r="D17" s="391"/>
      <c r="E17" s="391"/>
      <c r="F17" s="392"/>
    </row>
    <row r="18" spans="2:6" ht="14.4" thickBot="1" x14ac:dyDescent="0.3">
      <c r="B18" s="152" t="s">
        <v>108</v>
      </c>
      <c r="C18" s="393" t="s">
        <v>44</v>
      </c>
      <c r="D18" s="394"/>
      <c r="E18" s="393" t="s">
        <v>102</v>
      </c>
      <c r="F18" s="395"/>
    </row>
    <row r="19" spans="2:6" x14ac:dyDescent="0.25">
      <c r="B19" s="167" t="s">
        <v>103</v>
      </c>
      <c r="C19" s="404">
        <v>0</v>
      </c>
      <c r="D19" s="405"/>
      <c r="E19" s="404">
        <v>0</v>
      </c>
      <c r="F19" s="406"/>
    </row>
    <row r="20" spans="2:6" x14ac:dyDescent="0.25">
      <c r="B20" s="172" t="s">
        <v>104</v>
      </c>
      <c r="C20" s="421">
        <v>70000</v>
      </c>
      <c r="D20" s="422"/>
      <c r="E20" s="423">
        <f>6000*7</f>
        <v>42000</v>
      </c>
      <c r="F20" s="424"/>
    </row>
    <row r="21" spans="2:6" x14ac:dyDescent="0.25">
      <c r="B21" s="176" t="s">
        <v>107</v>
      </c>
      <c r="C21" s="421">
        <f>46500*7</f>
        <v>325500</v>
      </c>
      <c r="D21" s="422"/>
      <c r="E21" s="421">
        <v>0</v>
      </c>
      <c r="F21" s="425"/>
    </row>
    <row r="22" spans="2:6" x14ac:dyDescent="0.25">
      <c r="B22" s="172" t="s">
        <v>105</v>
      </c>
      <c r="C22" s="421">
        <f>13000*7</f>
        <v>91000</v>
      </c>
      <c r="D22" s="422"/>
      <c r="E22" s="421">
        <f>4000*7</f>
        <v>28000</v>
      </c>
      <c r="F22" s="425"/>
    </row>
    <row r="23" spans="2:6" ht="14.4" thickBot="1" x14ac:dyDescent="0.3">
      <c r="B23" s="158" t="s">
        <v>106</v>
      </c>
      <c r="C23" s="396">
        <f>65000*7</f>
        <v>455000</v>
      </c>
      <c r="D23" s="397"/>
      <c r="E23" s="396">
        <f>7000*7</f>
        <v>49000</v>
      </c>
      <c r="F23" s="398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114</v>
      </c>
      <c r="C25" s="154" t="s">
        <v>112</v>
      </c>
      <c r="D25" s="155" t="s">
        <v>109</v>
      </c>
      <c r="E25" s="156" t="s">
        <v>110</v>
      </c>
      <c r="F25" s="157" t="s">
        <v>111</v>
      </c>
    </row>
    <row r="26" spans="2:6" x14ac:dyDescent="0.25">
      <c r="B26" s="167" t="s">
        <v>103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104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107</v>
      </c>
      <c r="C28" s="419" t="s">
        <v>113</v>
      </c>
      <c r="D28" s="419"/>
      <c r="E28" s="419"/>
      <c r="F28" s="420"/>
    </row>
    <row r="29" spans="2:6" x14ac:dyDescent="0.25">
      <c r="B29" s="172" t="s">
        <v>105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106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90" t="s">
        <v>118</v>
      </c>
      <c r="C35" s="391"/>
      <c r="D35" s="391"/>
      <c r="E35" s="391"/>
      <c r="F35" s="392"/>
    </row>
    <row r="36" spans="2:6" ht="14.4" thickBot="1" x14ac:dyDescent="0.3">
      <c r="B36" s="152" t="s">
        <v>121</v>
      </c>
      <c r="C36" s="393" t="s">
        <v>44</v>
      </c>
      <c r="D36" s="394"/>
      <c r="E36" s="393" t="s">
        <v>102</v>
      </c>
      <c r="F36" s="395"/>
    </row>
    <row r="37" spans="2:6" x14ac:dyDescent="0.25">
      <c r="B37" s="167" t="s">
        <v>122</v>
      </c>
      <c r="C37" s="410" t="s">
        <v>125</v>
      </c>
      <c r="D37" s="411"/>
      <c r="E37" s="411"/>
      <c r="F37" s="412"/>
    </row>
    <row r="38" spans="2:6" x14ac:dyDescent="0.25">
      <c r="B38" s="172" t="s">
        <v>123</v>
      </c>
      <c r="C38" s="413" t="s">
        <v>124</v>
      </c>
      <c r="D38" s="414"/>
      <c r="E38" s="414"/>
      <c r="F38" s="415"/>
    </row>
    <row r="39" spans="2:6" x14ac:dyDescent="0.25">
      <c r="B39" s="172" t="s">
        <v>126</v>
      </c>
      <c r="C39" s="413" t="s">
        <v>127</v>
      </c>
      <c r="D39" s="414"/>
      <c r="E39" s="414"/>
      <c r="F39" s="415"/>
    </row>
    <row r="40" spans="2:6" ht="14.4" thickBot="1" x14ac:dyDescent="0.3">
      <c r="B40" s="158" t="s">
        <v>128</v>
      </c>
      <c r="C40" s="416" t="s">
        <v>129</v>
      </c>
      <c r="D40" s="417"/>
      <c r="E40" s="417"/>
      <c r="F40" s="418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180</v>
      </c>
      <c r="B2" t="s">
        <v>181</v>
      </c>
    </row>
    <row r="3" spans="1:14" x14ac:dyDescent="0.25">
      <c r="B3" t="s">
        <v>44</v>
      </c>
    </row>
    <row r="7" spans="1:14" x14ac:dyDescent="0.25">
      <c r="N7" t="s">
        <v>182</v>
      </c>
    </row>
    <row r="8" spans="1:14" x14ac:dyDescent="0.25">
      <c r="A8" t="s">
        <v>183</v>
      </c>
      <c r="N8" t="s">
        <v>184</v>
      </c>
    </row>
    <row r="9" spans="1:14" x14ac:dyDescent="0.25">
      <c r="A9" t="s">
        <v>185</v>
      </c>
      <c r="D9" s="213" t="s">
        <v>186</v>
      </c>
      <c r="E9" s="213"/>
      <c r="N9" t="s">
        <v>187</v>
      </c>
    </row>
    <row r="10" spans="1:14" x14ac:dyDescent="0.25">
      <c r="N10" t="s">
        <v>188</v>
      </c>
    </row>
    <row r="15" spans="1:14" x14ac:dyDescent="0.25">
      <c r="A15" t="s">
        <v>189</v>
      </c>
      <c r="B15" t="s">
        <v>190</v>
      </c>
    </row>
    <row r="19" spans="1:12" x14ac:dyDescent="0.25">
      <c r="A19" s="39" t="s">
        <v>191</v>
      </c>
      <c r="B19" s="39" t="s">
        <v>182</v>
      </c>
      <c r="C19" s="39" t="s">
        <v>80</v>
      </c>
      <c r="D19" s="39" t="s">
        <v>192</v>
      </c>
      <c r="E19" s="39" t="s">
        <v>193</v>
      </c>
      <c r="F19" s="39" t="s">
        <v>194</v>
      </c>
      <c r="G19" s="39" t="s">
        <v>21</v>
      </c>
      <c r="H19" s="39" t="s">
        <v>195</v>
      </c>
      <c r="I19" s="39" t="s">
        <v>196</v>
      </c>
      <c r="J19" s="39" t="s">
        <v>197</v>
      </c>
      <c r="K19" s="39" t="s">
        <v>198</v>
      </c>
      <c r="L19" s="39" t="s">
        <v>199</v>
      </c>
    </row>
    <row r="20" spans="1:12" x14ac:dyDescent="0.25">
      <c r="A20" t="s">
        <v>200</v>
      </c>
      <c r="H20" s="149">
        <f>'תחשיב לפי שווי שומה (2)'!B8</f>
        <v>11000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201</v>
      </c>
      <c r="H21" s="150">
        <f>H20</f>
        <v>11000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202</v>
      </c>
      <c r="H22" s="150">
        <f>H21</f>
        <v>11000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203</v>
      </c>
      <c r="H23" s="150">
        <f>H22</f>
        <v>11000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204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9</vt:i4>
      </vt:variant>
    </vt:vector>
  </HeadingPairs>
  <TitlesOfParts>
    <vt:vector size="9" baseType="lpstr">
      <vt:lpstr>תחשיב לפי שווי שומה (2)</vt:lpstr>
      <vt:lpstr>סיכום עלויות פיצולים</vt:lpstr>
      <vt:lpstr>מ"ר אקו' נחלה</vt:lpstr>
      <vt:lpstr>תחשיבי הסדרה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2026-02-19T10:22:33Z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