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דיאמנט לירון - כפר ורבורג/פרוייקט בדיקת התכנות/בדיקת התכנות/"/>
    </mc:Choice>
  </mc:AlternateContent>
  <xr:revisionPtr revIDLastSave="431" documentId="8_{E9A5D54E-385F-4F6C-AF2C-D62B03C85759}" xr6:coauthVersionLast="47" xr6:coauthVersionMax="47" xr10:uidLastSave="{7C5FA67F-3CAC-49BC-9B00-32C0FA975594}"/>
  <bookViews>
    <workbookView minimized="1" xWindow="-25920" yWindow="2880" windowWidth="21600" windowHeight="11235" activeTab="1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ניתוח איזור לעסקאות דמה" sheetId="5" r:id="rId4"/>
    <sheet name="חישוב גדלי בתים" sheetId="4" r:id="rId5"/>
    <sheet name="תבעות" sheetId="8" r:id="rId6"/>
    <sheet name="גיליון1" sheetId="7" r:id="rId7"/>
    <sheet name="בקרה" sheetId="9" r:id="rId8"/>
  </sheets>
  <externalReferences>
    <externalReference r:id="rId9"/>
  </externalReferences>
  <definedNames>
    <definedName name="_xlnm._FilterDatabase" localSheetId="5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0" l="1"/>
  <c r="G56" i="10" s="1"/>
  <c r="K48" i="10"/>
  <c r="G49" i="10"/>
  <c r="L48" i="10"/>
  <c r="L47" i="10"/>
  <c r="G47" i="10"/>
  <c r="L46" i="10"/>
  <c r="L45" i="10"/>
  <c r="G45" i="10"/>
  <c r="H59" i="3"/>
  <c r="I58" i="3"/>
  <c r="I59" i="3" s="1"/>
  <c r="I57" i="3"/>
  <c r="G37" i="10"/>
  <c r="L36" i="10"/>
  <c r="K35" i="10"/>
  <c r="G29" i="10"/>
  <c r="G31" i="10"/>
  <c r="F32" i="10"/>
  <c r="F38" i="10" s="1"/>
  <c r="L31" i="10"/>
  <c r="L34" i="10" s="1"/>
  <c r="K34" i="10" s="1"/>
  <c r="L30" i="10"/>
  <c r="L29" i="10"/>
  <c r="N14" i="10"/>
  <c r="L14" i="10"/>
  <c r="L22" i="10" s="1"/>
  <c r="J14" i="10"/>
  <c r="J22" i="10" s="1"/>
  <c r="I60" i="3"/>
  <c r="D68" i="3"/>
  <c r="D67" i="3"/>
  <c r="D66" i="3"/>
  <c r="D65" i="3"/>
  <c r="D64" i="3"/>
  <c r="D62" i="3"/>
  <c r="G49" i="3"/>
  <c r="B53" i="3"/>
  <c r="B54" i="3" s="1"/>
  <c r="M48" i="10" l="1"/>
  <c r="G50" i="10" s="1"/>
  <c r="G51" i="10" s="1"/>
  <c r="G55" i="10" s="1"/>
  <c r="M34" i="10"/>
  <c r="E32" i="10" s="1"/>
  <c r="E33" i="10" s="1"/>
  <c r="G33" i="10" s="1"/>
  <c r="K36" i="10"/>
  <c r="M36" i="10" s="1"/>
  <c r="E38" i="10" s="1"/>
  <c r="G38" i="10" s="1"/>
  <c r="G39" i="10" s="1"/>
  <c r="B6" i="3"/>
  <c r="B8" i="3" s="1"/>
  <c r="G32" i="10" l="1"/>
  <c r="G34" i="10" s="1"/>
  <c r="G41" i="10" s="1"/>
  <c r="K3" i="4"/>
  <c r="E13" i="4"/>
  <c r="E3" i="4"/>
  <c r="D13" i="4"/>
  <c r="D3" i="4"/>
  <c r="C7" i="5"/>
  <c r="C6" i="5"/>
  <c r="C3" i="5"/>
  <c r="E42" i="5"/>
  <c r="E39" i="5"/>
  <c r="E36" i="5"/>
  <c r="C35" i="5"/>
  <c r="E35" i="5" s="1"/>
  <c r="E33" i="5"/>
  <c r="C32" i="5"/>
  <c r="C37" i="5" s="1"/>
  <c r="E37" i="5" s="1"/>
  <c r="N22" i="10"/>
  <c r="D36" i="3"/>
  <c r="D33" i="3"/>
  <c r="L24" i="9"/>
  <c r="J24" i="9"/>
  <c r="L23" i="9"/>
  <c r="L22" i="9"/>
  <c r="L21" i="9"/>
  <c r="L20" i="9"/>
  <c r="C42" i="6"/>
  <c r="B8" i="6"/>
  <c r="H20" i="9" s="1"/>
  <c r="H21" i="9" s="1"/>
  <c r="E32" i="5" l="1"/>
  <c r="C34" i="5"/>
  <c r="E34" i="5" s="1"/>
  <c r="B5" i="6"/>
  <c r="J21" i="9"/>
  <c r="H22" i="9"/>
  <c r="J20" i="9"/>
  <c r="B32" i="6"/>
  <c r="D40" i="6"/>
  <c r="D39" i="6"/>
  <c r="D31" i="6"/>
  <c r="D32" i="6"/>
  <c r="C43" i="6"/>
  <c r="D43" i="6" s="1"/>
  <c r="C34" i="6"/>
  <c r="D34" i="6" s="1"/>
  <c r="G13" i="4"/>
  <c r="F13" i="4"/>
  <c r="H13" i="4"/>
  <c r="D24" i="4"/>
  <c r="E24" i="4"/>
  <c r="F24" i="4"/>
  <c r="G24" i="4"/>
  <c r="H24" i="4"/>
  <c r="I13" i="4"/>
  <c r="I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E38" i="5" l="1"/>
  <c r="E40" i="5" s="1"/>
  <c r="H23" i="9"/>
  <c r="J23" i="9" s="1"/>
  <c r="J22" i="9"/>
  <c r="D42" i="6"/>
  <c r="C35" i="6"/>
  <c r="D35" i="6" s="1"/>
  <c r="G25" i="4"/>
  <c r="I25" i="4"/>
  <c r="H25" i="4"/>
  <c r="D25" i="4"/>
  <c r="F25" i="4"/>
  <c r="E25" i="4"/>
  <c r="C15" i="6" l="1"/>
  <c r="D27" i="4"/>
  <c r="D9" i="6" l="1"/>
  <c r="S24" i="4" l="1"/>
  <c r="R24" i="4"/>
  <c r="Q24" i="4"/>
  <c r="P24" i="4"/>
  <c r="O24" i="4"/>
  <c r="N24" i="4"/>
  <c r="M24" i="4"/>
  <c r="L24" i="4"/>
  <c r="K24" i="4"/>
  <c r="J24" i="4"/>
  <c r="D22" i="3" l="1"/>
  <c r="D10" i="3"/>
  <c r="D6" i="3"/>
  <c r="D5" i="3"/>
  <c r="D4" i="3"/>
  <c r="B9" i="3" l="1"/>
  <c r="B11" i="3" l="1"/>
  <c r="D11" i="3" s="1"/>
  <c r="D13" i="3" s="1"/>
  <c r="S13" i="4"/>
  <c r="R13" i="4"/>
  <c r="Q13" i="4"/>
  <c r="O13" i="4"/>
  <c r="M13" i="4"/>
  <c r="L13" i="4"/>
  <c r="K13" i="4"/>
  <c r="J13" i="4"/>
  <c r="P13" i="4"/>
  <c r="N13" i="4"/>
  <c r="H24" i="3"/>
  <c r="H25" i="3" s="1"/>
  <c r="S25" i="4" l="1"/>
  <c r="R25" i="4"/>
  <c r="O25" i="4"/>
  <c r="P25" i="4"/>
  <c r="N25" i="4"/>
  <c r="Q25" i="4"/>
  <c r="M25" i="4"/>
  <c r="L25" i="4"/>
  <c r="K25" i="4"/>
  <c r="J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79" i="3"/>
  <c r="F71" i="3"/>
  <c r="I77" i="3"/>
  <c r="G76" i="3"/>
  <c r="I78" i="3" s="1"/>
  <c r="I75" i="3"/>
  <c r="I74" i="3"/>
  <c r="I73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B55" i="3"/>
  <c r="D49" i="3"/>
  <c r="D50" i="3"/>
  <c r="F18" i="6"/>
  <c r="B56" i="3" l="1"/>
  <c r="D56" i="3" s="1"/>
  <c r="B4" i="6"/>
  <c r="I7" i="3"/>
  <c r="I4" i="3"/>
  <c r="G8" i="3"/>
  <c r="G9" i="3" s="1"/>
  <c r="I6" i="3"/>
  <c r="J50" i="3"/>
  <c r="J51" i="3" s="1"/>
  <c r="I80" i="3"/>
  <c r="I81" i="3" s="1"/>
  <c r="G80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77" i="3"/>
  <c r="B76" i="3"/>
  <c r="B78" i="3" s="1"/>
  <c r="D78" i="3" s="1"/>
  <c r="D75" i="3"/>
  <c r="D74" i="3"/>
  <c r="D73" i="3"/>
  <c r="E32" i="4" l="1"/>
  <c r="D80" i="3"/>
  <c r="D81" i="3" s="1"/>
  <c r="E29" i="4"/>
  <c r="B80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<sst xmlns="http://schemas.openxmlformats.org/spreadsheetml/2006/main" count="396" uniqueCount="270">
  <si>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</si>
  <si>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</si>
  <si>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</si>
  <si>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</si>
  <si>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</si>
  <si>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</si>
  <si>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</si>
  <si>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</si>
  <si>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</si>
  <si>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</si>
  <si>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</si>
  <si>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</si>
  <si>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</si>
  <si>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</si>
  <si>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</si>
  <si>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</si>
  <si>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</si>
  <si>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</si>
  <si>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</si>
  <si>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</si>
  <si>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</si>
  <si>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</si>
  <si>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</si>
  <si>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</si>
  <si>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</si>
  <si>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</si>
  <si>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</si>
  <si>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</si>
  <si>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</si>
  <si>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</si>
  <si>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</si>
  <si>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</si>
  <si>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</si>
  <si>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</si>
  <si>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</si>
  <si>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</si>
  <si>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</si>
  <si>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</si>
  <si>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</si>
  <si>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</si>
  <si>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</si>
  <si>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</si>
  <si>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</si>
  <si>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</si>
  <si>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</si>
  <si>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</si>
  <si>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</si>
  <si>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</si>
  <si>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</si>
  <si>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</si>
  <si>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</si>
  <si>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</si>
  <si>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</si>
  <si>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</si>
  <si>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</si>
  <si>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</si>
  <si>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</si>
  <si>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</si>
  <si>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</si>
  <si>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</si>
  <si>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</si>
  <si>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</si>
  <si>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</si>
  <si>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</si>
  <si>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</si>
  <si>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</si>
  <si>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</si>
  <si>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</si>
  <si>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</si>
  <si>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</si>
  <si>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</si>
  <si>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</si>
  <si>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</si>
  <si>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</si>
  <si>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</si>
  <si>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</si>
  <si>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</si>
  <si>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</si>
  <si>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</si>
  <si>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</si>
  <si>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</si>
  <si>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</si>
  <si>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</si>
  <si>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</si>
  <si>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</si>
  <si>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</si>
  <si>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</si>
  <si>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</si>
  <si>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</si>
  <si>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</si>
  <si>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</si>
  <si>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</si>
  <si>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</si>
  <si>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</si>
  <si>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</si>
  <si>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</si>
  <si>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</si>
  <si>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</si>
  <si>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</si>
  <si>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</si>
  <si>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</si>
  <si>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</si>
  <si>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</si>
  <si>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</si>
  <si>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</si>
  <si>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</si>
  <si>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</si>
  <si>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</si>
  <si>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</si>
  <si>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</si>
  <si>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</si>
  <si>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</si>
  <si>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</si>
  <si>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</si>
  <si>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</si>
  <si>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</si>
  <si>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</si>
  <si>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</si>
  <si>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</si>
  <si>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</si>
  <si>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</si>
  <si>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</si>
  <si>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</si>
  <si>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</si>
  <si>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</si>
  <si>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</si>
  <si>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</si>
  <si>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</si>
  <si>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</si>
  <si>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</si>
  <si>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</si>
  <si>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</si>
  <si>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</si>
  <si>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</si>
  <si>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</si>
  <si>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</si>
  <si>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</si>
  <si>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</si>
  <si>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</si>
  <si>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</si>
  <si>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</si>
  <si>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</si>
  <si>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</si>
  <si>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</si>
  <si>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</si>
  <si>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</si>
  <si>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</si>
  <si>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</si>
  <si>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</si>
  <si>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</si>
  <si>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</si>
  <si>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</si>
  <si>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</si>
  <si>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</si>
  <si>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</si>
  <si>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</si>
  <si>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</si>
  <si>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</si>
  <si>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</si>
  <si>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</si>
  <si>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</si>
  <si>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</si>
  <si>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</si>
  <si>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</si>
  <si>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</si>
  <si>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</si>
  <si>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</si>
  <si>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</si>
  <si>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</si>
  <si>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XPLAN</t>
  </si>
  <si>
    <t>634-0829846</t>
  </si>
  <si>
    <t>פל"ח</t>
  </si>
  <si>
    <t>גובמאפ</t>
  </si>
  <si>
    <t>בתים</t>
  </si>
  <si>
    <t>פיצול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</si>
  <si>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</si>
  <si>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</si>
  <si>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</si>
  <si>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</si>
  <si>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</si>
  <si>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</si>
  <si>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</si>
  <si>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</si>
  <si>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</si>
  <si>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</si>
  <si>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</si>
  <si>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</si>
  <si>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</si>
  <si>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</si>
  <si>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</si>
  <si>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</si>
  <si>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</si>
  <si>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</si>
  <si>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</si>
  <si>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</si>
  <si>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</si>
  <si>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</si>
  <si>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</si>
  <si>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</si>
  <si>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</si>
  <si>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</si>
  <si>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98 - חלקאי</t>
  </si>
  <si>
    <t>היתר שנת 01- חקלאי</t>
  </si>
  <si>
    <t>היתר שנת 2000 - חקלאי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</si>
  <si>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</si>
  <si>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</si>
  <si>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</si>
  <si>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</si>
  <si>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</si>
  <si>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</si>
  <si>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</si>
  <si>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סוג תשלום</t>
  </si>
  <si>
    <t>דמי היוון 3.75%/33%</t>
  </si>
  <si>
    <t>-</t>
  </si>
  <si>
    <t>מס רכישה</t>
  </si>
  <si>
    <t>616-0902908</t>
  </si>
  <si>
    <t>אתר הועדה</t>
  </si>
  <si>
    <t>בריכה</t>
  </si>
  <si>
    <t>112/03/8</t>
  </si>
  <si>
    <t>ניתוח שטח אקו</t>
  </si>
  <si>
    <t>שטח מגרש</t>
  </si>
  <si>
    <t>מהות</t>
  </si>
  <si>
    <t>שטח</t>
  </si>
  <si>
    <t>עיקרי ק.ק</t>
  </si>
  <si>
    <t>עיקרי ק.א</t>
  </si>
  <si>
    <t>מרתף</t>
  </si>
  <si>
    <t>סה"כ שטח אקו'</t>
  </si>
  <si>
    <t>שווי מגרש מתואם זמן 5%</t>
  </si>
  <si>
    <t>שווי מ"ר</t>
  </si>
  <si>
    <t>מתואם</t>
  </si>
  <si>
    <t>לשומה</t>
  </si>
  <si>
    <t>מבנה 1 - בית מגורים ראשון</t>
  </si>
  <si>
    <t>מבנה 2 - בית מגורים שני</t>
  </si>
  <si>
    <t>מבנה 3 - סככה</t>
  </si>
  <si>
    <t>מבנה 4- סככה</t>
  </si>
  <si>
    <t>מבנה 5- קונטיינר</t>
  </si>
  <si>
    <t>מבנה 6- בית שלישי</t>
  </si>
  <si>
    <t>מבנה 7 -סככה</t>
  </si>
  <si>
    <t>מבנה -8</t>
  </si>
  <si>
    <t>היתר שנת 76</t>
  </si>
  <si>
    <t>היטל השבחה פיצול</t>
  </si>
  <si>
    <t>מצב קודם</t>
  </si>
  <si>
    <t>מצב חדש</t>
  </si>
  <si>
    <t>היטל בש"ח</t>
  </si>
  <si>
    <t>סיכום עלויות הסדרת / הקמת בית שלישי</t>
  </si>
  <si>
    <t>הקמת בית שלישי חדש</t>
  </si>
  <si>
    <t>הסדרת בית שלישי קיים</t>
  </si>
  <si>
    <t>חשיפה לדמי שימוש</t>
  </si>
  <si>
    <t>תשלום דמי היתר</t>
  </si>
  <si>
    <t>תשלום היטל השבחה</t>
  </si>
  <si>
    <t>אפשרות 1</t>
  </si>
  <si>
    <t>הסרה בית שלישי ואז פיצול</t>
  </si>
  <si>
    <t>הסדרה</t>
  </si>
  <si>
    <t>בית שלישי 150 מ"ר</t>
  </si>
  <si>
    <t>חוזה ברמי</t>
  </si>
  <si>
    <t>מצב בנוי</t>
  </si>
  <si>
    <t>פיצול של הבית השלישי</t>
  </si>
  <si>
    <t>היטל השבחה</t>
  </si>
  <si>
    <t>סה"כ תוספת לפיצול הבית</t>
  </si>
  <si>
    <t>סה"כ חלופה</t>
  </si>
  <si>
    <t>היטל השבחה מרחף במכר</t>
  </si>
  <si>
    <t>סה"כ פיצול מגרש ריק</t>
  </si>
  <si>
    <t>דמי היתר במשק</t>
  </si>
  <si>
    <t>בית במפוצל</t>
  </si>
  <si>
    <t>היתר בניה - היטל השבחה</t>
  </si>
  <si>
    <t>היטל השבחה מרחף</t>
  </si>
  <si>
    <t>סה"כ בית שלישי חדש - כחלק המהמשק</t>
  </si>
  <si>
    <t>הסדרת בית שלישי חדש</t>
  </si>
  <si>
    <t>פיצול  הבית השלישי החדש</t>
  </si>
  <si>
    <t>סה"כ גם וגם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</si>
</sst>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  <font>
      <u/>
      <sz val="11"/>
      <color theme="8"/>
      <name val="Arial"/>
      <family val="2"/>
      <charset val="177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3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165" fontId="0" fillId="0" borderId="22" xfId="1" applyNumberFormat="1" applyFont="1" applyBorder="1"/>
    <xf numFmtId="0" fontId="0" fillId="0" borderId="22" xfId="0" applyBorder="1"/>
    <xf numFmtId="165" fontId="0" fillId="0" borderId="22" xfId="0" applyNumberFormat="1" applyBorder="1"/>
    <xf numFmtId="165" fontId="6" fillId="0" borderId="22" xfId="1" applyNumberFormat="1" applyFont="1" applyBorder="1"/>
    <xf numFmtId="165" fontId="19" fillId="3" borderId="18" xfId="1" applyNumberFormat="1" applyFont="1" applyFill="1" applyBorder="1" applyAlignment="1">
      <alignment horizontal="center" vertical="center" wrapText="1"/>
    </xf>
    <xf numFmtId="165" fontId="20" fillId="3" borderId="18" xfId="1" applyNumberFormat="1" applyFont="1" applyFill="1" applyBorder="1" applyAlignment="1">
      <alignment horizontal="center" vertical="center" wrapText="1"/>
    </xf>
    <xf numFmtId="164" fontId="6" fillId="0" borderId="0" xfId="0" applyNumberFormat="1" applyFont="1"/>
    <xf numFmtId="164" fontId="6" fillId="0" borderId="0" xfId="2" applyNumberFormat="1" applyFont="1"/>
    <xf numFmtId="0" fontId="0" fillId="5" borderId="7" xfId="0" applyFill="1" applyBorder="1"/>
    <xf numFmtId="0" fontId="0" fillId="5" borderId="0" xfId="0" applyFill="1"/>
    <xf numFmtId="164" fontId="0" fillId="5" borderId="0" xfId="2" applyNumberFormat="1" applyFont="1" applyFill="1" applyBorder="1"/>
    <xf numFmtId="164" fontId="0" fillId="5" borderId="8" xfId="2" applyNumberFormat="1" applyFont="1" applyFill="1" applyBorder="1"/>
    <xf numFmtId="0" fontId="6" fillId="5" borderId="7" xfId="0" applyFont="1" applyFill="1" applyBorder="1"/>
    <xf numFmtId="0" fontId="6" fillId="5" borderId="0" xfId="0" applyFont="1" applyFill="1"/>
    <xf numFmtId="164" fontId="6" fillId="5" borderId="8" xfId="0" applyNumberFormat="1" applyFont="1" applyFill="1" applyBorder="1"/>
    <xf numFmtId="164" fontId="0" fillId="5" borderId="8" xfId="0" applyNumberFormat="1" applyFill="1" applyBorder="1"/>
    <xf numFmtId="164" fontId="0" fillId="5" borderId="0" xfId="0" applyNumberFormat="1" applyFill="1"/>
    <xf numFmtId="0" fontId="0" fillId="5" borderId="33" xfId="0" applyFill="1" applyBorder="1"/>
    <xf numFmtId="0" fontId="0" fillId="5" borderId="34" xfId="0" applyFill="1" applyBorder="1"/>
    <xf numFmtId="164" fontId="0" fillId="5" borderId="35" xfId="2" applyNumberFormat="1" applyFont="1" applyFill="1" applyBorder="1"/>
    <xf numFmtId="0" fontId="0" fillId="5" borderId="1" xfId="0" applyFill="1" applyBorder="1"/>
    <xf numFmtId="0" fontId="0" fillId="5" borderId="2" xfId="0" applyFill="1" applyBorder="1"/>
    <xf numFmtId="164" fontId="0" fillId="5" borderId="2" xfId="2" applyNumberFormat="1" applyFont="1" applyFill="1" applyBorder="1"/>
    <xf numFmtId="164" fontId="0" fillId="5" borderId="3" xfId="2" applyNumberFormat="1" applyFont="1" applyFill="1" applyBorder="1"/>
    <xf numFmtId="0" fontId="6" fillId="5" borderId="33" xfId="0" applyFont="1" applyFill="1" applyBorder="1"/>
    <xf numFmtId="0" fontId="6" fillId="5" borderId="34" xfId="0" applyFont="1" applyFill="1" applyBorder="1"/>
    <xf numFmtId="164" fontId="6" fillId="5" borderId="35" xfId="0" applyNumberFormat="1" applyFont="1" applyFill="1" applyBorder="1"/>
    <xf numFmtId="0" fontId="16" fillId="13" borderId="60" xfId="0" applyFont="1" applyFill="1" applyBorder="1" applyAlignment="1">
      <alignment horizontal="center" vertical="center" readingOrder="2"/>
    </xf>
    <xf numFmtId="0" fontId="16" fillId="13" borderId="48" xfId="0" applyFont="1" applyFill="1" applyBorder="1" applyAlignment="1">
      <alignment horizontal="center" vertical="center" readingOrder="2"/>
    </xf>
    <xf numFmtId="0" fontId="16" fillId="13" borderId="19" xfId="0" applyFont="1" applyFill="1" applyBorder="1" applyAlignment="1">
      <alignment horizontal="center" vertical="center" readingOrder="2"/>
    </xf>
    <xf numFmtId="0" fontId="16" fillId="13" borderId="60" xfId="0" applyFont="1" applyFill="1" applyBorder="1" applyAlignment="1">
      <alignment horizontal="center"/>
    </xf>
    <xf numFmtId="0" fontId="16" fillId="13" borderId="48" xfId="0" applyFont="1" applyFill="1" applyBorder="1" applyAlignment="1">
      <alignment horizontal="center"/>
    </xf>
    <xf numFmtId="0" fontId="16" fillId="13" borderId="19" xfId="0" applyFont="1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6" fillId="11" borderId="60" xfId="0" applyFont="1" applyFill="1" applyBorder="1" applyAlignment="1">
      <alignment horizontal="center"/>
    </xf>
    <xf numFmtId="0" fontId="6" fillId="11" borderId="48" xfId="0" applyFont="1" applyFill="1" applyBorder="1" applyAlignment="1">
      <alignment horizontal="center"/>
    </xf>
    <xf numFmtId="0" fontId="6" fillId="11" borderId="19" xfId="0" applyFont="1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164" fontId="0" fillId="0" borderId="22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4" fontId="0" fillId="0" borderId="72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0" fillId="0" borderId="5" xfId="0" applyBorder="1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</xdr:row>
      <xdr:rowOff>0</xdr:rowOff>
    </xdr:from>
    <xdr:to>
      <xdr:col>11</xdr:col>
      <xdr:colOff>96935</xdr:colOff>
      <xdr:row>17</xdr:row>
      <xdr:rowOff>65805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B2DCB085-FD5F-4663-9781-C4DD1415B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94573418" y="2314575"/>
          <a:ext cx="8439882" cy="948773"/>
        </a:xfrm>
        <a:prstGeom prst="rect">
          <a:avLst/>
        </a:prstGeom>
      </xdr:spPr>
    </xdr:pic>
    <xdr:clientData/>
  </xdr:twoCellAnchor>
  <xdr:twoCellAnchor editAs="oneCell">
    <xdr:from>
      <xdr:col>11</xdr:col>
      <xdr:colOff>607189</xdr:colOff>
      <xdr:row>18</xdr:row>
      <xdr:rowOff>96327</xdr:rowOff>
    </xdr:from>
    <xdr:to>
      <xdr:col>20</xdr:col>
      <xdr:colOff>1381</xdr:colOff>
      <xdr:row>35</xdr:row>
      <xdr:rowOff>153922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3E2293FD-9414-492B-94D3-945031703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02382148" y="3334827"/>
          <a:ext cx="5445369" cy="2915095"/>
        </a:xfrm>
        <a:prstGeom prst="rect">
          <a:avLst/>
        </a:prstGeom>
      </xdr:spPr>
    </xdr:pic>
    <xdr:clientData/>
  </xdr:twoCellAnchor>
  <xdr:twoCellAnchor editAs="oneCell">
    <xdr:from>
      <xdr:col>12</xdr:col>
      <xdr:colOff>33201</xdr:colOff>
      <xdr:row>11</xdr:row>
      <xdr:rowOff>143266</xdr:rowOff>
    </xdr:from>
    <xdr:to>
      <xdr:col>19</xdr:col>
      <xdr:colOff>558335</xdr:colOff>
      <xdr:row>18</xdr:row>
      <xdr:rowOff>130364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794801A8-33D5-403E-9B11-1B3EB3185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02495642" y="2205148"/>
          <a:ext cx="5233510" cy="115990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952500</xdr:colOff>
      <xdr:row>50</xdr:row>
      <xdr:rowOff>5821</xdr:rowOff>
    </xdr:from>
    <xdr:to>
      <xdr:col>8</xdr:col>
      <xdr:colOff>296810</xdr:colOff>
      <xdr:row>70</xdr:row>
      <xdr:rowOff>20917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174B6956-4EA4-4804-AC05-3F12D5AD0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19101754" y="8846212"/>
          <a:ext cx="4965965" cy="3462193"/>
        </a:xfrm>
        <a:prstGeom prst="rect">
          <a:avLst/>
        </a:prstGeom>
      </xdr:spPr>
    </xdr:pic>
    <xdr:clientData/>
  </xdr:twoCellAnchor>
  <xdr:twoCellAnchor editAs="oneCell">
    <xdr:from>
      <xdr:col>15</xdr:col>
      <xdr:colOff>281246</xdr:colOff>
      <xdr:row>50</xdr:row>
      <xdr:rowOff>73024</xdr:rowOff>
    </xdr:from>
    <xdr:to>
      <xdr:col>22</xdr:col>
      <xdr:colOff>355749</xdr:colOff>
      <xdr:row>71</xdr:row>
      <xdr:rowOff>86827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C08B9590-F4E3-423D-8C96-2C029AC17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9013466" y="8913415"/>
          <a:ext cx="4736038" cy="3637351"/>
        </a:xfrm>
        <a:prstGeom prst="rect">
          <a:avLst/>
        </a:prstGeom>
      </xdr:spPr>
    </xdr:pic>
    <xdr:clientData/>
  </xdr:twoCellAnchor>
  <xdr:twoCellAnchor editAs="oneCell">
    <xdr:from>
      <xdr:col>8</xdr:col>
      <xdr:colOff>373676</xdr:colOff>
      <xdr:row>50</xdr:row>
      <xdr:rowOff>0</xdr:rowOff>
    </xdr:from>
    <xdr:to>
      <xdr:col>15</xdr:col>
      <xdr:colOff>96501</xdr:colOff>
      <xdr:row>71</xdr:row>
      <xdr:rowOff>94463</xdr:rowOff>
    </xdr:to>
    <xdr:pic>
      <xdr:nvPicPr>
        <xdr:cNvPr id="8" name="תמונה 7">
          <a:extLst>
            <a:ext uri="{FF2B5EF4-FFF2-40B4-BE49-F238E27FC236}">
              <a16:creationId xmlns:a16="http://schemas.microsoft.com/office/drawing/2014/main" id="{E09D89C3-B6E3-4F92-A446-C9FDE0F51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913936154" y="8840391"/>
          <a:ext cx="5090639" cy="37161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779584</xdr:colOff>
      <xdr:row>3</xdr:row>
      <xdr:rowOff>140677</xdr:rowOff>
    </xdr:from>
    <xdr:to>
      <xdr:col>14</xdr:col>
      <xdr:colOff>384748</xdr:colOff>
      <xdr:row>26</xdr:row>
      <xdr:rowOff>49599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CB5B48BC-5341-69CA-2DAD-D6CC61F9E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38687959" y="879231"/>
          <a:ext cx="2682472" cy="417612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topLeftCell="A29" zoomScale="70" zoomScaleNormal="70" workbookViewId="0">
      <selection activeCell="B43" sqref="B43"/>
    </sheetView>
  </sheetViews>
  <sheetFormatPr defaultColWidth="8.69921875" defaultRowHeight="20.399999999999999" x14ac:dyDescent="0.35"/>
  <cols>
    <col min="1" max="1" width="35.796875" style="1" bestFit="1" customWidth="1"/>
    <col min="2" max="2" width="21.796875" style="1" bestFit="1" customWidth="1"/>
    <col min="3" max="3" width="21.69921875" style="1" bestFit="1" customWidth="1"/>
    <col min="4" max="4" width="23.3984375" style="1" customWidth="1"/>
    <col min="5" max="5" width="21.69921875" style="1" bestFit="1" customWidth="1"/>
    <col min="6" max="6" width="21.296875" style="1" customWidth="1"/>
    <col min="7" max="7" width="19.296875" style="1" bestFit="1" customWidth="1"/>
    <col min="8" max="8" width="23.09765625" style="1" customWidth="1"/>
    <col min="9" max="9" width="35.19921875" style="1" customWidth="1"/>
    <col min="10" max="10" width="21.796875" style="1" bestFit="1" customWidth="1"/>
    <col min="11" max="11" width="21.69921875" style="75" bestFit="1" customWidth="1"/>
    <col min="12" max="12" width="20" style="1" bestFit="1" customWidth="1"/>
    <col min="13" max="13" width="18.5" style="1" bestFit="1" customWidth="1"/>
    <col min="14" max="14" width="10.796875" style="1" bestFit="1" customWidth="1"/>
    <col min="15" max="16384" width="8.69921875" style="1"/>
  </cols>
  <sheetData>
    <row r="2" spans="1:11" x14ac:dyDescent="0.35">
      <c r="A2" s="1" t="s">
        <v>43</v>
      </c>
      <c r="B2" s="76">
        <f>'מ"ר אקו'' נחלה'!I14</f>
        <v>1115.2</v>
      </c>
      <c r="K2" s="1"/>
    </row>
    <row r="3" spans="1:11" x14ac:dyDescent="0.35">
      <c r="A3" s="1" t="s">
        <v>17</v>
      </c>
      <c r="B3" s="76">
        <f>'מ"ר אקו'' נחלה'!D14</f>
        <v>1065.2</v>
      </c>
      <c r="K3" s="1"/>
    </row>
    <row r="4" spans="1:11" x14ac:dyDescent="0.35">
      <c r="A4" s="1" t="s">
        <v>90</v>
      </c>
      <c r="B4" s="76">
        <f>'מ"ר אקו'' נחלה'!D28</f>
        <v>0</v>
      </c>
      <c r="K4" s="1"/>
    </row>
    <row r="5" spans="1:11" x14ac:dyDescent="0.35">
      <c r="A5" s="1" t="s">
        <v>204</v>
      </c>
      <c r="B5" s="76">
        <f>'מ"ר אקו'' נחלה'!D38</f>
        <v>0</v>
      </c>
      <c r="K5" s="1"/>
    </row>
    <row r="6" spans="1:11" x14ac:dyDescent="0.35">
      <c r="A6" s="1" t="s">
        <v>3</v>
      </c>
      <c r="B6" s="1">
        <f>'מ"ר אקו'' נחלה'!D81</f>
        <v>806.25</v>
      </c>
      <c r="F6" s="7"/>
      <c r="K6" s="1"/>
    </row>
    <row r="7" spans="1:11" x14ac:dyDescent="0.35">
      <c r="A7" s="1" t="s">
        <v>55</v>
      </c>
      <c r="B7" s="1">
        <f>'מ"ר אקו'' נחלה'!D57</f>
        <v>242.3</v>
      </c>
      <c r="C7" s="1" t="s">
        <v>56</v>
      </c>
      <c r="D7" s="75">
        <f>'מ"ר אקו'' נחלה'!I50</f>
        <v>207.5</v>
      </c>
      <c r="F7" s="75"/>
      <c r="K7" s="1"/>
    </row>
    <row r="8" spans="1:11" x14ac:dyDescent="0.35">
      <c r="A8" s="1" t="s">
        <v>12</v>
      </c>
      <c r="B8" s="129">
        <f>'ניתוח איזור לעסקאות דמה'!C7</f>
        <v>9000</v>
      </c>
      <c r="C8" s="1" t="s">
        <v>83</v>
      </c>
      <c r="D8" s="5">
        <v>2500</v>
      </c>
      <c r="F8" s="75"/>
      <c r="K8" s="1"/>
    </row>
    <row r="9" spans="1:11" x14ac:dyDescent="0.35">
      <c r="A9" s="3"/>
      <c r="B9" s="5"/>
      <c r="C9" s="1" t="s">
        <v>91</v>
      </c>
      <c r="D9" s="1" t="e">
        <f>'ניתוח איזור לעסקאות דמה'!#REF!</f>
        <v>#REF!</v>
      </c>
      <c r="E9" s="8">
        <v>1.17</v>
      </c>
    </row>
    <row r="10" spans="1:11" x14ac:dyDescent="0.35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65</v>
      </c>
      <c r="J10" s="2"/>
    </row>
    <row r="11" spans="1:11" ht="2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272109.375</v>
      </c>
      <c r="G11" s="75">
        <f>'מ"ר אקו'' נחלה'!D82*-3.75%</f>
        <v>-6562.5</v>
      </c>
      <c r="H11" s="88">
        <f>SUM(F11:G11)</f>
        <v>265546.875</v>
      </c>
      <c r="I11" s="9"/>
      <c r="J11" s="75"/>
    </row>
    <row r="12" spans="1:11" x14ac:dyDescent="0.35">
      <c r="A12" s="82" t="s">
        <v>61</v>
      </c>
      <c r="B12" s="114">
        <f>D7</f>
        <v>207.5</v>
      </c>
      <c r="C12" s="115">
        <v>0.29249999999999998</v>
      </c>
      <c r="D12" s="82">
        <f t="shared" si="0"/>
        <v>60.693749999999994</v>
      </c>
      <c r="E12" s="82">
        <v>1</v>
      </c>
      <c r="F12" s="84">
        <f>D12*$B$8*E12</f>
        <v>546243.75</v>
      </c>
      <c r="G12" s="75">
        <f>-'מ"ר אקו'' נחלה'!D58*C12</f>
        <v>-29250</v>
      </c>
      <c r="H12" s="6">
        <f>SUM(F12:G12)</f>
        <v>516993.75</v>
      </c>
      <c r="J12" s="87"/>
    </row>
    <row r="13" spans="1:11" x14ac:dyDescent="0.35">
      <c r="A13" s="82" t="s">
        <v>62</v>
      </c>
      <c r="B13" s="114">
        <f>B7-B12</f>
        <v>34.800000000000011</v>
      </c>
      <c r="C13" s="115">
        <v>0.33</v>
      </c>
      <c r="D13" s="82">
        <f t="shared" si="0"/>
        <v>11.484000000000004</v>
      </c>
      <c r="E13" s="82">
        <v>1</v>
      </c>
      <c r="F13" s="84">
        <f>D13*$B$8*E13</f>
        <v>103356.00000000003</v>
      </c>
      <c r="G13" s="87">
        <f>G12*53/245</f>
        <v>-6327.5510204081629</v>
      </c>
      <c r="H13" s="6">
        <f>SUM(F13:G13)</f>
        <v>97028.448979591863</v>
      </c>
      <c r="I13" s="9"/>
      <c r="J13" s="75"/>
    </row>
    <row r="14" spans="1:11" ht="21" x14ac:dyDescent="0.4">
      <c r="A14" s="111" t="s">
        <v>63</v>
      </c>
      <c r="B14" s="112">
        <f>SUM(B12:B13)</f>
        <v>242.3</v>
      </c>
      <c r="C14" s="113"/>
      <c r="D14" s="113"/>
      <c r="E14" s="113"/>
      <c r="F14" s="113">
        <f>SUM(F12:F13)</f>
        <v>649599.75</v>
      </c>
      <c r="G14" s="116"/>
      <c r="H14" s="89">
        <f>SUM(H12:H13)</f>
        <v>614022.19897959183</v>
      </c>
      <c r="J14" s="75"/>
    </row>
    <row r="15" spans="1:11" ht="2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793687.5</v>
      </c>
      <c r="G15" s="9"/>
      <c r="J15" s="86"/>
    </row>
    <row r="16" spans="1:11" ht="21" x14ac:dyDescent="0.4">
      <c r="A16" s="77" t="s">
        <v>5</v>
      </c>
      <c r="B16" s="81">
        <f>B3+B4-B5</f>
        <v>1065.2</v>
      </c>
      <c r="C16" s="80">
        <v>0.33</v>
      </c>
      <c r="D16" s="77">
        <f t="shared" si="0"/>
        <v>351.51600000000002</v>
      </c>
      <c r="E16" s="77">
        <v>1</v>
      </c>
      <c r="F16" s="79">
        <f>D16*$B$8*E16</f>
        <v>3163644</v>
      </c>
      <c r="G16" s="75">
        <f>-'מ"ר אקו'' נחלה'!D15*C16</f>
        <v>-81510</v>
      </c>
      <c r="H16" s="88">
        <f>SUM(F16:G16)</f>
        <v>3082134</v>
      </c>
      <c r="J16" s="137"/>
    </row>
    <row r="17" spans="1:10" ht="21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ht="21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ht="21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5733</v>
      </c>
      <c r="I19" s="75"/>
      <c r="J19" s="6"/>
    </row>
    <row r="20" spans="1:10" ht="21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614.25</v>
      </c>
      <c r="G20" s="9"/>
      <c r="I20" s="6"/>
      <c r="J20" s="9"/>
    </row>
    <row r="21" spans="1:10" ht="21" x14ac:dyDescent="0.4">
      <c r="A21" s="1" t="s">
        <v>69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ht="21" x14ac:dyDescent="0.4">
      <c r="A22" s="1" t="s">
        <v>44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2457</v>
      </c>
    </row>
    <row r="23" spans="1:10" ht="21" x14ac:dyDescent="0.4">
      <c r="A23" s="82" t="s">
        <v>84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ht="21" x14ac:dyDescent="0.4">
      <c r="A24" s="1" t="s">
        <v>45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450</v>
      </c>
      <c r="I24" s="9"/>
    </row>
    <row r="25" spans="1:10" x14ac:dyDescent="0.35">
      <c r="C25" s="7"/>
      <c r="F25" s="5"/>
      <c r="J25" s="9"/>
    </row>
    <row r="26" spans="1:10" x14ac:dyDescent="0.35">
      <c r="C26" s="7"/>
      <c r="F26" s="5"/>
    </row>
    <row r="27" spans="1:10" x14ac:dyDescent="0.35">
      <c r="A27" s="1" t="s">
        <v>46</v>
      </c>
      <c r="B27" s="85"/>
      <c r="C27" s="8"/>
      <c r="D27" s="186"/>
      <c r="E27" s="186"/>
      <c r="F27" s="5"/>
      <c r="I27" s="75"/>
    </row>
    <row r="29" spans="1:10" x14ac:dyDescent="0.35">
      <c r="A29" s="2" t="s">
        <v>156</v>
      </c>
      <c r="C29" s="75"/>
    </row>
    <row r="30" spans="1:10" x14ac:dyDescent="0.35">
      <c r="A30" s="2"/>
      <c r="B30" s="2" t="s">
        <v>158</v>
      </c>
      <c r="C30" s="2" t="s">
        <v>21</v>
      </c>
      <c r="D30" s="2" t="s">
        <v>157</v>
      </c>
    </row>
    <row r="31" spans="1:10" x14ac:dyDescent="0.35">
      <c r="A31" s="1" t="s">
        <v>154</v>
      </c>
      <c r="B31" s="5">
        <f>'מ"ר אקו'' נחלה'!D57*'תחשיב לפי שווי שומה (2)'!$B$8</f>
        <v>2180700</v>
      </c>
      <c r="C31" s="191">
        <v>1</v>
      </c>
      <c r="D31" s="6">
        <f>C31*$B$8</f>
        <v>9000</v>
      </c>
    </row>
    <row r="32" spans="1:10" x14ac:dyDescent="0.35">
      <c r="A32" s="1" t="s">
        <v>153</v>
      </c>
      <c r="B32" s="6">
        <f>350*$B$8*C32</f>
        <v>472500</v>
      </c>
      <c r="C32" s="191">
        <v>0.15</v>
      </c>
      <c r="D32" s="6">
        <f>C32*$B$8</f>
        <v>1350</v>
      </c>
    </row>
    <row r="33" spans="1:6" x14ac:dyDescent="0.35">
      <c r="C33" s="75"/>
    </row>
    <row r="34" spans="1:6" x14ac:dyDescent="0.35">
      <c r="A34" s="1" t="s">
        <v>151</v>
      </c>
      <c r="B34" s="6">
        <f>B31-B32</f>
        <v>1708200</v>
      </c>
      <c r="C34" s="191">
        <f>C31-C32</f>
        <v>0.85</v>
      </c>
      <c r="D34" s="6">
        <f>C34*$B$8</f>
        <v>7650</v>
      </c>
    </row>
    <row r="35" spans="1:6" x14ac:dyDescent="0.35">
      <c r="A35" s="1" t="s">
        <v>152</v>
      </c>
      <c r="B35" s="6">
        <f>B34*50%</f>
        <v>854100</v>
      </c>
      <c r="C35" s="191">
        <f>C34*50%</f>
        <v>0.42499999999999999</v>
      </c>
      <c r="D35" s="6">
        <f>C35*$B$8</f>
        <v>3825</v>
      </c>
    </row>
    <row r="37" spans="1:6" x14ac:dyDescent="0.35">
      <c r="A37" s="2" t="s">
        <v>160</v>
      </c>
      <c r="C37" s="75"/>
    </row>
    <row r="38" spans="1:6" x14ac:dyDescent="0.35">
      <c r="A38" s="2"/>
      <c r="B38" s="2" t="s">
        <v>158</v>
      </c>
      <c r="C38" s="2" t="s">
        <v>21</v>
      </c>
      <c r="D38" s="2" t="s">
        <v>157</v>
      </c>
    </row>
    <row r="39" spans="1:6" x14ac:dyDescent="0.35">
      <c r="A39" s="1" t="s">
        <v>154</v>
      </c>
      <c r="B39" s="5">
        <f>'מ"ר אקו'' נחלה'!D57*'תחשיב לפי שווי שומה (2)'!$B$8</f>
        <v>2180700</v>
      </c>
      <c r="C39" s="191">
        <v>1</v>
      </c>
      <c r="D39" s="6">
        <f>C39*$B$8</f>
        <v>9000</v>
      </c>
    </row>
    <row r="40" spans="1:6" x14ac:dyDescent="0.35">
      <c r="A40" s="1" t="s">
        <v>161</v>
      </c>
      <c r="B40" s="6">
        <f>B39*70%</f>
        <v>1526490</v>
      </c>
      <c r="C40" s="191">
        <v>0.7</v>
      </c>
      <c r="D40" s="6">
        <f>C40*$B$8</f>
        <v>6300</v>
      </c>
    </row>
    <row r="41" spans="1:6" x14ac:dyDescent="0.35">
      <c r="C41" s="75"/>
    </row>
    <row r="42" spans="1:6" x14ac:dyDescent="0.35">
      <c r="A42" s="1" t="s">
        <v>151</v>
      </c>
      <c r="B42" s="6">
        <f>B39-B40</f>
        <v>654210</v>
      </c>
      <c r="C42" s="191">
        <f>C39-C40</f>
        <v>0.30000000000000004</v>
      </c>
      <c r="D42" s="6">
        <f>C42*$B$8</f>
        <v>2700.0000000000005</v>
      </c>
      <c r="F42" s="6"/>
    </row>
    <row r="43" spans="1:6" x14ac:dyDescent="0.35">
      <c r="A43" s="1" t="s">
        <v>152</v>
      </c>
      <c r="B43" s="6">
        <f>B42*50%</f>
        <v>327105</v>
      </c>
      <c r="C43" s="191">
        <f>C42*50%</f>
        <v>0.15000000000000002</v>
      </c>
      <c r="D43" s="6">
        <f>C43*$B$8</f>
        <v>1350.0000000000002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D8:O63"/>
  <sheetViews>
    <sheetView rightToLeft="1" tabSelected="1" topLeftCell="B1" zoomScale="130" zoomScaleNormal="130" workbookViewId="0">
      <selection activeCell="I6" sqref="I6"/>
    </sheetView>
  </sheetViews>
  <sheetFormatPr defaultRowHeight="13.8" x14ac:dyDescent="0.25"/>
  <cols>
    <col min="4" max="4" width="20.19921875" bestFit="1" customWidth="1"/>
    <col min="6" max="6" width="11.09765625" bestFit="1" customWidth="1"/>
    <col min="7" max="7" width="13.19921875" bestFit="1" customWidth="1"/>
    <col min="8" max="8" width="10.3984375" bestFit="1" customWidth="1"/>
    <col min="9" max="9" width="12.09765625" customWidth="1"/>
  </cols>
  <sheetData>
    <row r="8" spans="8:15" ht="14.4" thickBot="1" x14ac:dyDescent="0.3"/>
    <row r="9" spans="8:15" ht="14.4" thickBot="1" x14ac:dyDescent="0.3">
      <c r="H9" s="262" t="s">
        <v>244</v>
      </c>
      <c r="I9" s="263"/>
      <c r="J9" s="263"/>
      <c r="K9" s="263"/>
      <c r="L9" s="263"/>
      <c r="M9" s="263"/>
      <c r="N9" s="263"/>
      <c r="O9" s="264"/>
    </row>
    <row r="10" spans="8:15" x14ac:dyDescent="0.25">
      <c r="H10" s="265" t="s">
        <v>211</v>
      </c>
      <c r="I10" s="266"/>
      <c r="J10" s="265" t="s">
        <v>246</v>
      </c>
      <c r="K10" s="266"/>
      <c r="L10" s="269" t="s">
        <v>245</v>
      </c>
      <c r="M10" s="270"/>
      <c r="N10" s="265" t="s">
        <v>5</v>
      </c>
      <c r="O10" s="266"/>
    </row>
    <row r="11" spans="8:15" ht="14.4" thickBot="1" x14ac:dyDescent="0.3">
      <c r="H11" s="267"/>
      <c r="I11" s="268"/>
      <c r="J11" s="267"/>
      <c r="K11" s="268"/>
      <c r="L11" s="271"/>
      <c r="M11" s="272"/>
      <c r="N11" s="267"/>
      <c r="O11" s="268"/>
    </row>
    <row r="12" spans="8:15" x14ac:dyDescent="0.25">
      <c r="H12" s="254" t="s">
        <v>212</v>
      </c>
      <c r="I12" s="255"/>
      <c r="J12" s="258">
        <v>270000</v>
      </c>
      <c r="K12" s="258"/>
      <c r="L12" s="258">
        <v>270000</v>
      </c>
      <c r="M12" s="258"/>
      <c r="N12" s="258">
        <v>3100000</v>
      </c>
      <c r="O12" s="260"/>
    </row>
    <row r="13" spans="8:15" x14ac:dyDescent="0.25">
      <c r="H13" s="256"/>
      <c r="I13" s="257"/>
      <c r="J13" s="259"/>
      <c r="K13" s="259"/>
      <c r="L13" s="259"/>
      <c r="M13" s="259"/>
      <c r="N13" s="259"/>
      <c r="O13" s="261"/>
    </row>
    <row r="14" spans="8:15" x14ac:dyDescent="0.25">
      <c r="H14" s="256" t="s">
        <v>214</v>
      </c>
      <c r="I14" s="257"/>
      <c r="J14" s="259">
        <f>J12*0.06</f>
        <v>16200</v>
      </c>
      <c r="K14" s="259"/>
      <c r="L14" s="259">
        <f>L12*0.06</f>
        <v>16200</v>
      </c>
      <c r="M14" s="259"/>
      <c r="N14" s="259">
        <f>N12*0.06</f>
        <v>186000</v>
      </c>
      <c r="O14" s="261"/>
    </row>
    <row r="15" spans="8:15" x14ac:dyDescent="0.25">
      <c r="H15" s="256"/>
      <c r="I15" s="257"/>
      <c r="J15" s="259"/>
      <c r="K15" s="259"/>
      <c r="L15" s="259"/>
      <c r="M15" s="259"/>
      <c r="N15" s="259"/>
      <c r="O15" s="261"/>
    </row>
    <row r="16" spans="8:15" x14ac:dyDescent="0.25">
      <c r="H16" s="256" t="s">
        <v>247</v>
      </c>
      <c r="I16" s="257"/>
      <c r="J16" s="273">
        <v>630000</v>
      </c>
      <c r="K16" s="273"/>
      <c r="L16" s="273" t="s">
        <v>213</v>
      </c>
      <c r="M16" s="273"/>
      <c r="N16" s="273" t="s">
        <v>213</v>
      </c>
      <c r="O16" s="274"/>
    </row>
    <row r="17" spans="4:15" x14ac:dyDescent="0.25">
      <c r="H17" s="256"/>
      <c r="I17" s="257"/>
      <c r="J17" s="273"/>
      <c r="K17" s="273"/>
      <c r="L17" s="273"/>
      <c r="M17" s="273"/>
      <c r="N17" s="273"/>
      <c r="O17" s="274"/>
    </row>
    <row r="18" spans="4:15" x14ac:dyDescent="0.25">
      <c r="H18" s="256" t="s">
        <v>248</v>
      </c>
      <c r="I18" s="257"/>
      <c r="J18" s="273">
        <v>930000</v>
      </c>
      <c r="K18" s="273"/>
      <c r="L18" s="273">
        <v>330000</v>
      </c>
      <c r="M18" s="273"/>
      <c r="N18" s="257" t="s">
        <v>213</v>
      </c>
      <c r="O18" s="275"/>
    </row>
    <row r="19" spans="4:15" x14ac:dyDescent="0.25">
      <c r="H19" s="256"/>
      <c r="I19" s="257"/>
      <c r="J19" s="273"/>
      <c r="K19" s="273"/>
      <c r="L19" s="273"/>
      <c r="M19" s="273"/>
      <c r="N19" s="257"/>
      <c r="O19" s="275"/>
    </row>
    <row r="20" spans="4:15" x14ac:dyDescent="0.25">
      <c r="H20" s="283" t="s">
        <v>249</v>
      </c>
      <c r="I20" s="284"/>
      <c r="J20" s="287" t="s">
        <v>213</v>
      </c>
      <c r="K20" s="288"/>
      <c r="L20" s="287">
        <v>330000</v>
      </c>
      <c r="M20" s="288"/>
      <c r="N20" s="291"/>
      <c r="O20" s="292"/>
    </row>
    <row r="21" spans="4:15" x14ac:dyDescent="0.25">
      <c r="H21" s="285"/>
      <c r="I21" s="286"/>
      <c r="J21" s="289"/>
      <c r="K21" s="290"/>
      <c r="L21" s="289"/>
      <c r="M21" s="290"/>
      <c r="N21" s="293"/>
      <c r="O21" s="294"/>
    </row>
    <row r="22" spans="4:15" x14ac:dyDescent="0.25">
      <c r="H22" s="276" t="s">
        <v>8</v>
      </c>
      <c r="I22" s="277"/>
      <c r="J22" s="280">
        <f>SUM(J12:K21)</f>
        <v>1846200</v>
      </c>
      <c r="K22" s="277"/>
      <c r="L22" s="280">
        <f>SUM(L12:L21)</f>
        <v>946200</v>
      </c>
      <c r="M22" s="277"/>
      <c r="N22" s="280">
        <f>SUM(N12:O19)</f>
        <v>3286000</v>
      </c>
      <c r="O22" s="281"/>
    </row>
    <row r="23" spans="4:15" ht="14.4" thickBot="1" x14ac:dyDescent="0.3">
      <c r="H23" s="278"/>
      <c r="I23" s="279"/>
      <c r="J23" s="279"/>
      <c r="K23" s="279"/>
      <c r="L23" s="279"/>
      <c r="M23" s="279"/>
      <c r="N23" s="279"/>
      <c r="O23" s="282"/>
    </row>
    <row r="27" spans="4:15" ht="14.4" thickBot="1" x14ac:dyDescent="0.3"/>
    <row r="28" spans="4:15" ht="14.4" thickBot="1" x14ac:dyDescent="0.3">
      <c r="D28" s="248" t="s">
        <v>267</v>
      </c>
      <c r="E28" s="249"/>
      <c r="F28" s="249"/>
      <c r="G28" s="250"/>
      <c r="K28" t="s">
        <v>254</v>
      </c>
      <c r="L28" t="s">
        <v>255</v>
      </c>
    </row>
    <row r="29" spans="4:15" x14ac:dyDescent="0.25">
      <c r="D29" s="241" t="s">
        <v>252</v>
      </c>
      <c r="E29" s="242">
        <v>13</v>
      </c>
      <c r="F29" s="243">
        <v>6900</v>
      </c>
      <c r="G29" s="244">
        <f>E29*F29</f>
        <v>89700</v>
      </c>
      <c r="K29">
        <v>388</v>
      </c>
      <c r="L29">
        <f>173+129</f>
        <v>302</v>
      </c>
    </row>
    <row r="30" spans="4:15" x14ac:dyDescent="0.25">
      <c r="D30" s="229" t="s">
        <v>16</v>
      </c>
      <c r="E30" s="230"/>
      <c r="F30" s="231"/>
      <c r="G30" s="232">
        <v>270000</v>
      </c>
      <c r="K30">
        <v>388</v>
      </c>
      <c r="L30">
        <f>173+129</f>
        <v>302</v>
      </c>
    </row>
    <row r="31" spans="4:15" x14ac:dyDescent="0.25">
      <c r="D31" s="229" t="s">
        <v>214</v>
      </c>
      <c r="E31" s="230"/>
      <c r="F31" s="231"/>
      <c r="G31" s="232">
        <f>G30*6%</f>
        <v>16200</v>
      </c>
      <c r="K31">
        <v>388</v>
      </c>
      <c r="L31">
        <f>173+129</f>
        <v>302</v>
      </c>
    </row>
    <row r="32" spans="4:15" x14ac:dyDescent="0.25">
      <c r="D32" s="229" t="s">
        <v>253</v>
      </c>
      <c r="E32" s="230">
        <f>-M34</f>
        <v>64</v>
      </c>
      <c r="F32" s="231">
        <f>F29</f>
        <v>6900</v>
      </c>
      <c r="G32" s="232">
        <f>F32*E32</f>
        <v>441600</v>
      </c>
    </row>
    <row r="33" spans="4:13" x14ac:dyDescent="0.25">
      <c r="D33" s="229" t="s">
        <v>257</v>
      </c>
      <c r="E33" s="230">
        <f>150-E32</f>
        <v>86</v>
      </c>
      <c r="F33" s="231">
        <v>3800</v>
      </c>
      <c r="G33" s="232">
        <f>F33*E33</f>
        <v>326800</v>
      </c>
    </row>
    <row r="34" spans="4:13" ht="14.4" thickBot="1" x14ac:dyDescent="0.3">
      <c r="D34" s="245" t="s">
        <v>266</v>
      </c>
      <c r="E34" s="246"/>
      <c r="F34" s="246"/>
      <c r="G34" s="247">
        <f>SUM(G29:G33)</f>
        <v>1144300</v>
      </c>
      <c r="K34">
        <f>L34</f>
        <v>452</v>
      </c>
      <c r="L34">
        <f>L31+150</f>
        <v>452</v>
      </c>
      <c r="M34">
        <f>K31-K34</f>
        <v>-64</v>
      </c>
    </row>
    <row r="35" spans="4:13" ht="14.4" thickBot="1" x14ac:dyDescent="0.3">
      <c r="D35" s="248" t="s">
        <v>268</v>
      </c>
      <c r="E35" s="249"/>
      <c r="F35" s="249"/>
      <c r="G35" s="250"/>
      <c r="K35">
        <f>-160</f>
        <v>-160</v>
      </c>
    </row>
    <row r="36" spans="4:13" x14ac:dyDescent="0.25">
      <c r="D36" s="241" t="s">
        <v>256</v>
      </c>
      <c r="E36" s="242"/>
      <c r="F36" s="242"/>
      <c r="G36" s="244">
        <v>650000</v>
      </c>
      <c r="K36">
        <f>SUM(K34:K35)</f>
        <v>292</v>
      </c>
      <c r="L36">
        <f>173+129</f>
        <v>302</v>
      </c>
      <c r="M36">
        <f>K36-L36</f>
        <v>-10</v>
      </c>
    </row>
    <row r="37" spans="4:13" x14ac:dyDescent="0.25">
      <c r="D37" s="229" t="s">
        <v>214</v>
      </c>
      <c r="E37" s="230"/>
      <c r="F37" s="230"/>
      <c r="G37" s="236">
        <f>G36*6%</f>
        <v>39000</v>
      </c>
    </row>
    <row r="38" spans="4:13" x14ac:dyDescent="0.25">
      <c r="D38" s="229" t="s">
        <v>194</v>
      </c>
      <c r="E38" s="230">
        <f>-M36</f>
        <v>10</v>
      </c>
      <c r="F38" s="237">
        <f>F32</f>
        <v>6900</v>
      </c>
      <c r="G38" s="232">
        <f>F38*E38</f>
        <v>69000</v>
      </c>
    </row>
    <row r="39" spans="4:13" ht="14.4" thickBot="1" x14ac:dyDescent="0.3">
      <c r="D39" s="245" t="s">
        <v>258</v>
      </c>
      <c r="E39" s="246"/>
      <c r="F39" s="246"/>
      <c r="G39" s="247">
        <f>SUM(G36:G38)</f>
        <v>758000</v>
      </c>
    </row>
    <row r="40" spans="4:13" ht="14.4" thickBot="1" x14ac:dyDescent="0.3">
      <c r="D40" s="251" t="s">
        <v>269</v>
      </c>
      <c r="E40" s="252"/>
      <c r="F40" s="252"/>
      <c r="G40" s="253"/>
    </row>
    <row r="41" spans="4:13" x14ac:dyDescent="0.25">
      <c r="D41" s="233" t="s">
        <v>259</v>
      </c>
      <c r="E41" s="234"/>
      <c r="F41" s="234"/>
      <c r="G41" s="235">
        <f>G34+G39</f>
        <v>1902300</v>
      </c>
    </row>
    <row r="42" spans="4:13" ht="14.4" thickBot="1" x14ac:dyDescent="0.3">
      <c r="D42" s="238" t="s">
        <v>260</v>
      </c>
      <c r="E42" s="239"/>
      <c r="F42" s="239"/>
      <c r="G42" s="240">
        <v>320000</v>
      </c>
    </row>
    <row r="44" spans="4:13" x14ac:dyDescent="0.25">
      <c r="D44" t="s">
        <v>250</v>
      </c>
      <c r="E44" t="s">
        <v>251</v>
      </c>
      <c r="K44" t="s">
        <v>254</v>
      </c>
      <c r="L44" t="s">
        <v>255</v>
      </c>
    </row>
    <row r="45" spans="4:13" x14ac:dyDescent="0.25">
      <c r="D45" t="s">
        <v>252</v>
      </c>
      <c r="E45">
        <v>13</v>
      </c>
      <c r="F45" s="149">
        <v>6900</v>
      </c>
      <c r="G45" s="149">
        <f>E45*F45</f>
        <v>89700</v>
      </c>
      <c r="K45">
        <v>388</v>
      </c>
      <c r="L45">
        <f>173+129</f>
        <v>302</v>
      </c>
    </row>
    <row r="46" spans="4:13" x14ac:dyDescent="0.25">
      <c r="D46" t="s">
        <v>16</v>
      </c>
      <c r="F46" s="149"/>
      <c r="G46" s="149">
        <v>270000</v>
      </c>
      <c r="K46">
        <v>388</v>
      </c>
      <c r="L46">
        <f>173+129</f>
        <v>302</v>
      </c>
    </row>
    <row r="47" spans="4:13" x14ac:dyDescent="0.25">
      <c r="D47" t="s">
        <v>214</v>
      </c>
      <c r="F47" s="149"/>
      <c r="G47" s="149">
        <f>G46*6%</f>
        <v>16200</v>
      </c>
      <c r="K47">
        <v>388</v>
      </c>
      <c r="L47">
        <f>173+129</f>
        <v>302</v>
      </c>
    </row>
    <row r="48" spans="4:13" x14ac:dyDescent="0.25">
      <c r="D48" t="s">
        <v>174</v>
      </c>
      <c r="F48" s="149"/>
      <c r="G48" s="149">
        <v>650000</v>
      </c>
      <c r="K48">
        <f>K47-160</f>
        <v>228</v>
      </c>
      <c r="L48">
        <f>173+129</f>
        <v>302</v>
      </c>
      <c r="M48">
        <f>K48-L48</f>
        <v>-74</v>
      </c>
    </row>
    <row r="49" spans="4:8" x14ac:dyDescent="0.25">
      <c r="D49" t="s">
        <v>214</v>
      </c>
      <c r="F49" s="149"/>
      <c r="G49" s="149">
        <f>G48*6%</f>
        <v>39000</v>
      </c>
    </row>
    <row r="50" spans="4:8" x14ac:dyDescent="0.25">
      <c r="D50" t="s">
        <v>262</v>
      </c>
      <c r="F50" s="149"/>
      <c r="G50" s="149">
        <f>-M48*6900</f>
        <v>510600</v>
      </c>
    </row>
    <row r="51" spans="4:8" x14ac:dyDescent="0.25">
      <c r="D51" s="68" t="s">
        <v>261</v>
      </c>
      <c r="E51" s="68"/>
      <c r="F51" s="68"/>
      <c r="G51" s="227">
        <f>SUM(G45:G50)</f>
        <v>1575500</v>
      </c>
    </row>
    <row r="52" spans="4:8" x14ac:dyDescent="0.25">
      <c r="F52" s="149"/>
    </row>
    <row r="53" spans="4:8" x14ac:dyDescent="0.25">
      <c r="D53" t="s">
        <v>263</v>
      </c>
      <c r="F53" s="149"/>
      <c r="G53" s="149"/>
    </row>
    <row r="54" spans="4:8" x14ac:dyDescent="0.25">
      <c r="D54" t="s">
        <v>264</v>
      </c>
      <c r="E54">
        <v>150</v>
      </c>
      <c r="F54" s="149">
        <v>3800</v>
      </c>
      <c r="G54" s="149">
        <f>E54*F54</f>
        <v>570000</v>
      </c>
    </row>
    <row r="55" spans="4:8" x14ac:dyDescent="0.25">
      <c r="D55" s="68" t="s">
        <v>259</v>
      </c>
      <c r="E55" s="68"/>
      <c r="F55" s="228"/>
      <c r="G55" s="228">
        <f>G54+G51</f>
        <v>2145500</v>
      </c>
    </row>
    <row r="56" spans="4:8" x14ac:dyDescent="0.25">
      <c r="D56" t="s">
        <v>265</v>
      </c>
      <c r="G56" s="149">
        <f>H56-G54</f>
        <v>380000</v>
      </c>
      <c r="H56" s="149">
        <v>950000</v>
      </c>
    </row>
    <row r="57" spans="4:8" x14ac:dyDescent="0.25">
      <c r="G57" s="150"/>
    </row>
    <row r="58" spans="4:8" x14ac:dyDescent="0.25">
      <c r="F58" s="150"/>
      <c r="G58" s="149"/>
    </row>
    <row r="59" spans="4:8" x14ac:dyDescent="0.25">
      <c r="D59" s="68"/>
      <c r="E59" s="68"/>
      <c r="F59" s="68"/>
      <c r="G59" s="227"/>
    </row>
    <row r="61" spans="4:8" x14ac:dyDescent="0.25">
      <c r="G61" s="150"/>
    </row>
    <row r="63" spans="4:8" x14ac:dyDescent="0.25">
      <c r="G63" s="149"/>
    </row>
  </sheetData>
  <mergeCells count="32">
    <mergeCell ref="L18:M19"/>
    <mergeCell ref="N18:O19"/>
    <mergeCell ref="H22:I23"/>
    <mergeCell ref="J22:K23"/>
    <mergeCell ref="L22:M23"/>
    <mergeCell ref="N22:O23"/>
    <mergeCell ref="H20:I21"/>
    <mergeCell ref="J20:K21"/>
    <mergeCell ref="L20:M21"/>
    <mergeCell ref="N20:O21"/>
    <mergeCell ref="L14:M15"/>
    <mergeCell ref="N14:O15"/>
    <mergeCell ref="H16:I17"/>
    <mergeCell ref="J16:K17"/>
    <mergeCell ref="L16:M17"/>
    <mergeCell ref="N16:O17"/>
    <mergeCell ref="L12:M13"/>
    <mergeCell ref="N12:O13"/>
    <mergeCell ref="H9:O9"/>
    <mergeCell ref="H10:I11"/>
    <mergeCell ref="J10:K11"/>
    <mergeCell ref="L10:M11"/>
    <mergeCell ref="N10:O11"/>
    <mergeCell ref="D28:G28"/>
    <mergeCell ref="D35:G35"/>
    <mergeCell ref="D40:G40"/>
    <mergeCell ref="H12:I13"/>
    <mergeCell ref="J12:K13"/>
    <mergeCell ref="H14:I15"/>
    <mergeCell ref="J14:K15"/>
    <mergeCell ref="H18:I19"/>
    <mergeCell ref="J18:K19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M82"/>
  <sheetViews>
    <sheetView rightToLeft="1" topLeftCell="A46" workbookViewId="0">
      <selection activeCell="H59" sqref="H59"/>
    </sheetView>
  </sheetViews>
  <sheetFormatPr defaultRowHeight="13.8" x14ac:dyDescent="0.25"/>
  <cols>
    <col min="1" max="1" width="20.09765625" customWidth="1"/>
    <col min="2" max="2" width="9.796875" bestFit="1" customWidth="1"/>
    <col min="3" max="3" width="6.59765625" customWidth="1"/>
    <col min="4" max="4" width="11.5" customWidth="1"/>
    <col min="6" max="6" width="19.3984375" bestFit="1" customWidth="1"/>
    <col min="7" max="7" width="12.3984375" bestFit="1" customWidth="1"/>
    <col min="9" max="9" width="14.296875" bestFit="1" customWidth="1"/>
    <col min="10" max="10" width="9.796875" bestFit="1" customWidth="1"/>
    <col min="11" max="11" width="12.19921875" bestFit="1" customWidth="1"/>
    <col min="13" max="13" width="10.69921875" bestFit="1" customWidth="1"/>
  </cols>
  <sheetData>
    <row r="1" spans="1:10" ht="14.4" thickBot="1" x14ac:dyDescent="0.3"/>
    <row r="2" spans="1:10" x14ac:dyDescent="0.25">
      <c r="A2" s="10" t="s">
        <v>19</v>
      </c>
      <c r="B2" s="11">
        <v>2500</v>
      </c>
      <c r="C2" s="12" t="s">
        <v>128</v>
      </c>
      <c r="D2" s="13"/>
      <c r="F2" s="10" t="s">
        <v>19</v>
      </c>
      <c r="G2" s="11">
        <v>3000</v>
      </c>
      <c r="H2" s="12"/>
      <c r="I2" s="13"/>
    </row>
    <row r="3" spans="1:10" x14ac:dyDescent="0.25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5">
      <c r="A4" s="18" t="s">
        <v>53</v>
      </c>
      <c r="B4" s="19">
        <v>575</v>
      </c>
      <c r="C4" s="20">
        <v>1</v>
      </c>
      <c r="D4" s="21">
        <f>C4*B4</f>
        <v>575</v>
      </c>
      <c r="F4" s="18" t="str">
        <f t="shared" ref="F4:H7" si="0">A4</f>
        <v>עיקרי</v>
      </c>
      <c r="G4" s="19">
        <f t="shared" si="0"/>
        <v>575</v>
      </c>
      <c r="H4" s="20">
        <f t="shared" si="0"/>
        <v>1</v>
      </c>
      <c r="I4" s="21">
        <f>H4*G4</f>
        <v>575</v>
      </c>
    </row>
    <row r="5" spans="1:10" x14ac:dyDescent="0.25">
      <c r="A5" s="18" t="s">
        <v>23</v>
      </c>
      <c r="B5" s="19">
        <v>36</v>
      </c>
      <c r="C5" s="20">
        <v>0.9</v>
      </c>
      <c r="D5" s="21">
        <f>C5*B5</f>
        <v>32.4</v>
      </c>
      <c r="F5" s="18" t="str">
        <f t="shared" si="0"/>
        <v>מרחבים מוגנים</v>
      </c>
      <c r="G5" s="19">
        <f t="shared" si="0"/>
        <v>36</v>
      </c>
      <c r="H5" s="20">
        <f t="shared" si="0"/>
        <v>0.9</v>
      </c>
      <c r="I5" s="21">
        <f>H5*G5</f>
        <v>32.4</v>
      </c>
    </row>
    <row r="6" spans="1:10" x14ac:dyDescent="0.25">
      <c r="A6" s="18" t="s">
        <v>95</v>
      </c>
      <c r="B6" s="19">
        <f>186-B5</f>
        <v>150</v>
      </c>
      <c r="C6" s="20">
        <v>0.4</v>
      </c>
      <c r="D6" s="21">
        <f>C6*B6</f>
        <v>60</v>
      </c>
      <c r="F6" s="18" t="str">
        <f t="shared" si="0"/>
        <v>יתרת ש"ש</v>
      </c>
      <c r="G6" s="19">
        <f t="shared" si="0"/>
        <v>150</v>
      </c>
      <c r="H6" s="20">
        <f t="shared" si="0"/>
        <v>0.4</v>
      </c>
      <c r="I6" s="21">
        <f>H6*G6</f>
        <v>60</v>
      </c>
    </row>
    <row r="7" spans="1:10" x14ac:dyDescent="0.25">
      <c r="A7" s="18" t="s">
        <v>24</v>
      </c>
      <c r="B7" s="19"/>
      <c r="C7" s="20"/>
      <c r="D7" s="21"/>
      <c r="F7" s="18" t="str">
        <f t="shared" si="0"/>
        <v>מבנה עזר - יתרת שטח</v>
      </c>
      <c r="G7" s="19">
        <f t="shared" si="0"/>
        <v>0</v>
      </c>
      <c r="H7" s="20">
        <f t="shared" si="0"/>
        <v>0</v>
      </c>
      <c r="I7" s="21">
        <f>H7*G7</f>
        <v>0</v>
      </c>
    </row>
    <row r="8" spans="1:10" x14ac:dyDescent="0.25">
      <c r="A8" s="22" t="s">
        <v>25</v>
      </c>
      <c r="B8" s="23">
        <f>SUM(B4:B7)</f>
        <v>761</v>
      </c>
      <c r="C8" s="24"/>
      <c r="D8" s="25"/>
      <c r="E8" s="91"/>
      <c r="F8" s="22" t="s">
        <v>25</v>
      </c>
      <c r="G8" s="23">
        <f>SUM(G4:G7)</f>
        <v>761</v>
      </c>
      <c r="H8" s="24"/>
      <c r="I8" s="25"/>
    </row>
    <row r="9" spans="1:10" x14ac:dyDescent="0.25">
      <c r="A9" s="26" t="s">
        <v>26</v>
      </c>
      <c r="B9" s="27">
        <f>B2-B8</f>
        <v>1739</v>
      </c>
      <c r="C9" s="28"/>
      <c r="D9" s="29"/>
      <c r="F9" s="26" t="s">
        <v>26</v>
      </c>
      <c r="G9" s="27">
        <f>G2-G8</f>
        <v>2239</v>
      </c>
      <c r="H9" s="28"/>
      <c r="I9" s="29"/>
    </row>
    <row r="10" spans="1:10" x14ac:dyDescent="0.25">
      <c r="A10" s="22" t="s">
        <v>27</v>
      </c>
      <c r="B10" s="23">
        <v>1000</v>
      </c>
      <c r="C10" s="24">
        <v>0.25</v>
      </c>
      <c r="D10" s="25">
        <f>C10*B10</f>
        <v>250</v>
      </c>
      <c r="F10" s="22" t="s">
        <v>27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25">
      <c r="A11" s="18" t="s">
        <v>28</v>
      </c>
      <c r="B11" s="19">
        <f>B9-B10</f>
        <v>739</v>
      </c>
      <c r="C11" s="20">
        <v>0.2</v>
      </c>
      <c r="D11" s="21">
        <f>C11*B11</f>
        <v>147.80000000000001</v>
      </c>
      <c r="F11" s="18" t="s">
        <v>28</v>
      </c>
      <c r="G11" s="19">
        <f>B11</f>
        <v>739</v>
      </c>
      <c r="H11" s="20">
        <v>0.2</v>
      </c>
      <c r="I11" s="21">
        <f>H11*G11</f>
        <v>147.80000000000001</v>
      </c>
    </row>
    <row r="12" spans="1:10" x14ac:dyDescent="0.25">
      <c r="A12" s="18"/>
      <c r="B12" s="19"/>
      <c r="C12" s="20"/>
      <c r="D12" s="21"/>
      <c r="F12" s="18" t="s">
        <v>70</v>
      </c>
      <c r="G12" s="19">
        <v>500</v>
      </c>
      <c r="H12" s="20">
        <v>0.1</v>
      </c>
      <c r="I12" s="21">
        <f>G12*H12</f>
        <v>50</v>
      </c>
    </row>
    <row r="13" spans="1:10" x14ac:dyDescent="0.25">
      <c r="A13" s="30" t="s">
        <v>29</v>
      </c>
      <c r="B13" s="31">
        <f>SUM(B4:B11)</f>
        <v>5000</v>
      </c>
      <c r="C13" s="32"/>
      <c r="D13" s="33">
        <f>SUM(D4:D12)</f>
        <v>1065.2</v>
      </c>
      <c r="F13" s="30" t="s">
        <v>29</v>
      </c>
      <c r="G13" s="31">
        <f>SUM(G4:G11)</f>
        <v>5500</v>
      </c>
      <c r="H13" s="32"/>
      <c r="I13" s="33">
        <f>SUM(I4:I12)</f>
        <v>1115.2</v>
      </c>
      <c r="J13" s="74"/>
    </row>
    <row r="14" spans="1:10" ht="14.4" thickBot="1" x14ac:dyDescent="0.3">
      <c r="A14" s="34" t="s">
        <v>30</v>
      </c>
      <c r="B14" s="35"/>
      <c r="C14" s="36"/>
      <c r="D14" s="37">
        <f>D13</f>
        <v>1065.2</v>
      </c>
      <c r="E14" s="72"/>
      <c r="F14" s="34" t="s">
        <v>30</v>
      </c>
      <c r="G14" s="35"/>
      <c r="H14" s="36"/>
      <c r="I14" s="37">
        <f>I13</f>
        <v>1115.2</v>
      </c>
    </row>
    <row r="15" spans="1:10" x14ac:dyDescent="0.25">
      <c r="A15" t="s">
        <v>64</v>
      </c>
      <c r="D15" s="17">
        <v>247000</v>
      </c>
      <c r="F15" t="s">
        <v>64</v>
      </c>
      <c r="I15" s="17">
        <v>263000</v>
      </c>
    </row>
    <row r="16" spans="1:10" ht="14.4" thickBot="1" x14ac:dyDescent="0.3">
      <c r="D16" s="17"/>
      <c r="I16" s="17"/>
    </row>
    <row r="17" spans="1:9" x14ac:dyDescent="0.25">
      <c r="A17" s="10" t="s">
        <v>67</v>
      </c>
      <c r="B17" s="11">
        <v>2500</v>
      </c>
      <c r="C17" s="12" t="s">
        <v>96</v>
      </c>
      <c r="D17" s="13"/>
      <c r="I17" s="17"/>
    </row>
    <row r="18" spans="1:9" x14ac:dyDescent="0.25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25">
      <c r="A19" s="18" t="s">
        <v>53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25">
      <c r="A20" s="18" t="s">
        <v>66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25">
      <c r="A21" s="18" t="s">
        <v>97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25">
      <c r="A22" s="18" t="s">
        <v>98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25">
      <c r="A23" s="18"/>
      <c r="B23" s="19"/>
      <c r="C23" s="20"/>
      <c r="D23" s="21"/>
      <c r="I23" s="17"/>
    </row>
    <row r="24" spans="1:9" x14ac:dyDescent="0.25">
      <c r="A24" s="18"/>
      <c r="B24" s="19"/>
      <c r="C24" s="20"/>
      <c r="D24" s="21"/>
      <c r="H24">
        <f>876+73</f>
        <v>949</v>
      </c>
      <c r="I24" s="17"/>
    </row>
    <row r="25" spans="1:9" x14ac:dyDescent="0.25">
      <c r="A25" s="22" t="s">
        <v>68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25">
      <c r="A26" s="18"/>
      <c r="B26" s="19"/>
      <c r="C26" s="20"/>
      <c r="D26" s="21"/>
      <c r="I26" s="17"/>
    </row>
    <row r="27" spans="1:9" x14ac:dyDescent="0.25">
      <c r="A27" s="30" t="s">
        <v>87</v>
      </c>
      <c r="B27" s="31"/>
      <c r="C27" s="32"/>
      <c r="D27" s="33"/>
      <c r="I27" s="17"/>
    </row>
    <row r="28" spans="1:9" ht="14.4" thickBot="1" x14ac:dyDescent="0.3">
      <c r="A28" s="34" t="s">
        <v>30</v>
      </c>
      <c r="B28" s="35"/>
      <c r="C28" s="36"/>
      <c r="D28" s="37"/>
      <c r="I28" s="17"/>
    </row>
    <row r="29" spans="1:9" ht="14.4" thickBot="1" x14ac:dyDescent="0.3">
      <c r="D29" s="17"/>
      <c r="I29" s="17"/>
    </row>
    <row r="30" spans="1:9" ht="14.4" thickBot="1" x14ac:dyDescent="0.3">
      <c r="A30" s="295" t="s">
        <v>204</v>
      </c>
      <c r="B30" s="296"/>
      <c r="C30" s="296"/>
      <c r="D30" s="297"/>
      <c r="I30" s="17"/>
    </row>
    <row r="31" spans="1:9" x14ac:dyDescent="0.25">
      <c r="A31" s="214" t="s">
        <v>205</v>
      </c>
      <c r="B31" s="12"/>
      <c r="C31" s="12"/>
      <c r="D31" s="215">
        <v>186</v>
      </c>
      <c r="I31" s="17"/>
    </row>
    <row r="32" spans="1:9" x14ac:dyDescent="0.25">
      <c r="A32" s="18" t="s">
        <v>206</v>
      </c>
      <c r="D32" s="216">
        <v>160</v>
      </c>
      <c r="I32" s="17"/>
    </row>
    <row r="33" spans="1:11" ht="14.4" thickBot="1" x14ac:dyDescent="0.3">
      <c r="A33" s="101" t="s">
        <v>207</v>
      </c>
      <c r="B33" s="103"/>
      <c r="C33" s="103"/>
      <c r="D33" s="217">
        <f>D31-D32</f>
        <v>26</v>
      </c>
      <c r="I33" s="17"/>
    </row>
    <row r="34" spans="1:11" x14ac:dyDescent="0.25">
      <c r="A34" s="10" t="s">
        <v>208</v>
      </c>
      <c r="B34" s="12"/>
      <c r="C34" s="12"/>
      <c r="D34" s="215">
        <v>240</v>
      </c>
      <c r="I34" s="17"/>
    </row>
    <row r="35" spans="1:11" x14ac:dyDescent="0.25">
      <c r="A35" s="18" t="s">
        <v>206</v>
      </c>
      <c r="D35" s="216">
        <v>160</v>
      </c>
      <c r="I35" s="17"/>
    </row>
    <row r="36" spans="1:11" ht="14.4" thickBot="1" x14ac:dyDescent="0.3">
      <c r="A36" s="101" t="s">
        <v>207</v>
      </c>
      <c r="B36" s="103"/>
      <c r="C36" s="103"/>
      <c r="D36" s="217">
        <f>D34-D35</f>
        <v>80</v>
      </c>
      <c r="I36" s="17"/>
    </row>
    <row r="37" spans="1:11" ht="14.4" thickBot="1" x14ac:dyDescent="0.3">
      <c r="A37" s="18"/>
      <c r="D37" s="216"/>
      <c r="I37" s="17"/>
    </row>
    <row r="38" spans="1:11" ht="14.4" thickBot="1" x14ac:dyDescent="0.3">
      <c r="A38" s="218" t="s">
        <v>209</v>
      </c>
      <c r="B38" s="219"/>
      <c r="C38" s="219"/>
      <c r="D38" s="220"/>
      <c r="I38" s="17"/>
    </row>
    <row r="39" spans="1:11" x14ac:dyDescent="0.25">
      <c r="D39" s="17"/>
      <c r="I39" s="17"/>
    </row>
    <row r="40" spans="1:11" x14ac:dyDescent="0.25">
      <c r="D40" s="17"/>
      <c r="I40" s="17"/>
    </row>
    <row r="41" spans="1:11" x14ac:dyDescent="0.25">
      <c r="A41" t="s">
        <v>210</v>
      </c>
      <c r="D41" s="17">
        <f>D14+D28-D38</f>
        <v>1065.2</v>
      </c>
      <c r="I41" s="17"/>
    </row>
    <row r="42" spans="1:11" x14ac:dyDescent="0.25">
      <c r="D42" s="17"/>
      <c r="I42" s="17"/>
    </row>
    <row r="43" spans="1:11" x14ac:dyDescent="0.25">
      <c r="D43" s="17"/>
      <c r="I43" s="17"/>
    </row>
    <row r="44" spans="1:11" x14ac:dyDescent="0.25">
      <c r="D44" s="17"/>
      <c r="I44" s="17"/>
    </row>
    <row r="45" spans="1:11" x14ac:dyDescent="0.25">
      <c r="D45" s="17"/>
      <c r="I45" s="17"/>
    </row>
    <row r="46" spans="1:11" ht="14.4" thickBot="1" x14ac:dyDescent="0.3">
      <c r="A46" s="39" t="s">
        <v>159</v>
      </c>
    </row>
    <row r="47" spans="1:11" x14ac:dyDescent="0.25">
      <c r="A47" s="10" t="s">
        <v>49</v>
      </c>
      <c r="B47" s="99">
        <v>350</v>
      </c>
      <c r="C47" s="12" t="s">
        <v>72</v>
      </c>
      <c r="D47" s="13"/>
      <c r="F47" s="10" t="s">
        <v>57</v>
      </c>
      <c r="G47" s="12"/>
      <c r="H47" s="12"/>
      <c r="I47" s="13"/>
      <c r="J47" t="s">
        <v>60</v>
      </c>
    </row>
    <row r="48" spans="1:11" x14ac:dyDescent="0.25">
      <c r="A48" s="22" t="s">
        <v>50</v>
      </c>
      <c r="B48" s="40">
        <v>180</v>
      </c>
      <c r="C48" s="24">
        <v>1</v>
      </c>
      <c r="D48" s="25">
        <f t="shared" ref="D48:D53" si="1">B48*C48</f>
        <v>180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</row>
    <row r="49" spans="1:13" x14ac:dyDescent="0.25">
      <c r="A49" s="18" t="s">
        <v>54</v>
      </c>
      <c r="B49" s="19"/>
      <c r="C49" s="20"/>
      <c r="D49" s="21">
        <f t="shared" si="1"/>
        <v>0</v>
      </c>
      <c r="F49" s="18" t="s">
        <v>51</v>
      </c>
      <c r="G49" s="91">
        <f>B47-G48</f>
        <v>190</v>
      </c>
      <c r="H49">
        <v>0.25</v>
      </c>
      <c r="I49" s="21">
        <f>G49*H49</f>
        <v>47.5</v>
      </c>
      <c r="J49" s="17"/>
      <c r="K49" s="17"/>
    </row>
    <row r="50" spans="1:13" x14ac:dyDescent="0.25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58</v>
      </c>
      <c r="G50" s="108"/>
      <c r="H50" s="108"/>
      <c r="I50" s="109">
        <f>I48+I49</f>
        <v>207.5</v>
      </c>
      <c r="J50" s="17">
        <f>'תחשיב לפי שווי שומה (2)'!B8</f>
        <v>9000</v>
      </c>
      <c r="K50" s="17">
        <f>I50*J50</f>
        <v>1867500</v>
      </c>
      <c r="L50" s="110">
        <v>0.29249999999999998</v>
      </c>
      <c r="M50" s="91">
        <f>K50*L50</f>
        <v>546243.75</v>
      </c>
    </row>
    <row r="51" spans="1:13" ht="14.4" thickBot="1" x14ac:dyDescent="0.3">
      <c r="A51" s="18"/>
      <c r="B51" s="19"/>
      <c r="C51" s="20"/>
      <c r="D51" s="21"/>
      <c r="F51" s="101" t="s">
        <v>59</v>
      </c>
      <c r="G51" s="103"/>
      <c r="H51" s="103"/>
      <c r="I51" s="104">
        <f>D57-I50</f>
        <v>34.800000000000011</v>
      </c>
      <c r="J51" s="17">
        <f>J50</f>
        <v>9000</v>
      </c>
      <c r="K51" s="17">
        <f>I51*J51</f>
        <v>313200.00000000012</v>
      </c>
      <c r="L51" s="110">
        <v>0.33</v>
      </c>
      <c r="M51" s="91">
        <f>K51*L51</f>
        <v>103356.00000000004</v>
      </c>
    </row>
    <row r="52" spans="1:13" x14ac:dyDescent="0.25">
      <c r="A52" s="18"/>
      <c r="B52" s="19"/>
      <c r="C52" s="20"/>
      <c r="D52" s="21"/>
      <c r="M52" s="91">
        <f>SUM(M50:M51)</f>
        <v>649599.75</v>
      </c>
    </row>
    <row r="53" spans="1:13" x14ac:dyDescent="0.25">
      <c r="A53" s="100" t="s">
        <v>24</v>
      </c>
      <c r="B53" s="71">
        <f>60-B50</f>
        <v>48</v>
      </c>
      <c r="C53" s="28">
        <v>0.5</v>
      </c>
      <c r="D53" s="29">
        <f t="shared" si="1"/>
        <v>24</v>
      </c>
    </row>
    <row r="54" spans="1:13" x14ac:dyDescent="0.25">
      <c r="A54" s="22" t="s">
        <v>25</v>
      </c>
      <c r="B54" s="23">
        <f>SUM(B48:B53)-B49</f>
        <v>240</v>
      </c>
      <c r="C54" s="24"/>
      <c r="D54" s="25"/>
    </row>
    <row r="55" spans="1:13" x14ac:dyDescent="0.25">
      <c r="A55" s="18" t="s">
        <v>26</v>
      </c>
      <c r="B55" s="19">
        <f>B47-B54</f>
        <v>110</v>
      </c>
      <c r="C55" s="20"/>
      <c r="D55" s="21"/>
    </row>
    <row r="56" spans="1:13" x14ac:dyDescent="0.25">
      <c r="A56" s="26" t="s">
        <v>27</v>
      </c>
      <c r="B56" s="105">
        <f>B55</f>
        <v>110</v>
      </c>
      <c r="C56" s="106">
        <v>0.25</v>
      </c>
      <c r="D56" s="107">
        <f>B56*C56</f>
        <v>27.5</v>
      </c>
    </row>
    <row r="57" spans="1:13" ht="14.4" thickBot="1" x14ac:dyDescent="0.3">
      <c r="A57" s="101" t="s">
        <v>29</v>
      </c>
      <c r="B57" s="102"/>
      <c r="C57" s="103"/>
      <c r="D57" s="104">
        <f>SUM(D48:D56)</f>
        <v>242.3</v>
      </c>
      <c r="F57" s="91"/>
      <c r="I57">
        <f>J51*D57</f>
        <v>2180700</v>
      </c>
    </row>
    <row r="58" spans="1:13" x14ac:dyDescent="0.25">
      <c r="A58" s="18" t="s">
        <v>73</v>
      </c>
      <c r="B58" s="19"/>
      <c r="D58" s="91">
        <v>100000</v>
      </c>
      <c r="I58" s="91">
        <f>-D58</f>
        <v>-100000</v>
      </c>
    </row>
    <row r="59" spans="1:13" x14ac:dyDescent="0.25">
      <c r="B59" s="19"/>
      <c r="D59" s="91"/>
      <c r="H59">
        <f>I59*0.3*0.5</f>
        <v>312105</v>
      </c>
      <c r="I59" s="149">
        <f>SUM(I57:I58)</f>
        <v>2080700</v>
      </c>
    </row>
    <row r="60" spans="1:13" x14ac:dyDescent="0.25">
      <c r="B60" s="19"/>
      <c r="D60" s="91"/>
      <c r="I60">
        <f>9000*0.85/2</f>
        <v>3825</v>
      </c>
    </row>
    <row r="61" spans="1:13" x14ac:dyDescent="0.25">
      <c r="A61" t="s">
        <v>240</v>
      </c>
      <c r="B61" s="19"/>
      <c r="D61" s="91"/>
    </row>
    <row r="62" spans="1:13" x14ac:dyDescent="0.25">
      <c r="A62" t="s">
        <v>241</v>
      </c>
      <c r="B62" s="19"/>
      <c r="D62" s="91">
        <f>D57</f>
        <v>242.3</v>
      </c>
    </row>
    <row r="63" spans="1:13" x14ac:dyDescent="0.25">
      <c r="A63" t="s">
        <v>21</v>
      </c>
      <c r="B63" s="19"/>
      <c r="D63" s="91">
        <v>0.15</v>
      </c>
    </row>
    <row r="64" spans="1:13" x14ac:dyDescent="0.25">
      <c r="A64" t="s">
        <v>8</v>
      </c>
      <c r="B64" s="19"/>
      <c r="D64" s="91">
        <f>D63*D62</f>
        <v>36.344999999999999</v>
      </c>
    </row>
    <row r="65" spans="1:9" x14ac:dyDescent="0.25">
      <c r="A65" t="s">
        <v>242</v>
      </c>
      <c r="B65" s="19"/>
      <c r="D65" s="91">
        <f>D57</f>
        <v>242.3</v>
      </c>
    </row>
    <row r="66" spans="1:9" x14ac:dyDescent="0.25">
      <c r="A66" t="s">
        <v>151</v>
      </c>
      <c r="B66" s="19"/>
      <c r="D66" s="91">
        <f>D65-D64</f>
        <v>205.95500000000001</v>
      </c>
    </row>
    <row r="67" spans="1:9" x14ac:dyDescent="0.25">
      <c r="A67" t="s">
        <v>152</v>
      </c>
      <c r="B67" s="19"/>
      <c r="D67" s="91">
        <f>D66/2</f>
        <v>102.97750000000001</v>
      </c>
    </row>
    <row r="68" spans="1:9" x14ac:dyDescent="0.25">
      <c r="A68" t="s">
        <v>243</v>
      </c>
      <c r="B68" s="19"/>
      <c r="D68" s="91">
        <f>D67*J51</f>
        <v>926797.5</v>
      </c>
    </row>
    <row r="69" spans="1:9" x14ac:dyDescent="0.25">
      <c r="B69" s="19"/>
      <c r="D69" s="91"/>
    </row>
    <row r="71" spans="1:9" ht="14.4" thickBot="1" x14ac:dyDescent="0.3">
      <c r="A71" t="s">
        <v>94</v>
      </c>
      <c r="B71">
        <v>2500</v>
      </c>
      <c r="F71" t="str">
        <f>A71</f>
        <v>לפי שומת הררי 2021</v>
      </c>
      <c r="G71">
        <v>3000</v>
      </c>
    </row>
    <row r="72" spans="1:9" x14ac:dyDescent="0.25">
      <c r="A72" s="10" t="s">
        <v>16</v>
      </c>
      <c r="B72" s="41" t="s">
        <v>20</v>
      </c>
      <c r="C72" s="41" t="s">
        <v>21</v>
      </c>
      <c r="D72" s="42" t="s">
        <v>22</v>
      </c>
      <c r="F72" s="10" t="s">
        <v>16</v>
      </c>
      <c r="G72" s="41" t="s">
        <v>20</v>
      </c>
      <c r="H72" s="41" t="s">
        <v>21</v>
      </c>
      <c r="I72" s="42" t="s">
        <v>22</v>
      </c>
    </row>
    <row r="73" spans="1:9" x14ac:dyDescent="0.25">
      <c r="A73" s="18" t="s">
        <v>14</v>
      </c>
      <c r="B73">
        <v>160</v>
      </c>
      <c r="C73">
        <v>1</v>
      </c>
      <c r="D73" s="21">
        <f t="shared" ref="D73:D78" si="2">C73*B73</f>
        <v>160</v>
      </c>
      <c r="F73" s="18" t="s">
        <v>14</v>
      </c>
      <c r="G73">
        <v>160</v>
      </c>
      <c r="H73">
        <v>1</v>
      </c>
      <c r="I73" s="21">
        <f>H73*G73</f>
        <v>160</v>
      </c>
    </row>
    <row r="74" spans="1:9" x14ac:dyDescent="0.25">
      <c r="A74" s="18" t="s">
        <v>15</v>
      </c>
      <c r="B74">
        <v>160</v>
      </c>
      <c r="C74">
        <v>1</v>
      </c>
      <c r="D74" s="21">
        <f t="shared" si="2"/>
        <v>160</v>
      </c>
      <c r="F74" s="18" t="s">
        <v>15</v>
      </c>
      <c r="G74">
        <v>160</v>
      </c>
      <c r="H74">
        <v>1</v>
      </c>
      <c r="I74" s="21">
        <f>H74*G74</f>
        <v>160</v>
      </c>
    </row>
    <row r="75" spans="1:9" x14ac:dyDescent="0.25">
      <c r="A75" s="18" t="s">
        <v>31</v>
      </c>
      <c r="B75">
        <v>55</v>
      </c>
      <c r="C75">
        <v>1</v>
      </c>
      <c r="D75" s="21">
        <f t="shared" si="2"/>
        <v>55</v>
      </c>
      <c r="F75" s="18" t="s">
        <v>31</v>
      </c>
      <c r="G75">
        <v>55</v>
      </c>
      <c r="H75">
        <v>1</v>
      </c>
      <c r="I75" s="21">
        <f>H75*G75</f>
        <v>55</v>
      </c>
    </row>
    <row r="76" spans="1:9" x14ac:dyDescent="0.25">
      <c r="A76" s="18" t="s">
        <v>25</v>
      </c>
      <c r="B76" s="40">
        <f>SUM(B73:B75)</f>
        <v>375</v>
      </c>
      <c r="D76" s="21"/>
      <c r="F76" s="18" t="s">
        <v>25</v>
      </c>
      <c r="G76" s="40">
        <f>SUM(G73:G75)</f>
        <v>375</v>
      </c>
      <c r="I76" s="21"/>
    </row>
    <row r="77" spans="1:9" x14ac:dyDescent="0.25">
      <c r="A77" s="18" t="s">
        <v>32</v>
      </c>
      <c r="B77">
        <v>1125</v>
      </c>
      <c r="C77" s="20">
        <v>0.25</v>
      </c>
      <c r="D77" s="21">
        <f t="shared" si="2"/>
        <v>281.25</v>
      </c>
      <c r="F77" s="18" t="s">
        <v>32</v>
      </c>
      <c r="G77">
        <v>1125</v>
      </c>
      <c r="H77" s="20">
        <v>0.25</v>
      </c>
      <c r="I77" s="21">
        <f>H77*G77</f>
        <v>281.25</v>
      </c>
    </row>
    <row r="78" spans="1:9" x14ac:dyDescent="0.25">
      <c r="A78" s="18" t="s">
        <v>52</v>
      </c>
      <c r="B78">
        <f>B71-B76-B77</f>
        <v>1000</v>
      </c>
      <c r="C78" s="20">
        <v>0.15</v>
      </c>
      <c r="D78" s="21">
        <f t="shared" si="2"/>
        <v>150</v>
      </c>
      <c r="F78" s="18" t="s">
        <v>52</v>
      </c>
      <c r="G78">
        <v>1000</v>
      </c>
      <c r="H78" s="20">
        <v>0.15</v>
      </c>
      <c r="I78" s="21">
        <f>H78*G78</f>
        <v>150</v>
      </c>
    </row>
    <row r="79" spans="1:9" x14ac:dyDescent="0.25">
      <c r="A79" s="18"/>
      <c r="C79" s="20"/>
      <c r="D79" s="21"/>
      <c r="F79" s="18" t="s">
        <v>71</v>
      </c>
      <c r="G79">
        <v>500</v>
      </c>
      <c r="H79" s="20">
        <v>0.1</v>
      </c>
      <c r="I79" s="128">
        <f>G79*H79</f>
        <v>50</v>
      </c>
    </row>
    <row r="80" spans="1:9" x14ac:dyDescent="0.25">
      <c r="A80" s="43" t="s">
        <v>29</v>
      </c>
      <c r="B80" s="40">
        <f>SUM(B73:B78)</f>
        <v>2875</v>
      </c>
      <c r="C80" s="40"/>
      <c r="D80" s="44">
        <f>SUM(D73:D78)</f>
        <v>806.25</v>
      </c>
      <c r="F80" s="43" t="s">
        <v>29</v>
      </c>
      <c r="G80" s="40">
        <f>SUM(G73:G79)</f>
        <v>3375</v>
      </c>
      <c r="H80" s="40"/>
      <c r="I80" s="44">
        <f>SUM(I73:I79)</f>
        <v>856.25</v>
      </c>
    </row>
    <row r="81" spans="1:9" ht="14.4" thickBot="1" x14ac:dyDescent="0.3">
      <c r="A81" s="34" t="s">
        <v>30</v>
      </c>
      <c r="B81" s="45"/>
      <c r="C81" s="45"/>
      <c r="D81" s="46">
        <f>D80</f>
        <v>806.25</v>
      </c>
      <c r="E81" s="72"/>
      <c r="F81" s="34" t="s">
        <v>30</v>
      </c>
      <c r="G81" s="45"/>
      <c r="H81" s="45"/>
      <c r="I81" s="46">
        <f>I80</f>
        <v>856.25</v>
      </c>
    </row>
    <row r="82" spans="1:9" x14ac:dyDescent="0.25">
      <c r="A82" t="s">
        <v>64</v>
      </c>
      <c r="D82" s="17">
        <v>175000</v>
      </c>
      <c r="F82" t="s">
        <v>64</v>
      </c>
      <c r="I82" s="17">
        <v>190000</v>
      </c>
    </row>
  </sheetData>
  <mergeCells count="1">
    <mergeCell ref="A30:D3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M43"/>
  <sheetViews>
    <sheetView rightToLeft="1" topLeftCell="A3" zoomScale="85" zoomScaleNormal="85" workbookViewId="0">
      <selection activeCell="E41" sqref="E41"/>
    </sheetView>
  </sheetViews>
  <sheetFormatPr defaultRowHeight="13.8" x14ac:dyDescent="0.25"/>
  <cols>
    <col min="1" max="1" width="5.296875" customWidth="1"/>
    <col min="2" max="2" width="12.5" customWidth="1"/>
    <col min="3" max="3" width="8.69921875" bestFit="1" customWidth="1"/>
    <col min="4" max="4" width="10.296875" style="17" customWidth="1"/>
    <col min="5" max="5" width="10.796875" style="17" bestFit="1" customWidth="1"/>
    <col min="6" max="6" width="8.296875" style="17" bestFit="1" customWidth="1"/>
    <col min="7" max="7" width="8.59765625" bestFit="1" customWidth="1"/>
    <col min="8" max="8" width="14.59765625" bestFit="1" customWidth="1"/>
    <col min="9" max="9" width="12.09765625" bestFit="1" customWidth="1"/>
    <col min="10" max="10" width="14.59765625" bestFit="1" customWidth="1"/>
  </cols>
  <sheetData>
    <row r="2" spans="2:13" ht="15.6" x14ac:dyDescent="0.4">
      <c r="B2" s="39" t="s">
        <v>155</v>
      </c>
      <c r="C2" s="39"/>
      <c r="D2" s="131"/>
    </row>
    <row r="3" spans="2:13" x14ac:dyDescent="0.25">
      <c r="B3" t="s">
        <v>93</v>
      </c>
      <c r="C3" s="149">
        <f>E40</f>
        <v>9921.0157230383102</v>
      </c>
      <c r="D3" s="149"/>
      <c r="G3" s="190"/>
      <c r="H3" s="149"/>
      <c r="I3" s="150"/>
      <c r="J3" s="150"/>
    </row>
    <row r="4" spans="2:13" x14ac:dyDescent="0.25">
      <c r="B4" t="s">
        <v>129</v>
      </c>
      <c r="C4" s="187"/>
      <c r="D4" s="38"/>
      <c r="G4" s="190"/>
      <c r="J4" s="150"/>
    </row>
    <row r="5" spans="2:13" x14ac:dyDescent="0.25">
      <c r="B5" t="s">
        <v>130</v>
      </c>
    </row>
    <row r="6" spans="2:13" x14ac:dyDescent="0.25">
      <c r="B6" t="s">
        <v>131</v>
      </c>
      <c r="C6" s="150">
        <f>E42</f>
        <v>8928.9141507344793</v>
      </c>
      <c r="D6" s="149"/>
    </row>
    <row r="7" spans="2:13" x14ac:dyDescent="0.25">
      <c r="B7" t="s">
        <v>145</v>
      </c>
      <c r="C7" s="91">
        <f>E43</f>
        <v>9000</v>
      </c>
    </row>
    <row r="8" spans="2:13" x14ac:dyDescent="0.25">
      <c r="C8" s="150"/>
    </row>
    <row r="9" spans="2:13" x14ac:dyDescent="0.25">
      <c r="B9" s="39" t="s">
        <v>132</v>
      </c>
      <c r="C9" s="151"/>
    </row>
    <row r="10" spans="2:13" ht="27.6" x14ac:dyDescent="0.4">
      <c r="B10" s="39" t="s">
        <v>134</v>
      </c>
      <c r="C10" s="39" t="s">
        <v>133</v>
      </c>
      <c r="D10" s="131" t="s">
        <v>135</v>
      </c>
      <c r="E10" s="131" t="s">
        <v>136</v>
      </c>
      <c r="F10" s="131" t="s">
        <v>137</v>
      </c>
      <c r="G10" s="131" t="s">
        <v>138</v>
      </c>
      <c r="H10" s="189" t="s">
        <v>139</v>
      </c>
      <c r="I10" s="131" t="s">
        <v>140</v>
      </c>
      <c r="J10" s="131" t="s">
        <v>141</v>
      </c>
      <c r="K10" s="131" t="s">
        <v>142</v>
      </c>
      <c r="L10" s="131" t="s">
        <v>143</v>
      </c>
      <c r="M10" s="131" t="s">
        <v>144</v>
      </c>
    </row>
    <row r="11" spans="2:13" x14ac:dyDescent="0.25">
      <c r="B11" s="188"/>
    </row>
    <row r="13" spans="2:13" x14ac:dyDescent="0.25">
      <c r="C13" s="150"/>
    </row>
    <row r="14" spans="2:13" x14ac:dyDescent="0.25">
      <c r="C14" s="150"/>
    </row>
    <row r="15" spans="2:13" x14ac:dyDescent="0.25">
      <c r="B15" s="39"/>
    </row>
    <row r="16" spans="2:13" x14ac:dyDescent="0.25">
      <c r="C16" s="149"/>
    </row>
    <row r="17" spans="2:6" x14ac:dyDescent="0.25">
      <c r="C17" s="17"/>
    </row>
    <row r="19" spans="2:6" x14ac:dyDescent="0.25">
      <c r="C19" s="150"/>
    </row>
    <row r="20" spans="2:6" x14ac:dyDescent="0.25">
      <c r="C20" s="150"/>
    </row>
    <row r="21" spans="2:6" x14ac:dyDescent="0.25">
      <c r="C21" s="150"/>
    </row>
    <row r="30" spans="2:6" x14ac:dyDescent="0.25">
      <c r="B30" s="299" t="s">
        <v>219</v>
      </c>
      <c r="C30" s="299"/>
      <c r="D30" s="299"/>
      <c r="E30" s="299"/>
      <c r="F30" s="221" t="s">
        <v>220</v>
      </c>
    </row>
    <row r="31" spans="2:6" x14ac:dyDescent="0.25">
      <c r="B31" s="222" t="s">
        <v>221</v>
      </c>
      <c r="C31" s="222" t="s">
        <v>222</v>
      </c>
      <c r="D31" s="221" t="s">
        <v>21</v>
      </c>
      <c r="E31" s="221" t="s">
        <v>8</v>
      </c>
      <c r="F31" s="221">
        <v>500</v>
      </c>
    </row>
    <row r="32" spans="2:6" x14ac:dyDescent="0.25">
      <c r="B32" s="222" t="s">
        <v>223</v>
      </c>
      <c r="C32" s="222">
        <f>200/2-3.5</f>
        <v>96.5</v>
      </c>
      <c r="D32" s="221">
        <v>1</v>
      </c>
      <c r="E32" s="221">
        <f t="shared" ref="E32:E36" si="0">D32*C32</f>
        <v>96.5</v>
      </c>
      <c r="F32" s="221"/>
    </row>
    <row r="33" spans="2:6" x14ac:dyDescent="0.25">
      <c r="B33" s="222" t="s">
        <v>66</v>
      </c>
      <c r="C33" s="222">
        <v>7</v>
      </c>
      <c r="D33" s="221">
        <v>0.9</v>
      </c>
      <c r="E33" s="221">
        <f t="shared" si="0"/>
        <v>6.3</v>
      </c>
      <c r="F33" s="221"/>
    </row>
    <row r="34" spans="2:6" x14ac:dyDescent="0.25">
      <c r="B34" s="222" t="s">
        <v>224</v>
      </c>
      <c r="C34" s="222">
        <f>200-C32</f>
        <v>103.5</v>
      </c>
      <c r="D34" s="221">
        <v>1</v>
      </c>
      <c r="E34" s="221">
        <f t="shared" si="0"/>
        <v>103.5</v>
      </c>
      <c r="F34" s="221"/>
    </row>
    <row r="35" spans="2:6" x14ac:dyDescent="0.25">
      <c r="B35" s="222" t="s">
        <v>95</v>
      </c>
      <c r="C35" s="222">
        <f>40-C33</f>
        <v>33</v>
      </c>
      <c r="D35" s="221">
        <v>0.5</v>
      </c>
      <c r="E35" s="221">
        <f t="shared" si="0"/>
        <v>16.5</v>
      </c>
      <c r="F35" s="221"/>
    </row>
    <row r="36" spans="2:6" x14ac:dyDescent="0.25">
      <c r="B36" s="222" t="s">
        <v>225</v>
      </c>
      <c r="C36" s="222">
        <v>50</v>
      </c>
      <c r="D36" s="221">
        <v>0.5</v>
      </c>
      <c r="E36" s="221">
        <f t="shared" si="0"/>
        <v>25</v>
      </c>
      <c r="F36" s="221"/>
    </row>
    <row r="37" spans="2:6" x14ac:dyDescent="0.25">
      <c r="B37" s="222" t="s">
        <v>51</v>
      </c>
      <c r="C37" s="223">
        <f>F31-C32-C33-C35</f>
        <v>363.5</v>
      </c>
      <c r="D37" s="221">
        <v>0.25</v>
      </c>
      <c r="E37" s="221">
        <f>D37*C37</f>
        <v>90.875</v>
      </c>
      <c r="F37" s="221"/>
    </row>
    <row r="38" spans="2:6" x14ac:dyDescent="0.25">
      <c r="B38" s="299" t="s">
        <v>226</v>
      </c>
      <c r="C38" s="299"/>
      <c r="D38" s="299"/>
      <c r="E38" s="221">
        <f>SUM(E32:E37)</f>
        <v>338.67500000000001</v>
      </c>
      <c r="F38" s="221"/>
    </row>
    <row r="39" spans="2:6" x14ac:dyDescent="0.25">
      <c r="B39" s="299" t="s">
        <v>227</v>
      </c>
      <c r="C39" s="299"/>
      <c r="D39" s="299"/>
      <c r="E39" s="221">
        <f>3200000*1.05</f>
        <v>3360000</v>
      </c>
      <c r="F39" s="221"/>
    </row>
    <row r="40" spans="2:6" x14ac:dyDescent="0.25">
      <c r="B40" s="300" t="s">
        <v>228</v>
      </c>
      <c r="C40" s="300"/>
      <c r="D40" s="300"/>
      <c r="E40" s="224">
        <f>E39/E38</f>
        <v>9921.0157230383102</v>
      </c>
      <c r="F40" s="221"/>
    </row>
    <row r="41" spans="2:6" x14ac:dyDescent="0.25">
      <c r="B41" s="301" t="s">
        <v>21</v>
      </c>
      <c r="C41" s="301"/>
      <c r="D41" s="301"/>
      <c r="E41" s="38">
        <v>0.9</v>
      </c>
    </row>
    <row r="42" spans="2:6" x14ac:dyDescent="0.25">
      <c r="B42" s="298" t="s">
        <v>229</v>
      </c>
      <c r="C42" s="298"/>
      <c r="D42" s="298"/>
      <c r="E42" s="17">
        <f>E41*E40</f>
        <v>8928.9141507344793</v>
      </c>
    </row>
    <row r="43" spans="2:6" x14ac:dyDescent="0.25">
      <c r="C43" t="s">
        <v>230</v>
      </c>
      <c r="E43" s="17">
        <v>9000</v>
      </c>
    </row>
  </sheetData>
  <mergeCells count="6">
    <mergeCell ref="B42:D42"/>
    <mergeCell ref="B30:E30"/>
    <mergeCell ref="B38:D38"/>
    <mergeCell ref="B39:D39"/>
    <mergeCell ref="B40:D40"/>
    <mergeCell ref="B41:D4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S60"/>
  <sheetViews>
    <sheetView rightToLeft="1" zoomScale="130" zoomScaleNormal="130" workbookViewId="0">
      <selection activeCell="G14" sqref="G14"/>
    </sheetView>
  </sheetViews>
  <sheetFormatPr defaultRowHeight="13.8" x14ac:dyDescent="0.25"/>
  <cols>
    <col min="1" max="1" width="19.796875" customWidth="1"/>
    <col min="2" max="3" width="6" customWidth="1"/>
    <col min="4" max="4" width="17.5" customWidth="1"/>
    <col min="5" max="5" width="14.09765625" style="17" customWidth="1"/>
    <col min="6" max="6" width="14.69921875" customWidth="1"/>
    <col min="7" max="7" width="12.69921875" customWidth="1"/>
    <col min="8" max="8" width="13.3984375" customWidth="1"/>
    <col min="9" max="9" width="11.19921875" customWidth="1"/>
    <col min="10" max="10" width="11.59765625" customWidth="1"/>
    <col min="11" max="11" width="11.19921875" customWidth="1"/>
    <col min="12" max="12" width="10.296875" customWidth="1"/>
    <col min="13" max="13" width="9.19921875" customWidth="1"/>
    <col min="14" max="20" width="9.59765625" customWidth="1"/>
  </cols>
  <sheetData>
    <row r="1" spans="1:19" ht="16.5" customHeight="1" thickBot="1" x14ac:dyDescent="0.3">
      <c r="D1" s="66"/>
      <c r="E1"/>
    </row>
    <row r="2" spans="1:19" ht="28.2" thickBot="1" x14ac:dyDescent="0.3">
      <c r="A2" s="120" t="s">
        <v>33</v>
      </c>
      <c r="B2" s="192" t="s">
        <v>162</v>
      </c>
      <c r="C2" s="120" t="s">
        <v>163</v>
      </c>
      <c r="D2" s="225" t="s">
        <v>231</v>
      </c>
      <c r="E2" s="97" t="s">
        <v>232</v>
      </c>
      <c r="F2" s="226" t="s">
        <v>233</v>
      </c>
      <c r="G2" s="92" t="s">
        <v>234</v>
      </c>
      <c r="H2" s="47" t="s">
        <v>235</v>
      </c>
      <c r="I2" s="47" t="s">
        <v>236</v>
      </c>
      <c r="J2" s="117" t="s">
        <v>237</v>
      </c>
      <c r="K2" s="117" t="s">
        <v>238</v>
      </c>
      <c r="L2" s="117"/>
      <c r="M2" s="117"/>
      <c r="N2" s="47"/>
      <c r="O2" s="47"/>
      <c r="P2" s="47"/>
      <c r="Q2" s="117"/>
      <c r="R2" s="117"/>
      <c r="S2" s="118"/>
    </row>
    <row r="3" spans="1:19" x14ac:dyDescent="0.25">
      <c r="A3" s="121" t="s">
        <v>150</v>
      </c>
      <c r="B3" s="193"/>
      <c r="C3" s="121"/>
      <c r="D3" s="93">
        <f>107+66</f>
        <v>173</v>
      </c>
      <c r="E3" s="144">
        <f>117+12</f>
        <v>129</v>
      </c>
      <c r="F3" s="93">
        <v>40</v>
      </c>
      <c r="G3" s="64">
        <v>238</v>
      </c>
      <c r="H3" s="64">
        <v>15</v>
      </c>
      <c r="I3" s="64">
        <v>139</v>
      </c>
      <c r="J3" s="49">
        <v>263</v>
      </c>
      <c r="K3" s="49">
        <f>660+64</f>
        <v>724</v>
      </c>
      <c r="L3" s="49"/>
      <c r="M3" s="49"/>
      <c r="N3" s="48"/>
      <c r="O3" s="48"/>
      <c r="P3" s="48"/>
      <c r="Q3" s="49"/>
      <c r="R3" s="49"/>
      <c r="S3" s="50"/>
    </row>
    <row r="4" spans="1:19" x14ac:dyDescent="0.25">
      <c r="A4" s="121" t="s">
        <v>92</v>
      </c>
      <c r="B4" s="193"/>
      <c r="C4" s="121"/>
      <c r="D4" s="93"/>
      <c r="E4" s="144"/>
      <c r="F4" s="93"/>
      <c r="G4" s="64"/>
      <c r="H4" s="64"/>
      <c r="I4" s="64"/>
      <c r="J4" s="49"/>
      <c r="K4" s="49"/>
      <c r="L4" s="49"/>
      <c r="M4" s="49"/>
      <c r="N4" s="48"/>
      <c r="O4" s="48"/>
      <c r="P4" s="48"/>
      <c r="Q4" s="49"/>
      <c r="R4" s="49"/>
      <c r="S4" s="50"/>
    </row>
    <row r="5" spans="1:19" x14ac:dyDescent="0.25">
      <c r="A5" s="121" t="s">
        <v>74</v>
      </c>
      <c r="B5" s="193"/>
      <c r="C5" s="121"/>
      <c r="D5" s="93"/>
      <c r="E5" s="144"/>
      <c r="F5" s="93"/>
      <c r="G5" s="64"/>
      <c r="H5" s="64"/>
      <c r="I5" s="64"/>
      <c r="J5" s="49"/>
      <c r="K5" s="49"/>
      <c r="L5" s="49"/>
      <c r="M5" s="49"/>
      <c r="N5" s="48"/>
      <c r="O5" s="48"/>
      <c r="P5" s="48"/>
      <c r="Q5" s="49"/>
      <c r="R5" s="49"/>
      <c r="S5" s="50"/>
    </row>
    <row r="6" spans="1:19" x14ac:dyDescent="0.25">
      <c r="A6" s="121" t="s">
        <v>146</v>
      </c>
      <c r="B6" s="193"/>
      <c r="C6" s="121"/>
      <c r="D6" s="93"/>
      <c r="E6" s="144"/>
      <c r="F6" s="93"/>
      <c r="G6" s="64"/>
      <c r="H6" s="64"/>
      <c r="I6" s="64"/>
      <c r="J6" s="49"/>
      <c r="K6" s="49"/>
      <c r="L6" s="49"/>
      <c r="M6" s="49"/>
      <c r="N6" s="48"/>
      <c r="O6" s="48"/>
      <c r="P6" s="48"/>
      <c r="Q6" s="49"/>
      <c r="R6" s="49"/>
      <c r="S6" s="50"/>
    </row>
    <row r="7" spans="1:19" x14ac:dyDescent="0.25">
      <c r="A7" s="121" t="s">
        <v>147</v>
      </c>
      <c r="B7" s="193"/>
      <c r="C7" s="121"/>
      <c r="D7" s="93"/>
      <c r="E7" s="64"/>
      <c r="F7" s="93"/>
      <c r="G7" s="64"/>
      <c r="H7" s="64"/>
      <c r="I7" s="64">
        <v>14.8</v>
      </c>
      <c r="J7" s="49"/>
      <c r="K7" s="49"/>
      <c r="L7" s="49"/>
      <c r="M7" s="49"/>
      <c r="N7" s="48"/>
      <c r="O7" s="48"/>
      <c r="P7" s="48"/>
      <c r="Q7" s="49"/>
      <c r="R7" s="49"/>
      <c r="S7" s="50"/>
    </row>
    <row r="8" spans="1:19" x14ac:dyDescent="0.25">
      <c r="A8" s="121" t="s">
        <v>148</v>
      </c>
      <c r="B8" s="193"/>
      <c r="C8" s="121"/>
      <c r="D8" s="94"/>
      <c r="E8" s="54"/>
      <c r="F8" s="94"/>
      <c r="G8" s="54"/>
      <c r="H8" s="54"/>
      <c r="I8" s="54"/>
      <c r="J8" s="52"/>
      <c r="K8" s="52"/>
      <c r="L8" s="52"/>
      <c r="M8" s="52"/>
      <c r="N8" s="51"/>
      <c r="O8" s="51"/>
      <c r="P8" s="51"/>
      <c r="Q8" s="52"/>
      <c r="R8" s="52"/>
      <c r="S8" s="53"/>
    </row>
    <row r="9" spans="1:19" x14ac:dyDescent="0.25">
      <c r="A9" s="121" t="s">
        <v>149</v>
      </c>
      <c r="B9" s="194"/>
      <c r="C9" s="209"/>
      <c r="D9" s="95"/>
      <c r="E9" s="56"/>
      <c r="F9" s="94"/>
      <c r="G9" s="54"/>
      <c r="H9" s="54"/>
      <c r="I9" s="54"/>
      <c r="J9" s="52"/>
      <c r="K9" s="52"/>
      <c r="L9" s="52"/>
      <c r="M9" s="52"/>
      <c r="N9" s="51"/>
      <c r="O9" s="51"/>
      <c r="P9" s="51"/>
      <c r="Q9" s="52"/>
      <c r="R9" s="52"/>
      <c r="S9" s="53"/>
    </row>
    <row r="10" spans="1:19" x14ac:dyDescent="0.25">
      <c r="A10" s="122" t="s">
        <v>48</v>
      </c>
      <c r="B10" s="195"/>
      <c r="C10" s="123"/>
      <c r="D10" s="95"/>
      <c r="E10" s="56"/>
      <c r="F10" s="94"/>
      <c r="G10" s="54"/>
      <c r="H10" s="54"/>
      <c r="I10" s="54"/>
      <c r="J10" s="52"/>
      <c r="K10" s="52"/>
      <c r="L10" s="52"/>
      <c r="M10" s="52"/>
      <c r="N10" s="51"/>
      <c r="O10" s="51"/>
      <c r="P10" s="51"/>
      <c r="Q10" s="52"/>
      <c r="R10" s="52"/>
      <c r="S10" s="53"/>
    </row>
    <row r="11" spans="1:19" x14ac:dyDescent="0.25">
      <c r="A11" s="123" t="s">
        <v>89</v>
      </c>
      <c r="B11" s="195"/>
      <c r="C11" s="123"/>
      <c r="D11" s="95"/>
      <c r="E11" s="56"/>
      <c r="F11" s="95"/>
      <c r="G11" s="56"/>
      <c r="H11" s="56"/>
      <c r="I11" s="56"/>
      <c r="J11" s="57"/>
      <c r="K11" s="57"/>
      <c r="L11" s="57"/>
      <c r="M11" s="57"/>
      <c r="N11" s="55"/>
      <c r="O11" s="55"/>
      <c r="P11" s="55"/>
      <c r="Q11" s="57"/>
      <c r="R11" s="57"/>
      <c r="S11" s="58"/>
    </row>
    <row r="12" spans="1:19" ht="14.4" thickBot="1" x14ac:dyDescent="0.3">
      <c r="A12" s="124" t="s">
        <v>85</v>
      </c>
      <c r="B12" s="196"/>
      <c r="C12" s="124"/>
      <c r="D12" s="96"/>
      <c r="E12" s="90"/>
      <c r="F12" s="96"/>
      <c r="G12" s="90"/>
      <c r="H12" s="90"/>
      <c r="I12" s="90"/>
      <c r="J12" s="60"/>
      <c r="K12" s="60"/>
      <c r="L12" s="60"/>
      <c r="M12" s="60"/>
      <c r="N12" s="59"/>
      <c r="O12" s="59"/>
      <c r="P12" s="59"/>
      <c r="Q12" s="60"/>
      <c r="R12" s="60"/>
      <c r="S12" s="61"/>
    </row>
    <row r="13" spans="1:19" ht="15" thickTop="1" thickBot="1" x14ac:dyDescent="0.3">
      <c r="A13" s="200" t="s">
        <v>34</v>
      </c>
      <c r="B13" s="211"/>
      <c r="C13" s="210"/>
      <c r="D13" s="207">
        <f>SUM(D3:D12)</f>
        <v>173</v>
      </c>
      <c r="E13" s="201">
        <f>SUM(E3:E12)</f>
        <v>129</v>
      </c>
      <c r="F13" s="201">
        <f>SUM(F3:F12)</f>
        <v>40</v>
      </c>
      <c r="G13" s="201">
        <f>SUM(G3:G12)</f>
        <v>238</v>
      </c>
      <c r="H13" s="201">
        <f>SUM(H3:H12)</f>
        <v>15</v>
      </c>
      <c r="I13" s="202">
        <f t="shared" ref="I13:S13" si="0">SUM(I3:I12)</f>
        <v>153.80000000000001</v>
      </c>
      <c r="J13" s="202">
        <f t="shared" si="0"/>
        <v>263</v>
      </c>
      <c r="K13" s="202">
        <f t="shared" si="0"/>
        <v>724</v>
      </c>
      <c r="L13" s="202">
        <f t="shared" si="0"/>
        <v>0</v>
      </c>
      <c r="M13" s="202">
        <f t="shared" si="0"/>
        <v>0</v>
      </c>
      <c r="N13" s="203">
        <f t="shared" si="0"/>
        <v>0</v>
      </c>
      <c r="O13" s="203">
        <f t="shared" si="0"/>
        <v>0</v>
      </c>
      <c r="P13" s="203">
        <f t="shared" si="0"/>
        <v>0</v>
      </c>
      <c r="Q13" s="202">
        <f t="shared" si="0"/>
        <v>0</v>
      </c>
      <c r="R13" s="202">
        <f t="shared" si="0"/>
        <v>0</v>
      </c>
      <c r="S13" s="204">
        <f t="shared" si="0"/>
        <v>0</v>
      </c>
    </row>
    <row r="14" spans="1:19" ht="28.2" thickBot="1" x14ac:dyDescent="0.3">
      <c r="A14" s="126" t="s">
        <v>35</v>
      </c>
      <c r="B14" s="192" t="s">
        <v>162</v>
      </c>
      <c r="C14" s="120" t="s">
        <v>163</v>
      </c>
      <c r="D14" s="206"/>
      <c r="E14" s="205"/>
      <c r="F14" s="206"/>
      <c r="G14" s="62"/>
      <c r="H14" s="62"/>
      <c r="I14" s="62"/>
      <c r="J14" s="62"/>
      <c r="K14" s="62"/>
      <c r="L14" s="62"/>
      <c r="M14" s="140"/>
      <c r="N14" s="62"/>
      <c r="O14" s="62"/>
      <c r="P14" s="62"/>
      <c r="Q14" s="140"/>
      <c r="R14" s="140"/>
      <c r="S14" s="63"/>
    </row>
    <row r="15" spans="1:19" x14ac:dyDescent="0.25">
      <c r="A15" s="122" t="s">
        <v>239</v>
      </c>
      <c r="B15" s="197" t="s">
        <v>164</v>
      </c>
      <c r="C15" s="122" t="s">
        <v>164</v>
      </c>
      <c r="D15" s="52">
        <v>109</v>
      </c>
      <c r="E15" s="145"/>
      <c r="F15" s="52"/>
      <c r="G15" s="64"/>
      <c r="H15" s="64"/>
      <c r="I15" s="48"/>
      <c r="J15" s="64"/>
      <c r="K15" s="48"/>
      <c r="L15" s="48"/>
      <c r="M15" s="48"/>
      <c r="N15" s="48"/>
      <c r="O15" s="48"/>
      <c r="P15" s="48"/>
      <c r="Q15" s="49"/>
      <c r="R15" s="49"/>
      <c r="S15" s="50"/>
    </row>
    <row r="16" spans="1:19" x14ac:dyDescent="0.25">
      <c r="A16" s="122" t="s">
        <v>201</v>
      </c>
      <c r="B16" s="197"/>
      <c r="C16" s="122"/>
      <c r="D16" s="52"/>
      <c r="E16" s="51"/>
      <c r="F16" s="52"/>
      <c r="G16" s="64"/>
      <c r="H16" s="64"/>
      <c r="I16" s="48"/>
      <c r="J16" s="64"/>
      <c r="K16" s="48"/>
      <c r="L16" s="48"/>
      <c r="M16" s="48"/>
      <c r="N16" s="48"/>
      <c r="O16" s="48"/>
      <c r="P16" s="48"/>
      <c r="Q16" s="49"/>
      <c r="R16" s="49"/>
      <c r="S16" s="50"/>
    </row>
    <row r="17" spans="1:19" x14ac:dyDescent="0.25">
      <c r="A17" s="122" t="s">
        <v>200</v>
      </c>
      <c r="B17" s="197"/>
      <c r="C17" s="122"/>
      <c r="D17" s="52"/>
      <c r="E17" s="51"/>
      <c r="F17" s="52"/>
      <c r="G17" s="64"/>
      <c r="H17" s="64"/>
      <c r="I17" s="48"/>
      <c r="J17" s="64"/>
      <c r="K17" s="48"/>
      <c r="L17" s="48"/>
      <c r="M17" s="48"/>
      <c r="N17" s="48"/>
      <c r="O17" s="48"/>
      <c r="P17" s="48"/>
      <c r="Q17" s="49"/>
      <c r="R17" s="49"/>
      <c r="S17" s="50"/>
    </row>
    <row r="18" spans="1:19" x14ac:dyDescent="0.25">
      <c r="A18" s="122" t="s">
        <v>203</v>
      </c>
      <c r="B18" s="197"/>
      <c r="C18" s="122"/>
      <c r="D18" s="52"/>
      <c r="E18" s="51"/>
      <c r="F18" s="52"/>
      <c r="G18" s="64"/>
      <c r="H18" s="64"/>
      <c r="I18" s="48"/>
      <c r="J18" s="64"/>
      <c r="K18" s="48"/>
      <c r="L18" s="48"/>
      <c r="M18" s="48"/>
      <c r="N18" s="48"/>
      <c r="O18" s="48"/>
      <c r="P18" s="48"/>
      <c r="Q18" s="49"/>
      <c r="R18" s="49"/>
      <c r="S18" s="50"/>
    </row>
    <row r="19" spans="1:19" x14ac:dyDescent="0.25">
      <c r="A19" s="122" t="s">
        <v>203</v>
      </c>
      <c r="B19" s="197"/>
      <c r="C19" s="122"/>
      <c r="D19" s="52"/>
      <c r="E19" s="51"/>
      <c r="F19" s="52"/>
      <c r="G19" s="64"/>
      <c r="H19" s="64"/>
      <c r="I19" s="48"/>
      <c r="J19" s="64"/>
      <c r="K19" s="48"/>
      <c r="L19" s="48"/>
      <c r="M19" s="48"/>
      <c r="N19" s="48"/>
      <c r="O19" s="48"/>
      <c r="P19" s="48"/>
      <c r="Q19" s="49"/>
      <c r="R19" s="49"/>
      <c r="S19" s="50"/>
    </row>
    <row r="20" spans="1:19" x14ac:dyDescent="0.25">
      <c r="A20" s="122" t="s">
        <v>202</v>
      </c>
      <c r="B20" s="197"/>
      <c r="C20" s="122"/>
      <c r="D20" s="52"/>
      <c r="E20" s="51"/>
      <c r="F20" s="52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2"/>
      <c r="R20" s="52"/>
      <c r="S20" s="53"/>
    </row>
    <row r="21" spans="1:19" x14ac:dyDescent="0.25">
      <c r="A21" s="122"/>
      <c r="B21" s="197"/>
      <c r="C21" s="122"/>
      <c r="D21" s="49"/>
      <c r="E21" s="51"/>
      <c r="F21" s="52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2"/>
      <c r="R21" s="52"/>
      <c r="S21" s="53"/>
    </row>
    <row r="22" spans="1:19" x14ac:dyDescent="0.25">
      <c r="A22" s="122"/>
      <c r="B22" s="197"/>
      <c r="C22" s="122"/>
      <c r="D22" s="52"/>
      <c r="E22" s="51"/>
      <c r="F22" s="52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2"/>
      <c r="R22" s="52"/>
      <c r="S22" s="53"/>
    </row>
    <row r="23" spans="1:19" ht="14.4" thickBot="1" x14ac:dyDescent="0.3">
      <c r="A23" s="124"/>
      <c r="B23" s="196"/>
      <c r="C23" s="124"/>
      <c r="D23" s="60"/>
      <c r="E23" s="59"/>
      <c r="F23" s="60"/>
      <c r="G23" s="59"/>
      <c r="H23" s="59"/>
      <c r="I23" s="59"/>
      <c r="J23" s="51"/>
      <c r="K23" s="51"/>
      <c r="L23" s="51"/>
      <c r="M23" s="51"/>
      <c r="N23" s="51"/>
      <c r="O23" s="59"/>
      <c r="P23" s="59"/>
      <c r="Q23" s="60"/>
      <c r="R23" s="60"/>
      <c r="S23" s="61"/>
    </row>
    <row r="24" spans="1:19" ht="14.4" thickTop="1" x14ac:dyDescent="0.25">
      <c r="A24" s="127" t="s">
        <v>88</v>
      </c>
      <c r="B24" s="198"/>
      <c r="C24" s="127"/>
      <c r="D24" s="208">
        <f>SUM(D17:D23)</f>
        <v>0</v>
      </c>
      <c r="E24" s="119">
        <f>SUM(E17:E23)</f>
        <v>0</v>
      </c>
      <c r="F24" s="119">
        <f t="shared" ref="F24:S24" si="1">SUM(F15:F23)</f>
        <v>0</v>
      </c>
      <c r="G24" s="119">
        <f t="shared" si="1"/>
        <v>0</v>
      </c>
      <c r="H24" s="119">
        <f t="shared" si="1"/>
        <v>0</v>
      </c>
      <c r="I24" s="119">
        <f t="shared" si="1"/>
        <v>0</v>
      </c>
      <c r="J24" s="119">
        <f t="shared" si="1"/>
        <v>0</v>
      </c>
      <c r="K24" s="65">
        <f t="shared" si="1"/>
        <v>0</v>
      </c>
      <c r="L24" s="65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141">
        <f t="shared" si="1"/>
        <v>0</v>
      </c>
      <c r="R24" s="141">
        <f t="shared" si="1"/>
        <v>0</v>
      </c>
      <c r="S24" s="139">
        <f t="shared" si="1"/>
        <v>0</v>
      </c>
    </row>
    <row r="25" spans="1:19" ht="14.4" thickBot="1" x14ac:dyDescent="0.3">
      <c r="A25" s="125" t="s">
        <v>36</v>
      </c>
      <c r="B25" s="199"/>
      <c r="C25" s="125"/>
      <c r="D25" s="142">
        <f t="shared" ref="D25:S25" si="2">D13-D24</f>
        <v>173</v>
      </c>
      <c r="E25" s="138">
        <f t="shared" si="2"/>
        <v>129</v>
      </c>
      <c r="F25" s="138">
        <f t="shared" si="2"/>
        <v>40</v>
      </c>
      <c r="G25" s="138">
        <f t="shared" si="2"/>
        <v>238</v>
      </c>
      <c r="H25" s="138">
        <f t="shared" si="2"/>
        <v>15</v>
      </c>
      <c r="I25" s="138">
        <f t="shared" si="2"/>
        <v>153.80000000000001</v>
      </c>
      <c r="J25" s="138">
        <f t="shared" si="2"/>
        <v>263</v>
      </c>
      <c r="K25" s="138">
        <f t="shared" si="2"/>
        <v>724</v>
      </c>
      <c r="L25" s="138">
        <f t="shared" si="2"/>
        <v>0</v>
      </c>
      <c r="M25" s="138">
        <f t="shared" si="2"/>
        <v>0</v>
      </c>
      <c r="N25" s="138">
        <f t="shared" si="2"/>
        <v>0</v>
      </c>
      <c r="O25" s="138">
        <f t="shared" si="2"/>
        <v>0</v>
      </c>
      <c r="P25" s="138">
        <f t="shared" si="2"/>
        <v>0</v>
      </c>
      <c r="Q25" s="143">
        <f t="shared" si="2"/>
        <v>0</v>
      </c>
      <c r="R25" s="142">
        <f t="shared" si="2"/>
        <v>0</v>
      </c>
      <c r="S25" s="146">
        <f t="shared" si="2"/>
        <v>0</v>
      </c>
    </row>
    <row r="26" spans="1:19" x14ac:dyDescent="0.25">
      <c r="D26" s="135"/>
      <c r="E26" s="73"/>
      <c r="F26" s="148"/>
      <c r="H26" s="73"/>
      <c r="I26" s="73"/>
      <c r="J26" s="73"/>
      <c r="K26" s="98"/>
      <c r="L26" s="148"/>
      <c r="M26" s="73"/>
    </row>
    <row r="27" spans="1:19" x14ac:dyDescent="0.25">
      <c r="A27" t="s">
        <v>86</v>
      </c>
      <c r="D27" s="136">
        <f>D8+D7</f>
        <v>0</v>
      </c>
      <c r="F27" s="73"/>
    </row>
    <row r="28" spans="1:19" x14ac:dyDescent="0.25">
      <c r="E28" s="91">
        <f>E3*9300*5%*7</f>
        <v>419895</v>
      </c>
      <c r="F28" s="66"/>
      <c r="G28" s="91"/>
      <c r="H28" s="91"/>
      <c r="K28" s="91"/>
    </row>
    <row r="29" spans="1:19" x14ac:dyDescent="0.25">
      <c r="E29" s="38">
        <f>375-E24-F24-I24</f>
        <v>375</v>
      </c>
      <c r="F29" s="66"/>
      <c r="G29" s="91"/>
      <c r="H29" s="91"/>
    </row>
    <row r="30" spans="1:19" x14ac:dyDescent="0.25">
      <c r="N30" s="91"/>
      <c r="O30" s="91"/>
    </row>
    <row r="31" spans="1:19" x14ac:dyDescent="0.25">
      <c r="A31" s="67" t="s">
        <v>37</v>
      </c>
      <c r="B31" s="67"/>
      <c r="C31" s="67"/>
      <c r="D31" s="68"/>
      <c r="L31" s="91"/>
      <c r="N31" s="17"/>
    </row>
    <row r="32" spans="1:19" x14ac:dyDescent="0.25">
      <c r="A32" t="s">
        <v>14</v>
      </c>
      <c r="E32" s="69">
        <f>-D13</f>
        <v>-173</v>
      </c>
      <c r="G32" s="72"/>
      <c r="H32" s="72"/>
      <c r="L32" s="91"/>
    </row>
    <row r="33" spans="1:10" x14ac:dyDescent="0.25">
      <c r="A33" t="s">
        <v>15</v>
      </c>
      <c r="E33" s="17">
        <f>-E13</f>
        <v>-129</v>
      </c>
      <c r="G33" s="72"/>
    </row>
    <row r="34" spans="1:10" x14ac:dyDescent="0.25">
      <c r="A34" t="s">
        <v>18</v>
      </c>
      <c r="E34" s="17">
        <f>I24</f>
        <v>0</v>
      </c>
    </row>
    <row r="35" spans="1:10" x14ac:dyDescent="0.25">
      <c r="A35" s="40" t="s">
        <v>8</v>
      </c>
      <c r="B35" s="40"/>
      <c r="C35" s="40"/>
      <c r="D35" s="40"/>
      <c r="E35" s="23">
        <f>SUM(E31:E34)</f>
        <v>-302</v>
      </c>
      <c r="J35" s="72"/>
    </row>
    <row r="36" spans="1:10" x14ac:dyDescent="0.25">
      <c r="A36" t="s">
        <v>38</v>
      </c>
      <c r="E36" s="38">
        <v>375</v>
      </c>
      <c r="H36" s="91"/>
    </row>
    <row r="37" spans="1:10" x14ac:dyDescent="0.25">
      <c r="A37" s="40" t="s">
        <v>39</v>
      </c>
      <c r="B37" s="40"/>
      <c r="C37" s="40"/>
      <c r="D37" s="40"/>
      <c r="E37" s="23">
        <f>SUM(E35:E36)</f>
        <v>73</v>
      </c>
    </row>
    <row r="38" spans="1:10" x14ac:dyDescent="0.25">
      <c r="A38" t="s">
        <v>40</v>
      </c>
      <c r="E38" s="17">
        <f>-E24-F24-I24</f>
        <v>0</v>
      </c>
    </row>
    <row r="39" spans="1:10" x14ac:dyDescent="0.25">
      <c r="A39" s="40" t="s">
        <v>41</v>
      </c>
      <c r="B39" s="40"/>
      <c r="C39" s="40"/>
      <c r="D39" s="40"/>
      <c r="E39" s="70">
        <f>SUM(E37:E38)</f>
        <v>73</v>
      </c>
    </row>
    <row r="43" spans="1:10" x14ac:dyDescent="0.25">
      <c r="A43" s="130" t="s">
        <v>75</v>
      </c>
      <c r="B43" s="130"/>
      <c r="C43" s="130"/>
    </row>
    <row r="44" spans="1:10" ht="15.6" x14ac:dyDescent="0.4">
      <c r="A44" s="39" t="s">
        <v>76</v>
      </c>
      <c r="B44" s="39"/>
      <c r="C44" s="39"/>
      <c r="D44" s="39" t="s">
        <v>78</v>
      </c>
      <c r="E44" s="131" t="s">
        <v>79</v>
      </c>
      <c r="F44" s="39" t="s">
        <v>82</v>
      </c>
      <c r="G44" s="39"/>
      <c r="H44" s="17"/>
      <c r="I44" s="17"/>
    </row>
    <row r="45" spans="1:10" x14ac:dyDescent="0.25">
      <c r="A45" t="s">
        <v>42</v>
      </c>
      <c r="F45" s="91">
        <f>E45-D45</f>
        <v>0</v>
      </c>
    </row>
    <row r="46" spans="1:10" x14ac:dyDescent="0.25">
      <c r="A46" t="s">
        <v>77</v>
      </c>
      <c r="F46" s="91">
        <f>E46-D46</f>
        <v>0</v>
      </c>
    </row>
    <row r="47" spans="1:10" x14ac:dyDescent="0.25">
      <c r="A47" s="108" t="s">
        <v>80</v>
      </c>
      <c r="B47" s="108"/>
      <c r="C47" s="108"/>
      <c r="D47" s="108">
        <f>SUM(D45:D46)</f>
        <v>0</v>
      </c>
      <c r="E47" s="70">
        <f>SUM(E45:E46)</f>
        <v>0</v>
      </c>
      <c r="F47" s="132">
        <f>E47-D47</f>
        <v>0</v>
      </c>
    </row>
    <row r="49" spans="1:10" ht="15.6" x14ac:dyDescent="0.4">
      <c r="A49" s="39" t="s">
        <v>81</v>
      </c>
      <c r="B49" s="39"/>
      <c r="C49" s="39"/>
      <c r="D49" s="39" t="s">
        <v>78</v>
      </c>
      <c r="E49" s="131" t="s">
        <v>79</v>
      </c>
      <c r="F49" s="39" t="s">
        <v>82</v>
      </c>
    </row>
    <row r="50" spans="1:10" x14ac:dyDescent="0.25">
      <c r="A50" t="s">
        <v>42</v>
      </c>
      <c r="F50" s="91">
        <f>E50-D50</f>
        <v>0</v>
      </c>
      <c r="G50" s="39"/>
      <c r="J50" s="17"/>
    </row>
    <row r="51" spans="1:10" x14ac:dyDescent="0.25">
      <c r="A51" t="s">
        <v>77</v>
      </c>
      <c r="F51" s="91">
        <f>E51-D51</f>
        <v>0</v>
      </c>
    </row>
    <row r="52" spans="1:10" x14ac:dyDescent="0.25">
      <c r="A52" s="108" t="s">
        <v>80</v>
      </c>
      <c r="B52" s="108"/>
      <c r="C52" s="108"/>
      <c r="D52" s="108">
        <f>SUM(D50:D51)</f>
        <v>0</v>
      </c>
      <c r="E52" s="70">
        <f>SUM(E50:E51)</f>
        <v>0</v>
      </c>
      <c r="F52" s="132">
        <f>E52-D52</f>
        <v>0</v>
      </c>
      <c r="J52" s="147"/>
    </row>
    <row r="54" spans="1:10" x14ac:dyDescent="0.25">
      <c r="A54" s="133" t="s">
        <v>8</v>
      </c>
      <c r="B54" s="133"/>
      <c r="C54" s="133"/>
      <c r="D54" s="133">
        <f>D52+D47</f>
        <v>0</v>
      </c>
      <c r="E54" s="133">
        <f>E52+E47</f>
        <v>0</v>
      </c>
      <c r="F54" s="134">
        <f>F52+F47</f>
        <v>0</v>
      </c>
    </row>
    <row r="58" spans="1:10" x14ac:dyDescent="0.25">
      <c r="G58" s="39"/>
      <c r="J58" s="17"/>
    </row>
    <row r="60" spans="1:10" x14ac:dyDescent="0.25">
      <c r="J60" s="147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F6"/>
  <sheetViews>
    <sheetView rightToLeft="1" zoomScale="175" zoomScaleNormal="175" workbookViewId="0">
      <selection activeCell="E9" sqref="E9"/>
    </sheetView>
  </sheetViews>
  <sheetFormatPr defaultRowHeight="13.8" x14ac:dyDescent="0.25"/>
  <cols>
    <col min="2" max="2" width="11.5" bestFit="1" customWidth="1"/>
    <col min="3" max="3" width="9.8984375" bestFit="1" customWidth="1"/>
  </cols>
  <sheetData>
    <row r="2" spans="1:6" x14ac:dyDescent="0.25">
      <c r="A2" s="39" t="s">
        <v>166</v>
      </c>
      <c r="B2" s="39" t="s">
        <v>167</v>
      </c>
      <c r="C2" s="39" t="s">
        <v>134</v>
      </c>
      <c r="D2" s="39" t="s">
        <v>168</v>
      </c>
    </row>
    <row r="3" spans="1:6" x14ac:dyDescent="0.25">
      <c r="A3" t="s">
        <v>169</v>
      </c>
      <c r="B3" t="s">
        <v>215</v>
      </c>
      <c r="C3" s="188">
        <v>45565</v>
      </c>
      <c r="D3" s="39">
        <v>3.5</v>
      </c>
      <c r="E3" t="s">
        <v>173</v>
      </c>
    </row>
    <row r="4" spans="1:6" x14ac:dyDescent="0.25">
      <c r="A4" t="s">
        <v>169</v>
      </c>
      <c r="B4" t="s">
        <v>170</v>
      </c>
      <c r="C4" s="188">
        <v>45344</v>
      </c>
      <c r="D4">
        <v>500</v>
      </c>
      <c r="E4" t="s">
        <v>171</v>
      </c>
      <c r="F4" t="s">
        <v>174</v>
      </c>
    </row>
    <row r="5" spans="1:6" x14ac:dyDescent="0.25">
      <c r="A5" t="s">
        <v>216</v>
      </c>
      <c r="C5" s="74">
        <v>2004</v>
      </c>
      <c r="D5" t="s">
        <v>217</v>
      </c>
    </row>
    <row r="6" spans="1:6" x14ac:dyDescent="0.25">
      <c r="A6" t="s">
        <v>172</v>
      </c>
      <c r="B6" t="s">
        <v>218</v>
      </c>
      <c r="C6" s="188">
        <v>27098</v>
      </c>
      <c r="D6" s="212">
        <v>2</v>
      </c>
      <c r="E6" t="s">
        <v>173</v>
      </c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3.8" x14ac:dyDescent="0.25"/>
  <cols>
    <col min="1" max="1" width="1.69921875" customWidth="1"/>
    <col min="2" max="2" width="18.19921875" customWidth="1"/>
    <col min="3" max="3" width="13" bestFit="1" customWidth="1"/>
    <col min="4" max="4" width="10.59765625" bestFit="1" customWidth="1"/>
    <col min="5" max="5" width="9.5" bestFit="1" customWidth="1"/>
    <col min="6" max="6" width="11.69921875" bestFit="1" customWidth="1"/>
  </cols>
  <sheetData>
    <row r="1" spans="2:10" ht="4.5" customHeight="1" thickBot="1" x14ac:dyDescent="0.3"/>
    <row r="2" spans="2:10" ht="14.4" thickBot="1" x14ac:dyDescent="0.3">
      <c r="B2" s="315" t="s">
        <v>118</v>
      </c>
      <c r="C2" s="316"/>
      <c r="D2" s="316"/>
      <c r="E2" s="316"/>
      <c r="F2" s="317"/>
    </row>
    <row r="3" spans="2:10" ht="14.4" thickBot="1" x14ac:dyDescent="0.3">
      <c r="B3" s="152" t="s">
        <v>47</v>
      </c>
      <c r="C3" s="318" t="s">
        <v>42</v>
      </c>
      <c r="D3" s="319"/>
      <c r="E3" s="318" t="s">
        <v>100</v>
      </c>
      <c r="F3" s="320"/>
    </row>
    <row r="4" spans="2:10" x14ac:dyDescent="0.25">
      <c r="B4" s="167" t="s">
        <v>101</v>
      </c>
      <c r="C4" s="311">
        <v>0</v>
      </c>
      <c r="D4" s="337"/>
      <c r="E4" s="311">
        <v>0</v>
      </c>
      <c r="F4" s="312"/>
    </row>
    <row r="5" spans="2:10" x14ac:dyDescent="0.25">
      <c r="B5" s="172" t="s">
        <v>102</v>
      </c>
      <c r="C5" s="311">
        <v>140000</v>
      </c>
      <c r="D5" s="337"/>
      <c r="E5" s="311">
        <f>6000*2</f>
        <v>12000</v>
      </c>
      <c r="F5" s="312"/>
    </row>
    <row r="6" spans="2:10" ht="27.6" x14ac:dyDescent="0.25">
      <c r="B6" s="172" t="s">
        <v>114</v>
      </c>
      <c r="C6" s="311">
        <f>46500*7</f>
        <v>325500</v>
      </c>
      <c r="D6" s="337"/>
      <c r="E6" s="311">
        <v>0</v>
      </c>
      <c r="F6" s="312"/>
    </row>
    <row r="7" spans="2:10" x14ac:dyDescent="0.25">
      <c r="B7" s="172" t="s">
        <v>103</v>
      </c>
      <c r="C7" s="311">
        <f>13000*7</f>
        <v>91000</v>
      </c>
      <c r="D7" s="337"/>
      <c r="E7" s="311">
        <f>4000*7</f>
        <v>28000</v>
      </c>
      <c r="F7" s="312"/>
    </row>
    <row r="8" spans="2:10" ht="14.4" thickBot="1" x14ac:dyDescent="0.3">
      <c r="B8" s="158" t="s">
        <v>104</v>
      </c>
      <c r="C8" s="311">
        <f>65000*7</f>
        <v>455000</v>
      </c>
      <c r="D8" s="337"/>
      <c r="E8" s="311">
        <v>50000</v>
      </c>
      <c r="F8" s="312"/>
      <c r="J8" t="s">
        <v>164</v>
      </c>
    </row>
    <row r="9" spans="2:10" ht="14.4" thickBot="1" x14ac:dyDescent="0.3">
      <c r="B9" s="315" t="s">
        <v>117</v>
      </c>
      <c r="C9" s="316"/>
      <c r="D9" s="316"/>
      <c r="E9" s="316"/>
      <c r="F9" s="317"/>
      <c r="J9" t="s">
        <v>165</v>
      </c>
    </row>
    <row r="10" spans="2:10" ht="16.2" thickBot="1" x14ac:dyDescent="0.3">
      <c r="B10" s="153" t="s">
        <v>112</v>
      </c>
      <c r="C10" s="154" t="s">
        <v>110</v>
      </c>
      <c r="D10" s="155" t="s">
        <v>107</v>
      </c>
      <c r="E10" s="156" t="s">
        <v>108</v>
      </c>
      <c r="F10" s="157" t="s">
        <v>109</v>
      </c>
    </row>
    <row r="11" spans="2:10" x14ac:dyDescent="0.25">
      <c r="B11" s="167" t="s">
        <v>101</v>
      </c>
      <c r="C11" s="184">
        <f>197-160</f>
        <v>37</v>
      </c>
      <c r="D11" s="179">
        <f>C11*6605</f>
        <v>244385</v>
      </c>
      <c r="E11" s="184">
        <v>35</v>
      </c>
      <c r="F11" s="180">
        <f>E11*6605/2</f>
        <v>115587.5</v>
      </c>
    </row>
    <row r="12" spans="2:10" x14ac:dyDescent="0.25">
      <c r="B12" s="172" t="s">
        <v>102</v>
      </c>
      <c r="C12" s="185">
        <v>0</v>
      </c>
      <c r="D12" s="183">
        <v>0</v>
      </c>
      <c r="E12" s="185">
        <f>147+24-160</f>
        <v>11</v>
      </c>
      <c r="F12" s="178">
        <f>E12*6605/2</f>
        <v>36327.5</v>
      </c>
    </row>
    <row r="13" spans="2:10" x14ac:dyDescent="0.25">
      <c r="B13" s="181" t="s">
        <v>105</v>
      </c>
      <c r="C13" s="313" t="s">
        <v>111</v>
      </c>
      <c r="D13" s="313"/>
      <c r="E13" s="313"/>
      <c r="F13" s="314"/>
    </row>
    <row r="14" spans="2:10" x14ac:dyDescent="0.25">
      <c r="B14" s="182" t="s">
        <v>103</v>
      </c>
      <c r="C14" s="313" t="s">
        <v>113</v>
      </c>
      <c r="D14" s="313"/>
      <c r="E14" s="313"/>
      <c r="F14" s="314"/>
    </row>
    <row r="15" spans="2:10" ht="14.4" thickBot="1" x14ac:dyDescent="0.3">
      <c r="B15" s="158" t="s">
        <v>104</v>
      </c>
      <c r="C15" s="331" t="s">
        <v>115</v>
      </c>
      <c r="D15" s="332"/>
      <c r="E15" s="332"/>
      <c r="F15" s="333"/>
    </row>
    <row r="16" spans="2:10" ht="14.4" thickBot="1" x14ac:dyDescent="0.3"/>
    <row r="17" spans="2:6" ht="14.4" thickBot="1" x14ac:dyDescent="0.3">
      <c r="B17" s="315" t="s">
        <v>99</v>
      </c>
      <c r="C17" s="316"/>
      <c r="D17" s="316"/>
      <c r="E17" s="316"/>
      <c r="F17" s="317"/>
    </row>
    <row r="18" spans="2:6" ht="14.4" thickBot="1" x14ac:dyDescent="0.3">
      <c r="B18" s="152" t="s">
        <v>106</v>
      </c>
      <c r="C18" s="318" t="s">
        <v>42</v>
      </c>
      <c r="D18" s="319"/>
      <c r="E18" s="318" t="s">
        <v>100</v>
      </c>
      <c r="F18" s="320"/>
    </row>
    <row r="19" spans="2:6" x14ac:dyDescent="0.25">
      <c r="B19" s="167" t="s">
        <v>101</v>
      </c>
      <c r="C19" s="334">
        <v>0</v>
      </c>
      <c r="D19" s="335"/>
      <c r="E19" s="334">
        <v>0</v>
      </c>
      <c r="F19" s="336"/>
    </row>
    <row r="20" spans="2:6" x14ac:dyDescent="0.25">
      <c r="B20" s="172" t="s">
        <v>102</v>
      </c>
      <c r="C20" s="323">
        <v>70000</v>
      </c>
      <c r="D20" s="324"/>
      <c r="E20" s="325">
        <f>6000*7</f>
        <v>42000</v>
      </c>
      <c r="F20" s="326"/>
    </row>
    <row r="21" spans="2:6" x14ac:dyDescent="0.25">
      <c r="B21" s="176" t="s">
        <v>105</v>
      </c>
      <c r="C21" s="323">
        <f>46500*7</f>
        <v>325500</v>
      </c>
      <c r="D21" s="324"/>
      <c r="E21" s="323">
        <v>0</v>
      </c>
      <c r="F21" s="327"/>
    </row>
    <row r="22" spans="2:6" x14ac:dyDescent="0.25">
      <c r="B22" s="172" t="s">
        <v>103</v>
      </c>
      <c r="C22" s="323">
        <f>13000*7</f>
        <v>91000</v>
      </c>
      <c r="D22" s="324"/>
      <c r="E22" s="323">
        <f>4000*7</f>
        <v>28000</v>
      </c>
      <c r="F22" s="327"/>
    </row>
    <row r="23" spans="2:6" ht="14.4" thickBot="1" x14ac:dyDescent="0.3">
      <c r="B23" s="158" t="s">
        <v>104</v>
      </c>
      <c r="C23" s="328">
        <f>65000*7</f>
        <v>455000</v>
      </c>
      <c r="D23" s="329"/>
      <c r="E23" s="328">
        <f>7000*7</f>
        <v>49000</v>
      </c>
      <c r="F23" s="330"/>
    </row>
    <row r="24" spans="2:6" ht="14.4" thickBot="1" x14ac:dyDescent="0.3">
      <c r="B24" s="163"/>
      <c r="C24" s="164"/>
      <c r="D24" s="165"/>
      <c r="E24" s="165"/>
      <c r="F24" s="166"/>
    </row>
    <row r="25" spans="2:6" ht="16.2" thickBot="1" x14ac:dyDescent="0.3">
      <c r="B25" s="153" t="s">
        <v>112</v>
      </c>
      <c r="C25" s="154" t="s">
        <v>110</v>
      </c>
      <c r="D25" s="155" t="s">
        <v>107</v>
      </c>
      <c r="E25" s="156" t="s">
        <v>108</v>
      </c>
      <c r="F25" s="157" t="s">
        <v>109</v>
      </c>
    </row>
    <row r="26" spans="2:6" x14ac:dyDescent="0.25">
      <c r="B26" s="167" t="s">
        <v>101</v>
      </c>
      <c r="C26" s="168">
        <f>197-160</f>
        <v>37</v>
      </c>
      <c r="D26" s="169">
        <f>C26*6605</f>
        <v>244385</v>
      </c>
      <c r="E26" s="170">
        <v>35</v>
      </c>
      <c r="F26" s="171">
        <f>E26*6605/2</f>
        <v>115587.5</v>
      </c>
    </row>
    <row r="27" spans="2:6" x14ac:dyDescent="0.25">
      <c r="B27" s="172" t="s">
        <v>102</v>
      </c>
      <c r="C27" s="173">
        <v>0</v>
      </c>
      <c r="D27" s="174">
        <f>C27*6605</f>
        <v>0</v>
      </c>
      <c r="E27" s="177">
        <f>147+24-160</f>
        <v>11</v>
      </c>
      <c r="F27" s="175">
        <f>E27*6605/2</f>
        <v>36327.5</v>
      </c>
    </row>
    <row r="28" spans="2:6" x14ac:dyDescent="0.25">
      <c r="B28" s="176" t="s">
        <v>105</v>
      </c>
      <c r="C28" s="321" t="s">
        <v>111</v>
      </c>
      <c r="D28" s="321"/>
      <c r="E28" s="321"/>
      <c r="F28" s="322"/>
    </row>
    <row r="29" spans="2:6" x14ac:dyDescent="0.25">
      <c r="B29" s="172" t="s">
        <v>103</v>
      </c>
      <c r="C29" s="173">
        <v>0</v>
      </c>
      <c r="D29" s="174">
        <v>0</v>
      </c>
      <c r="E29" s="173">
        <v>0</v>
      </c>
      <c r="F29" s="175">
        <v>0</v>
      </c>
    </row>
    <row r="30" spans="2:6" ht="14.4" thickBot="1" x14ac:dyDescent="0.3">
      <c r="B30" s="158" t="s">
        <v>104</v>
      </c>
      <c r="C30" s="159">
        <v>0</v>
      </c>
      <c r="D30" s="160">
        <v>0</v>
      </c>
      <c r="E30" s="161">
        <f>139+31-160</f>
        <v>10</v>
      </c>
      <c r="F30" s="162">
        <f>E30*6605/2</f>
        <v>33025</v>
      </c>
    </row>
    <row r="34" spans="2:6" ht="14.4" thickBot="1" x14ac:dyDescent="0.3"/>
    <row r="35" spans="2:6" ht="14.4" thickBot="1" x14ac:dyDescent="0.3">
      <c r="B35" s="315" t="s">
        <v>116</v>
      </c>
      <c r="C35" s="316"/>
      <c r="D35" s="316"/>
      <c r="E35" s="316"/>
      <c r="F35" s="317"/>
    </row>
    <row r="36" spans="2:6" ht="14.4" thickBot="1" x14ac:dyDescent="0.3">
      <c r="B36" s="152" t="s">
        <v>119</v>
      </c>
      <c r="C36" s="318" t="s">
        <v>42</v>
      </c>
      <c r="D36" s="319"/>
      <c r="E36" s="318" t="s">
        <v>100</v>
      </c>
      <c r="F36" s="320"/>
    </row>
    <row r="37" spans="2:6" x14ac:dyDescent="0.25">
      <c r="B37" s="167" t="s">
        <v>120</v>
      </c>
      <c r="C37" s="302" t="s">
        <v>123</v>
      </c>
      <c r="D37" s="303"/>
      <c r="E37" s="303"/>
      <c r="F37" s="304"/>
    </row>
    <row r="38" spans="2:6" x14ac:dyDescent="0.25">
      <c r="B38" s="172" t="s">
        <v>121</v>
      </c>
      <c r="C38" s="305" t="s">
        <v>122</v>
      </c>
      <c r="D38" s="306"/>
      <c r="E38" s="306"/>
      <c r="F38" s="307"/>
    </row>
    <row r="39" spans="2:6" x14ac:dyDescent="0.25">
      <c r="B39" s="172" t="s">
        <v>124</v>
      </c>
      <c r="C39" s="305" t="s">
        <v>125</v>
      </c>
      <c r="D39" s="306"/>
      <c r="E39" s="306"/>
      <c r="F39" s="307"/>
    </row>
    <row r="40" spans="2:6" ht="14.4" thickBot="1" x14ac:dyDescent="0.3">
      <c r="B40" s="158" t="s">
        <v>126</v>
      </c>
      <c r="C40" s="308" t="s">
        <v>127</v>
      </c>
      <c r="D40" s="309"/>
      <c r="E40" s="309"/>
      <c r="F40" s="310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3.8" x14ac:dyDescent="0.25"/>
  <cols>
    <col min="1" max="1" width="20.59765625" customWidth="1"/>
    <col min="2" max="2" width="10.5" bestFit="1" customWidth="1"/>
    <col min="3" max="3" width="14.59765625" customWidth="1"/>
    <col min="6" max="7" width="14.19921875" customWidth="1"/>
    <col min="8" max="8" width="11.09765625" bestFit="1" customWidth="1"/>
    <col min="9" max="9" width="13.5" bestFit="1" customWidth="1"/>
    <col min="10" max="10" width="13" bestFit="1" customWidth="1"/>
    <col min="11" max="11" width="12.5" bestFit="1" customWidth="1"/>
    <col min="12" max="12" width="11.09765625" bestFit="1" customWidth="1"/>
    <col min="14" max="14" width="9.3984375" customWidth="1"/>
  </cols>
  <sheetData>
    <row r="2" spans="1:14" x14ac:dyDescent="0.25">
      <c r="A2" t="s">
        <v>175</v>
      </c>
      <c r="B2" t="s">
        <v>176</v>
      </c>
    </row>
    <row r="3" spans="1:14" x14ac:dyDescent="0.25">
      <c r="B3" t="s">
        <v>42</v>
      </c>
    </row>
    <row r="7" spans="1:14" x14ac:dyDescent="0.25">
      <c r="N7" t="s">
        <v>177</v>
      </c>
    </row>
    <row r="8" spans="1:14" x14ac:dyDescent="0.25">
      <c r="A8" t="s">
        <v>178</v>
      </c>
      <c r="N8" t="s">
        <v>179</v>
      </c>
    </row>
    <row r="9" spans="1:14" x14ac:dyDescent="0.25">
      <c r="A9" t="s">
        <v>180</v>
      </c>
      <c r="D9" s="213" t="s">
        <v>181</v>
      </c>
      <c r="E9" s="213"/>
      <c r="N9" t="s">
        <v>182</v>
      </c>
    </row>
    <row r="10" spans="1:14" x14ac:dyDescent="0.25">
      <c r="N10" t="s">
        <v>183</v>
      </c>
    </row>
    <row r="15" spans="1:14" x14ac:dyDescent="0.25">
      <c r="A15" t="s">
        <v>184</v>
      </c>
      <c r="B15" t="s">
        <v>185</v>
      </c>
    </row>
    <row r="19" spans="1:12" x14ac:dyDescent="0.25">
      <c r="A19" s="39" t="s">
        <v>186</v>
      </c>
      <c r="B19" s="39" t="s">
        <v>177</v>
      </c>
      <c r="C19" s="39" t="s">
        <v>78</v>
      </c>
      <c r="D19" s="39" t="s">
        <v>187</v>
      </c>
      <c r="E19" s="39" t="s">
        <v>188</v>
      </c>
      <c r="F19" s="39" t="s">
        <v>189</v>
      </c>
      <c r="G19" s="39" t="s">
        <v>21</v>
      </c>
      <c r="H19" s="39" t="s">
        <v>190</v>
      </c>
      <c r="I19" s="39" t="s">
        <v>191</v>
      </c>
      <c r="J19" s="39" t="s">
        <v>192</v>
      </c>
      <c r="K19" s="39" t="s">
        <v>193</v>
      </c>
      <c r="L19" s="39" t="s">
        <v>194</v>
      </c>
    </row>
    <row r="20" spans="1:12" x14ac:dyDescent="0.25">
      <c r="A20" t="s">
        <v>195</v>
      </c>
      <c r="H20" s="149">
        <f>'תחשיב לפי שווי שומה (2)'!B8</f>
        <v>9000</v>
      </c>
      <c r="I20" s="190">
        <v>0</v>
      </c>
      <c r="J20" s="150">
        <f>D20*G20*H20*I20</f>
        <v>0</v>
      </c>
      <c r="K20" s="190">
        <v>0.51</v>
      </c>
      <c r="L20" s="149">
        <f>'[1]תחשיב לפי שווי שומה (2)'!$B$26*G20</f>
        <v>0</v>
      </c>
    </row>
    <row r="21" spans="1:12" x14ac:dyDescent="0.25">
      <c r="A21" t="s">
        <v>196</v>
      </c>
      <c r="H21" s="150">
        <f>H20</f>
        <v>9000</v>
      </c>
      <c r="I21" s="190">
        <v>0</v>
      </c>
      <c r="J21" s="150">
        <f>D21*G21*H21*I21</f>
        <v>0</v>
      </c>
      <c r="K21" s="190">
        <v>0.51</v>
      </c>
      <c r="L21" s="149">
        <f>'[1]תחשיב לפי שווי שומה (2)'!$B$26*G21</f>
        <v>0</v>
      </c>
    </row>
    <row r="22" spans="1:12" x14ac:dyDescent="0.25">
      <c r="A22" t="s">
        <v>197</v>
      </c>
      <c r="H22" s="150">
        <f>H21</f>
        <v>9000</v>
      </c>
      <c r="I22" s="190">
        <v>0.05</v>
      </c>
      <c r="J22" s="150">
        <f>D22*G22*H22*I22</f>
        <v>0</v>
      </c>
      <c r="K22" s="190">
        <v>0.51</v>
      </c>
      <c r="L22" s="149">
        <f>'[1]תחשיב לפי שווי שומה (2)'!$B$26*G22</f>
        <v>0</v>
      </c>
    </row>
    <row r="23" spans="1:12" x14ac:dyDescent="0.25">
      <c r="A23" t="s">
        <v>198</v>
      </c>
      <c r="H23" s="150">
        <f>H22</f>
        <v>9000</v>
      </c>
      <c r="I23" s="190">
        <v>0.05</v>
      </c>
      <c r="J23" s="150">
        <f>D23*G23*H23*I23</f>
        <v>0</v>
      </c>
      <c r="K23" s="190">
        <v>0.51</v>
      </c>
      <c r="L23" s="149">
        <f>'[1]תחשיב לפי שווי שומה (2)'!$B$26*G23</f>
        <v>0</v>
      </c>
    </row>
    <row r="24" spans="1:12" x14ac:dyDescent="0.25">
      <c r="A24" t="s">
        <v>199</v>
      </c>
      <c r="H24" s="150"/>
      <c r="I24" s="190">
        <v>0.05</v>
      </c>
      <c r="J24" s="150">
        <f>D24*G24*H24*I24</f>
        <v>0</v>
      </c>
      <c r="K24" s="190">
        <v>0.51</v>
      </c>
      <c r="L24" s="149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2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תחשיב לפי שווי שומה (2)</vt:lpstr>
      <vt:lpstr>סיכום עלויות פיצולים</vt:lpstr>
      <vt:lpstr>מ"ר אקו' נחלה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Roi Boost</cp:lastModifiedBy>
  <cp:lastPrinted>2021-12-23T08:27:36Z</cp:lastPrinted>
  <dcterms:created xsi:type="dcterms:W3CDTF">2021-03-08T14:46:48Z</dcterms:created>
  <dcterms:modified xsi:type="dcterms:W3CDTF">2025-03-10T14:04:12Z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