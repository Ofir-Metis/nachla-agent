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עסילה - שדה עוזיה/פרוייקט בדיקת התכנות/בדיקת התכנות/"/>
    </mc:Choice>
  </mc:AlternateContent>
  <xr:revisionPtr revIDLastSave="571" documentId="8_{E9A5D54E-385F-4F6C-AF2C-D62B03C85759}" xr6:coauthVersionLast="47" xr6:coauthVersionMax="47" xr10:uidLastSave="{57498953-28B3-4328-AD76-716D82613B0C}"/>
  <bookViews>
    <workbookView xWindow="-57720" yWindow="-120" windowWidth="29040" windowHeight="15720" activeTab="1" xr2:uid="{A05DD401-26F7-4249-BA87-8825FF0852EB}"/>
  </bookViews>
  <sheets>
    <sheet name="תחשיב לפי שווי שומה (2)" sheetId="6" r:id="rId1"/>
    <sheet name="מ&quot;ר אקו' נחלה" sheetId="3" r:id="rId2"/>
    <sheet name="ניתוח איזור לעסקאות דמה" sheetId="5" r:id="rId3"/>
    <sheet name="חישוב גדלי בתים" sheetId="4" r:id="rId4"/>
    <sheet name="תבעות" sheetId="8" r:id="rId5"/>
    <sheet name="גיליון1" sheetId="7" r:id="rId6"/>
    <sheet name="בקרה" sheetId="9" r:id="rId7"/>
  </sheets>
  <externalReferences>
    <externalReference r:id="rId8"/>
  </externalReferences>
  <definedNames>
    <definedName name="_xlnm._FilterDatabase" localSheetId="4" hidden="1">תבעות!$A$2:$F$5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" i="3" l="1"/>
  <c r="X55" i="3"/>
  <c r="V55" i="3"/>
  <c r="Z55" i="3" s="1"/>
  <c r="V53" i="3"/>
  <c r="Z53" i="3" s="1"/>
  <c r="T51" i="3"/>
  <c r="V51" i="3" s="1"/>
  <c r="T50" i="3"/>
  <c r="V50" i="3" s="1"/>
  <c r="T49" i="3"/>
  <c r="V49" i="3" s="1"/>
  <c r="T48" i="3"/>
  <c r="T52" i="3" l="1"/>
  <c r="T54" i="3" s="1"/>
  <c r="T56" i="3" s="1"/>
  <c r="T58" i="3" s="1"/>
  <c r="Z59" i="3"/>
  <c r="V48" i="3"/>
  <c r="V52" i="3" s="1"/>
  <c r="V59" i="3" s="1"/>
  <c r="X48" i="3"/>
  <c r="X59" i="3" s="1"/>
  <c r="J50" i="3" l="1"/>
  <c r="B54" i="3"/>
  <c r="D27" i="3"/>
  <c r="B25" i="3"/>
  <c r="B8" i="3"/>
  <c r="B9" i="3" s="1"/>
  <c r="B11" i="3" s="1"/>
  <c r="O13" i="4"/>
  <c r="P13" i="4"/>
  <c r="F27" i="5"/>
  <c r="F28" i="5" s="1"/>
  <c r="F30" i="5" s="1"/>
  <c r="D13" i="4"/>
  <c r="E13" i="4"/>
  <c r="F13" i="4"/>
  <c r="G13" i="4"/>
  <c r="H13" i="4"/>
  <c r="B5" i="6"/>
  <c r="D36" i="3"/>
  <c r="D33" i="3"/>
  <c r="L24" i="9"/>
  <c r="J24" i="9"/>
  <c r="L23" i="9"/>
  <c r="L22" i="9"/>
  <c r="L21" i="9"/>
  <c r="L20" i="9"/>
  <c r="C42" i="6"/>
  <c r="B8" i="6"/>
  <c r="H20" i="9" s="1"/>
  <c r="H21" i="9" s="1"/>
  <c r="J21" i="9" l="1"/>
  <c r="H22" i="9"/>
  <c r="J20" i="9"/>
  <c r="B32" i="6"/>
  <c r="D40" i="6"/>
  <c r="D39" i="6"/>
  <c r="D31" i="6"/>
  <c r="D32" i="6"/>
  <c r="C43" i="6"/>
  <c r="D43" i="6" s="1"/>
  <c r="C34" i="6"/>
  <c r="D34" i="6" s="1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H23" i="9" l="1"/>
  <c r="J23" i="9" s="1"/>
  <c r="J22" i="9"/>
  <c r="D42" i="6"/>
  <c r="C35" i="6"/>
  <c r="D35" i="6" s="1"/>
  <c r="G25" i="4"/>
  <c r="I25" i="4"/>
  <c r="H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D11" i="3" l="1"/>
  <c r="D13" i="3" s="1"/>
  <c r="S13" i="4" l="1"/>
  <c r="R13" i="4"/>
  <c r="Q13" i="4"/>
  <c r="M13" i="4"/>
  <c r="L13" i="4"/>
  <c r="K13" i="4"/>
  <c r="J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G49" i="3"/>
  <c r="I49" i="3" s="1"/>
  <c r="F48" i="3"/>
  <c r="B55" i="3"/>
  <c r="D49" i="3"/>
  <c r="D52" i="3"/>
  <c r="D51" i="3"/>
  <c r="D50" i="3"/>
  <c r="F18" i="6"/>
  <c r="D26" i="3" l="1"/>
  <c r="D28" i="3" s="1"/>
  <c r="B4" i="6" s="1"/>
  <c r="B56" i="3"/>
  <c r="D56" i="3" s="1"/>
  <c r="I7" i="3"/>
  <c r="I4" i="3"/>
  <c r="G8" i="3"/>
  <c r="G9" i="3" s="1"/>
  <c r="I6" i="3"/>
  <c r="J51" i="3"/>
  <c r="D83" i="3" s="1"/>
  <c r="I69" i="3"/>
  <c r="I70" i="3" s="1"/>
  <c r="G69" i="3"/>
  <c r="I50" i="3"/>
  <c r="I5" i="3"/>
  <c r="D53" i="3"/>
  <c r="D48" i="3"/>
  <c r="D57" i="3" l="1"/>
  <c r="D79" i="3" s="1"/>
  <c r="D81" i="3" s="1"/>
  <c r="D82" i="3" s="1"/>
  <c r="D84" i="3" s="1"/>
  <c r="E83" i="3"/>
  <c r="F83" i="3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9" i="6" l="1"/>
  <c r="B40" i="6" s="1"/>
  <c r="B42" i="6" s="1"/>
  <c r="B43" i="6" s="1"/>
  <c r="B31" i="6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<sst xmlns="http://schemas.openxmlformats.org/spreadsheetml/2006/main" count="371" uniqueCount="263">
  <si>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</si>
  <si>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</si>
  <si>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</si>
  <si>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</si>
  <si>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</si>
  <si>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</si>
  <si>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</si>
  <si>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</si>
  <si>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</si>
  <si>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</si>
  <si>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</si>
  <si>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</si>
  <si>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</si>
  <si>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</si>
  <si>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</si>
  <si>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</si>
  <si>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</si>
  <si>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</si>
  <si>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</si>
  <si>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</si>
  <si>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</si>
  <si>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</si>
  <si>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</si>
  <si>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</si>
  <si>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</si>
  <si>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</si>
  <si>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</si>
  <si>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</si>
  <si>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</si>
  <si>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</si>
  <si>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</si>
  <si>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</si>
  <si>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</si>
  <si>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</si>
  <si>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</si>
  <si>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</si>
  <si>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</si>
  <si>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</si>
  <si>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</si>
  <si>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</si>
  <si>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</si>
  <si>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</si>
  <si>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</si>
  <si>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</si>
  <si>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</si>
  <si>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</si>
  <si>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</si>
  <si>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</si>
  <si>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</si>
  <si>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</si>
  <si>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</si>
  <si>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</si>
  <si>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</si>
  <si>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</si>
  <si>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</si>
  <si>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</si>
  <si>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</si>
  <si>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</si>
  <si>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</si>
  <si>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</si>
  <si>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</si>
  <si>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</si>
  <si>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</si>
  <si>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</si>
  <si>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</si>
  <si>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</si>
  <si>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</si>
  <si>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</si>
  <si>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</si>
  <si>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</si>
  <si>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</si>
  <si>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</si>
  <si>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</si>
  <si>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</si>
  <si>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</si>
  <si>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</si>
  <si>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</si>
  <si>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</si>
  <si>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</si>
  <si>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</si>
  <si>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</si>
  <si>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</si>
  <si>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</si>
  <si>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</si>
  <si>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</si>
  <si>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</si>
  <si>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</si>
  <si>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</si>
  <si>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</si>
  <si>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</si>
  <si>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</si>
  <si>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</si>
  <si>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</si>
  <si>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</si>
  <si>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</si>
  <si>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</si>
  <si>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</si>
  <si>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</si>
  <si>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</si>
  <si>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</si>
  <si>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</si>
  <si>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</si>
  <si>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</si>
  <si>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</si>
  <si>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</si>
  <si>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</si>
  <si>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</si>
  <si>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</si>
  <si>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</si>
  <si>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</si>
  <si>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</si>
  <si>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</si>
  <si>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</si>
  <si>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</si>
  <si>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</si>
  <si>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</si>
  <si>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</si>
  <si>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</si>
  <si>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</si>
  <si>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</si>
  <si>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</si>
  <si>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</si>
  <si>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</si>
  <si>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</si>
  <si>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</si>
  <si>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</si>
  <si>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</si>
  <si>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</si>
  <si>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</si>
  <si>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</si>
  <si>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</si>
  <si>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</si>
  <si>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</si>
  <si>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</si>
  <si>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</si>
  <si>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</si>
  <si>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</si>
  <si>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</si>
  <si>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</si>
  <si>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</si>
  <si>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</si>
  <si>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</si>
  <si>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</si>
  <si>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</si>
  <si>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</si>
  <si>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</si>
  <si>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</si>
  <si>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</si>
  <si>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</si>
  <si>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</si>
  <si>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</si>
  <si>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</si>
  <si>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</si>
  <si>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</si>
  <si>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</si>
  <si>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</si>
  <si>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</si>
  <si>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</si>
  <si>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</si>
  <si>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</si>
  <si>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</si>
  <si>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</si>
  <si>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</si>
  <si>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</si>
  <si>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</si>
  <si>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</si>
  <si>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</si>
  <si>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</si>
  <si>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</si>
  <si>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פל"ח</t>
  </si>
  <si>
    <t>גובמאפ</t>
  </si>
  <si>
    <t>בתים</t>
  </si>
  <si>
    <t>3/222/06/6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</si>
  <si>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</si>
  <si>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</si>
  <si>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</si>
  <si>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</si>
  <si>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</si>
  <si>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</si>
  <si>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</si>
  <si>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</si>
  <si>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</si>
  <si>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</si>
  <si>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</si>
  <si>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</si>
  <si>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</si>
  <si>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</si>
  <si>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</si>
  <si>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</si>
  <si>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</si>
  <si>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</si>
  <si>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</si>
  <si>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</si>
  <si>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</si>
  <si>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</si>
  <si>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</si>
  <si>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</si>
  <si>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</si>
  <si>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</si>
  <si>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98 - חלקאי</t>
  </si>
  <si>
    <t>היתר שנת 01- חקלאי</t>
  </si>
  <si>
    <t>היתר שנת 2000 - חקלאי</t>
  </si>
  <si>
    <t>היתר שנת 78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</si>
  <si>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</si>
  <si>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</si>
  <si>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</si>
  <si>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</si>
  <si>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</si>
  <si>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</si>
  <si>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</si>
  <si>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מבנה 4- בית חמישי</t>
  </si>
  <si>
    <t>מבנה 5 - בית שישי + שביעי</t>
  </si>
  <si>
    <t>מבנה 6 - בית שמיני</t>
  </si>
  <si>
    <t>מבנה 6.1 -מחסן</t>
  </si>
  <si>
    <t>מבנה 6.2 -מחסן</t>
  </si>
  <si>
    <t>מבנה 6.3 -מחסן</t>
  </si>
  <si>
    <t>מבנה 7 - משרדים</t>
  </si>
  <si>
    <t>מבנה 8 - אחסנה פלח</t>
  </si>
  <si>
    <t xml:space="preserve">מבנה 2 - בית שני </t>
  </si>
  <si>
    <t>מבנה 2.2 - חניה</t>
  </si>
  <si>
    <t>ד/695</t>
  </si>
  <si>
    <t>בריכה</t>
  </si>
  <si>
    <t>מבנה 3 - בית מגורים  שלישי + רביעי</t>
  </si>
  <si>
    <t>מבנה 1 - בית מגורים  ראשון</t>
  </si>
  <si>
    <t>שווי מ"ר שמאי מכריע</t>
  </si>
  <si>
    <t>מועד קובע</t>
  </si>
  <si>
    <t>שנים</t>
  </si>
  <si>
    <t>מקדם זמן לשנה</t>
  </si>
  <si>
    <t>מקדם משוקלל</t>
  </si>
  <si>
    <t>שווי מ"ר מתואם</t>
  </si>
  <si>
    <t>מקדם נחלה</t>
  </si>
  <si>
    <t>שומת מנהל הרחבה</t>
  </si>
  <si>
    <t>שווי מתואם</t>
  </si>
  <si>
    <t>לשומה</t>
  </si>
  <si>
    <t>מבנה 6.4 -מחסן</t>
  </si>
  <si>
    <t>חניה</t>
  </si>
  <si>
    <t>היטל השבחה</t>
  </si>
  <si>
    <t>מצב קודם</t>
  </si>
  <si>
    <t>מקדם השבחה</t>
  </si>
  <si>
    <t>שווי מ"ר</t>
  </si>
  <si>
    <t>סה"כ היטל</t>
  </si>
  <si>
    <t>הסדרה</t>
  </si>
  <si>
    <t xml:space="preserve">בית שלישי </t>
  </si>
  <si>
    <t>יח"ד הורים</t>
  </si>
  <si>
    <t>מ"ר בנוי</t>
  </si>
  <si>
    <t>פטור</t>
  </si>
  <si>
    <t>היוון</t>
  </si>
  <si>
    <t>חוזה חכירה לאחר הסדרה והיוון</t>
  </si>
  <si>
    <t>פיצול בית 1</t>
  </si>
  <si>
    <t>חוזה חכירה לאחר פיצול</t>
  </si>
  <si>
    <t>מצב בנוי לאחר פיצול</t>
  </si>
  <si>
    <t>סעיף</t>
  </si>
  <si>
    <t>פיצול</t>
  </si>
  <si>
    <t>תחשיבי פיצול</t>
  </si>
  <si>
    <t>יתרת זכויות / רכישת דמי היתר</t>
  </si>
  <si>
    <t>רכישת דמי היתר בעקבות פיצול</t>
  </si>
  <si>
    <t>זכויות חוזיות</t>
  </si>
  <si>
    <t>עלות לרמ"י ליח'</t>
  </si>
  <si>
    <t>סה"כ רמ"י</t>
  </si>
  <si>
    <t>מס רכישה</t>
  </si>
  <si>
    <t>עלות ליח'</t>
  </si>
  <si>
    <t>סה"כ היטל השבחה</t>
  </si>
  <si>
    <t>סה"כ מס רכישה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</si>
</sst>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1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165" fontId="19" fillId="3" borderId="18" xfId="1" applyNumberFormat="1" applyFont="1" applyFill="1" applyBorder="1" applyAlignment="1">
      <alignment horizontal="center" vertical="center" wrapText="1"/>
    </xf>
    <xf numFmtId="165" fontId="20" fillId="3" borderId="18" xfId="1" applyNumberFormat="1" applyFont="1" applyFill="1" applyBorder="1" applyAlignment="1">
      <alignment horizontal="center" vertical="center" wrapText="1"/>
    </xf>
    <xf numFmtId="165" fontId="19" fillId="3" borderId="17" xfId="1" applyNumberFormat="1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14" fontId="0" fillId="0" borderId="0" xfId="1" applyNumberFormat="1" applyFont="1"/>
    <xf numFmtId="165" fontId="6" fillId="6" borderId="65" xfId="1" applyNumberFormat="1" applyFont="1" applyFill="1" applyBorder="1"/>
    <xf numFmtId="43" fontId="6" fillId="0" borderId="13" xfId="1" applyFont="1" applyBorder="1"/>
    <xf numFmtId="0" fontId="0" fillId="0" borderId="22" xfId="0" applyBorder="1"/>
    <xf numFmtId="0" fontId="0" fillId="0" borderId="55" xfId="0" applyBorder="1"/>
    <xf numFmtId="0" fontId="0" fillId="0" borderId="56" xfId="0" applyBorder="1"/>
    <xf numFmtId="0" fontId="0" fillId="0" borderId="71" xfId="0" applyBorder="1"/>
    <xf numFmtId="0" fontId="0" fillId="0" borderId="72" xfId="0" applyBorder="1"/>
    <xf numFmtId="0" fontId="0" fillId="0" borderId="58" xfId="0" applyBorder="1"/>
    <xf numFmtId="0" fontId="0" fillId="0" borderId="51" xfId="0" applyBorder="1"/>
    <xf numFmtId="0" fontId="0" fillId="0" borderId="30" xfId="0" applyBorder="1"/>
    <xf numFmtId="0" fontId="16" fillId="0" borderId="69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75" xfId="0" applyFont="1" applyBorder="1" applyAlignment="1">
      <alignment horizontal="center" vertical="center"/>
    </xf>
    <xf numFmtId="0" fontId="6" fillId="0" borderId="77" xfId="0" applyFont="1" applyBorder="1"/>
    <xf numFmtId="0" fontId="0" fillId="0" borderId="26" xfId="0" applyBorder="1"/>
    <xf numFmtId="0" fontId="0" fillId="0" borderId="76" xfId="0" applyBorder="1"/>
    <xf numFmtId="10" fontId="0" fillId="0" borderId="58" xfId="0" applyNumberFormat="1" applyBorder="1"/>
    <xf numFmtId="0" fontId="16" fillId="0" borderId="3" xfId="0" applyFont="1" applyBorder="1" applyAlignment="1">
      <alignment horizontal="center" vertical="center"/>
    </xf>
    <xf numFmtId="164" fontId="0" fillId="0" borderId="49" xfId="2" applyNumberFormat="1" applyFont="1" applyBorder="1"/>
    <xf numFmtId="164" fontId="0" fillId="0" borderId="52" xfId="2" applyNumberFormat="1" applyFont="1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164" fontId="0" fillId="0" borderId="78" xfId="2" applyNumberFormat="1" applyFont="1" applyBorder="1"/>
    <xf numFmtId="164" fontId="0" fillId="0" borderId="28" xfId="2" applyNumberFormat="1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164" fontId="0" fillId="0" borderId="73" xfId="2" applyNumberFormat="1" applyFont="1" applyBorder="1"/>
    <xf numFmtId="164" fontId="0" fillId="0" borderId="16" xfId="2" applyNumberFormat="1" applyFont="1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9" fontId="0" fillId="0" borderId="49" xfId="3" applyFont="1" applyBorder="1"/>
    <xf numFmtId="9" fontId="0" fillId="0" borderId="46" xfId="3" applyFont="1" applyBorder="1"/>
    <xf numFmtId="9" fontId="0" fillId="0" borderId="78" xfId="3" applyFont="1" applyBorder="1"/>
    <xf numFmtId="9" fontId="6" fillId="0" borderId="47" xfId="3" applyFont="1" applyBorder="1"/>
    <xf numFmtId="9" fontId="0" fillId="0" borderId="73" xfId="3" applyFont="1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0" fillId="0" borderId="6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0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616323</xdr:colOff>
      <xdr:row>12</xdr:row>
      <xdr:rowOff>79243</xdr:rowOff>
    </xdr:from>
    <xdr:to>
      <xdr:col>10</xdr:col>
      <xdr:colOff>49529</xdr:colOff>
      <xdr:row>21</xdr:row>
      <xdr:rowOff>3496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C992ED60-5A56-30D1-961C-BC4B459FB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9057530" y="2309214"/>
          <a:ext cx="6280000" cy="14370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85" zoomScaleNormal="85" workbookViewId="0">
      <selection activeCell="I27" sqref="I27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43</v>
      </c>
      <c r="B2" s="76">
        <f>'מ"ר אקו'' נחלה'!I14</f>
        <v>1002.5</v>
      </c>
      <c r="K2" s="1"/>
    </row>
    <row r="3" spans="1:11" x14ac:dyDescent="0.35">
      <c r="A3" s="1" t="s">
        <v>17</v>
      </c>
      <c r="B3" s="76">
        <f>'מ"ר אקו'' נחלה'!D14</f>
        <v>952.5</v>
      </c>
      <c r="K3" s="1"/>
    </row>
    <row r="4" spans="1:11" x14ac:dyDescent="0.35">
      <c r="A4" s="1" t="s">
        <v>90</v>
      </c>
      <c r="B4" s="76">
        <f>'מ"ר אקו'' נחלה'!D28</f>
        <v>139.5097721628334</v>
      </c>
      <c r="K4" s="1"/>
    </row>
    <row r="5" spans="1:11" x14ac:dyDescent="0.35">
      <c r="A5" s="1" t="s">
        <v>203</v>
      </c>
      <c r="B5" s="76">
        <f>'מ"ר אקו'' נחלה'!D38</f>
        <v>0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55</v>
      </c>
      <c r="B7" s="1">
        <f>'מ"ר אקו'' נחלה'!D57</f>
        <v>345.05</v>
      </c>
      <c r="C7" s="1" t="s">
        <v>56</v>
      </c>
      <c r="D7" s="75">
        <f>'מ"ר אקו'' נחלה'!I50</f>
        <v>245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8000</v>
      </c>
      <c r="C8" s="1" t="s">
        <v>83</v>
      </c>
      <c r="D8" s="5">
        <v>2500</v>
      </c>
      <c r="F8" s="75"/>
      <c r="K8" s="1"/>
    </row>
    <row r="9" spans="1:11" x14ac:dyDescent="0.35">
      <c r="A9" s="3"/>
      <c r="B9" s="5"/>
      <c r="C9" s="1" t="s">
        <v>91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65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241875</v>
      </c>
      <c r="G11" s="75">
        <f>'מ"ר אקו'' נחלה'!D71*-3.75%</f>
        <v>-6562.5</v>
      </c>
      <c r="H11" s="88">
        <f>SUM(F11:G11)</f>
        <v>235312.5</v>
      </c>
      <c r="I11" s="9"/>
      <c r="J11" s="75"/>
    </row>
    <row r="12" spans="1:11" x14ac:dyDescent="0.35">
      <c r="A12" s="82" t="s">
        <v>61</v>
      </c>
      <c r="B12" s="114">
        <f>D7</f>
        <v>245</v>
      </c>
      <c r="C12" s="115">
        <v>0.29249999999999998</v>
      </c>
      <c r="D12" s="82">
        <f t="shared" si="0"/>
        <v>71.662499999999994</v>
      </c>
      <c r="E12" s="82">
        <v>1</v>
      </c>
      <c r="F12" s="84">
        <f>D12*$B$8*E12</f>
        <v>573300</v>
      </c>
      <c r="G12" s="75">
        <f>-'מ"ר אקו'' נחלה'!D58*C12</f>
        <v>-29250</v>
      </c>
      <c r="H12" s="6">
        <f>SUM(F12:G12)</f>
        <v>544050</v>
      </c>
      <c r="J12" s="87"/>
    </row>
    <row r="13" spans="1:11" x14ac:dyDescent="0.35">
      <c r="A13" s="82" t="s">
        <v>62</v>
      </c>
      <c r="B13" s="114">
        <f>B7-B12</f>
        <v>100.05000000000001</v>
      </c>
      <c r="C13" s="115">
        <v>0.33</v>
      </c>
      <c r="D13" s="82">
        <f t="shared" si="0"/>
        <v>33.016500000000008</v>
      </c>
      <c r="E13" s="82">
        <v>1</v>
      </c>
      <c r="F13" s="84">
        <f>D13*$B$8*E13</f>
        <v>264132.00000000006</v>
      </c>
      <c r="G13" s="87">
        <f>G12*53/245</f>
        <v>-6327.5510204081629</v>
      </c>
      <c r="H13" s="6">
        <f>SUM(F13:G13)</f>
        <v>257804.44897959189</v>
      </c>
      <c r="I13" s="9"/>
      <c r="J13" s="75"/>
    </row>
    <row r="14" spans="1:11" ht="21" x14ac:dyDescent="0.4">
      <c r="A14" s="111" t="s">
        <v>63</v>
      </c>
      <c r="B14" s="112">
        <f>SUM(B12:B13)</f>
        <v>345.05</v>
      </c>
      <c r="C14" s="113"/>
      <c r="D14" s="113"/>
      <c r="E14" s="113"/>
      <c r="F14" s="113">
        <f>SUM(F12:F13)</f>
        <v>837432</v>
      </c>
      <c r="G14" s="116"/>
      <c r="H14" s="89">
        <f>SUM(H12:H13)</f>
        <v>801854.44897959195</v>
      </c>
      <c r="J14" s="75"/>
    </row>
    <row r="15" spans="1:11" ht="21" x14ac:dyDescent="0.4">
      <c r="A15" s="77" t="s">
        <v>7</v>
      </c>
      <c r="B15" s="77">
        <f>'מ"ר אקו'' נחלה'!I50</f>
        <v>245</v>
      </c>
      <c r="C15" s="80">
        <f>C35</f>
        <v>0.42499999999999999</v>
      </c>
      <c r="D15" s="77">
        <f>B15*C15</f>
        <v>104.125</v>
      </c>
      <c r="E15" s="77">
        <v>1</v>
      </c>
      <c r="F15" s="79">
        <f>D15*$B$8</f>
        <v>833000</v>
      </c>
      <c r="G15" s="9"/>
      <c r="J15" s="86"/>
    </row>
    <row r="16" spans="1:11" ht="21" x14ac:dyDescent="0.4">
      <c r="A16" s="77" t="s">
        <v>5</v>
      </c>
      <c r="B16" s="81">
        <f>B3+B4-B5</f>
        <v>1092.0097721628333</v>
      </c>
      <c r="C16" s="80">
        <v>0.33</v>
      </c>
      <c r="D16" s="77">
        <f t="shared" si="0"/>
        <v>360.36322481373503</v>
      </c>
      <c r="E16" s="77">
        <v>1</v>
      </c>
      <c r="F16" s="79">
        <f>D16*$B$8*E16</f>
        <v>2882905.7985098804</v>
      </c>
      <c r="G16" s="75">
        <f>-'מ"ר אקו'' נחלה'!D15*C16</f>
        <v>-81510</v>
      </c>
      <c r="H16" s="88">
        <f>SUM(F16:G16)</f>
        <v>2801395.7985098804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5096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546</v>
      </c>
      <c r="G20" s="9"/>
      <c r="I20" s="6"/>
      <c r="J20" s="9"/>
    </row>
    <row r="21" spans="1:10" ht="21" x14ac:dyDescent="0.4">
      <c r="A21" s="1" t="s">
        <v>69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44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2184</v>
      </c>
    </row>
    <row r="23" spans="1:10" ht="21" x14ac:dyDescent="0.4">
      <c r="A23" s="82" t="s">
        <v>84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45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400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46</v>
      </c>
      <c r="B27" s="85"/>
      <c r="C27" s="8"/>
      <c r="D27" s="186"/>
      <c r="E27" s="186"/>
      <c r="F27" s="5"/>
      <c r="I27" s="75"/>
    </row>
    <row r="29" spans="1:10" x14ac:dyDescent="0.35">
      <c r="A29" s="2" t="s">
        <v>155</v>
      </c>
      <c r="C29" s="75"/>
    </row>
    <row r="30" spans="1:10" x14ac:dyDescent="0.35">
      <c r="A30" s="2"/>
      <c r="B30" s="2" t="s">
        <v>157</v>
      </c>
      <c r="C30" s="2" t="s">
        <v>21</v>
      </c>
      <c r="D30" s="2" t="s">
        <v>156</v>
      </c>
    </row>
    <row r="31" spans="1:10" x14ac:dyDescent="0.35">
      <c r="A31" s="1" t="s">
        <v>153</v>
      </c>
      <c r="B31" s="5">
        <f>'מ"ר אקו'' נחלה'!D57*'תחשיב לפי שווי שומה (2)'!$B$8</f>
        <v>2760400</v>
      </c>
      <c r="C31" s="191">
        <v>1</v>
      </c>
      <c r="D31" s="6">
        <f>C31*$B$8</f>
        <v>8000</v>
      </c>
    </row>
    <row r="32" spans="1:10" x14ac:dyDescent="0.35">
      <c r="A32" s="1" t="s">
        <v>152</v>
      </c>
      <c r="B32" s="6">
        <f>350*$B$8*C32</f>
        <v>420000</v>
      </c>
      <c r="C32" s="191">
        <v>0.15</v>
      </c>
      <c r="D32" s="6">
        <f>C32*$B$8</f>
        <v>1200</v>
      </c>
    </row>
    <row r="33" spans="1:6" x14ac:dyDescent="0.35">
      <c r="C33" s="75"/>
    </row>
    <row r="34" spans="1:6" x14ac:dyDescent="0.35">
      <c r="A34" s="1" t="s">
        <v>150</v>
      </c>
      <c r="B34" s="6">
        <f>B31-B32</f>
        <v>2340400</v>
      </c>
      <c r="C34" s="191">
        <f>C31-C32</f>
        <v>0.85</v>
      </c>
      <c r="D34" s="6">
        <f>C34*$B$8</f>
        <v>6800</v>
      </c>
    </row>
    <row r="35" spans="1:6" x14ac:dyDescent="0.35">
      <c r="A35" s="1" t="s">
        <v>151</v>
      </c>
      <c r="B35" s="6">
        <f>B34*50%</f>
        <v>1170200</v>
      </c>
      <c r="C35" s="191">
        <f>C34*50%</f>
        <v>0.42499999999999999</v>
      </c>
      <c r="D35" s="6">
        <f>C35*$B$8</f>
        <v>3400</v>
      </c>
    </row>
    <row r="37" spans="1:6" x14ac:dyDescent="0.35">
      <c r="A37" s="2" t="s">
        <v>159</v>
      </c>
      <c r="C37" s="75"/>
    </row>
    <row r="38" spans="1:6" x14ac:dyDescent="0.35">
      <c r="A38" s="2"/>
      <c r="B38" s="2" t="s">
        <v>157</v>
      </c>
      <c r="C38" s="2" t="s">
        <v>21</v>
      </c>
      <c r="D38" s="2" t="s">
        <v>156</v>
      </c>
    </row>
    <row r="39" spans="1:6" x14ac:dyDescent="0.35">
      <c r="A39" s="1" t="s">
        <v>153</v>
      </c>
      <c r="B39" s="5">
        <f>'מ"ר אקו'' נחלה'!D57*'תחשיב לפי שווי שומה (2)'!$B$8</f>
        <v>2760400</v>
      </c>
      <c r="C39" s="191">
        <v>1</v>
      </c>
      <c r="D39" s="6">
        <f>C39*$B$8</f>
        <v>8000</v>
      </c>
    </row>
    <row r="40" spans="1:6" x14ac:dyDescent="0.35">
      <c r="A40" s="1" t="s">
        <v>160</v>
      </c>
      <c r="B40" s="6">
        <f>B39*70%</f>
        <v>1932279.9999999998</v>
      </c>
      <c r="C40" s="191">
        <v>0.7</v>
      </c>
      <c r="D40" s="6">
        <f>C40*$B$8</f>
        <v>5600</v>
      </c>
    </row>
    <row r="41" spans="1:6" x14ac:dyDescent="0.35">
      <c r="C41" s="75"/>
    </row>
    <row r="42" spans="1:6" x14ac:dyDescent="0.35">
      <c r="A42" s="1" t="s">
        <v>150</v>
      </c>
      <c r="B42" s="6">
        <f>B39-B40</f>
        <v>828120.00000000023</v>
      </c>
      <c r="C42" s="191">
        <f>C39-C40</f>
        <v>0.30000000000000004</v>
      </c>
      <c r="D42" s="6">
        <f>C42*$B$8</f>
        <v>2400.0000000000005</v>
      </c>
      <c r="F42" s="6"/>
    </row>
    <row r="43" spans="1:6" x14ac:dyDescent="0.35">
      <c r="A43" s="1" t="s">
        <v>151</v>
      </c>
      <c r="B43" s="6">
        <f>B42*50%</f>
        <v>414060.00000000012</v>
      </c>
      <c r="C43" s="191">
        <f>C42*50%</f>
        <v>0.15000000000000002</v>
      </c>
      <c r="D43" s="6">
        <f>C43*$B$8</f>
        <v>1200.0000000000002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Z84"/>
  <sheetViews>
    <sheetView rightToLeft="1" tabSelected="1" zoomScale="70" zoomScaleNormal="70" workbookViewId="0">
      <selection activeCell="L26" sqref="L26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23.296875" bestFit="1" customWidth="1"/>
    <col min="18" max="18" width="12.3984375" bestFit="1" customWidth="1"/>
    <col min="19" max="19" width="13.296875" bestFit="1" customWidth="1"/>
    <col min="20" max="20" width="21.8984375" customWidth="1"/>
    <col min="21" max="22" width="12.69921875" bestFit="1" customWidth="1"/>
    <col min="23" max="23" width="15.19921875" bestFit="1" customWidth="1"/>
    <col min="24" max="24" width="11.19921875" bestFit="1" customWidth="1"/>
    <col min="25" max="25" width="13.69921875" customWidth="1"/>
    <col min="26" max="26" width="10.0976562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127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53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95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25">
      <c r="A7" s="18" t="s">
        <v>24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25</v>
      </c>
      <c r="B8" s="23">
        <f>SUM(B4:B7)</f>
        <v>600</v>
      </c>
      <c r="C8" s="24"/>
      <c r="D8" s="25"/>
      <c r="E8" s="91"/>
      <c r="F8" s="22" t="s">
        <v>25</v>
      </c>
      <c r="G8" s="23">
        <f>SUM(G4:G7)</f>
        <v>600</v>
      </c>
      <c r="H8" s="24"/>
      <c r="I8" s="25"/>
    </row>
    <row r="9" spans="1:10" x14ac:dyDescent="0.25">
      <c r="A9" s="26" t="s">
        <v>26</v>
      </c>
      <c r="B9" s="27">
        <f>B2-B8</f>
        <v>1900</v>
      </c>
      <c r="C9" s="28"/>
      <c r="D9" s="29"/>
      <c r="F9" s="26" t="s">
        <v>26</v>
      </c>
      <c r="G9" s="27">
        <f>G2-G8</f>
        <v>2400</v>
      </c>
      <c r="H9" s="28"/>
      <c r="I9" s="29"/>
    </row>
    <row r="10" spans="1:10" x14ac:dyDescent="0.25">
      <c r="A10" s="22" t="s">
        <v>27</v>
      </c>
      <c r="B10" s="23">
        <v>1000</v>
      </c>
      <c r="C10" s="24">
        <v>0.25</v>
      </c>
      <c r="D10" s="25">
        <f>C10*B10</f>
        <v>250</v>
      </c>
      <c r="F10" s="22" t="s">
        <v>27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28</v>
      </c>
      <c r="B11" s="19">
        <f>B9-B10</f>
        <v>900</v>
      </c>
      <c r="C11" s="20">
        <v>0.2</v>
      </c>
      <c r="D11" s="21">
        <f>C11*B11</f>
        <v>180</v>
      </c>
      <c r="F11" s="18" t="s">
        <v>28</v>
      </c>
      <c r="G11" s="19">
        <f>B11</f>
        <v>900</v>
      </c>
      <c r="H11" s="20">
        <v>0.2</v>
      </c>
      <c r="I11" s="21">
        <f>H11*G11</f>
        <v>180</v>
      </c>
    </row>
    <row r="12" spans="1:10" x14ac:dyDescent="0.25">
      <c r="A12" s="18"/>
      <c r="B12" s="19"/>
      <c r="C12" s="20"/>
      <c r="D12" s="21"/>
      <c r="F12" s="18" t="s">
        <v>70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29</v>
      </c>
      <c r="B13" s="31">
        <f>SUM(B4:B11)</f>
        <v>5000</v>
      </c>
      <c r="C13" s="32"/>
      <c r="D13" s="33">
        <f>SUM(D4:D12)</f>
        <v>952.5</v>
      </c>
      <c r="F13" s="30" t="s">
        <v>29</v>
      </c>
      <c r="G13" s="31">
        <f>SUM(G4:G11)</f>
        <v>5500</v>
      </c>
      <c r="H13" s="32"/>
      <c r="I13" s="33">
        <f>SUM(I4:I12)</f>
        <v>1002.5</v>
      </c>
      <c r="J13" s="74"/>
    </row>
    <row r="14" spans="1:10" ht="14.4" thickBot="1" x14ac:dyDescent="0.3">
      <c r="A14" s="34" t="s">
        <v>30</v>
      </c>
      <c r="B14" s="35"/>
      <c r="C14" s="36"/>
      <c r="D14" s="37">
        <f>D13</f>
        <v>952.5</v>
      </c>
      <c r="E14" s="72"/>
      <c r="F14" s="34" t="s">
        <v>30</v>
      </c>
      <c r="G14" s="35"/>
      <c r="H14" s="36"/>
      <c r="I14" s="37">
        <f>I13</f>
        <v>1002.5</v>
      </c>
    </row>
    <row r="15" spans="1:10" x14ac:dyDescent="0.25">
      <c r="A15" t="s">
        <v>64</v>
      </c>
      <c r="D15" s="17">
        <v>247000</v>
      </c>
      <c r="F15" t="s">
        <v>64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67</v>
      </c>
      <c r="B17" s="11">
        <v>2500</v>
      </c>
      <c r="C17" s="12" t="s">
        <v>96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53</v>
      </c>
      <c r="B19" s="19">
        <v>188</v>
      </c>
      <c r="C19" s="20">
        <v>1</v>
      </c>
      <c r="D19" s="21">
        <f>C19*B19</f>
        <v>188</v>
      </c>
      <c r="I19" s="17"/>
    </row>
    <row r="20" spans="1:9" x14ac:dyDescent="0.25">
      <c r="A20" s="18" t="s">
        <v>66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235</v>
      </c>
      <c r="B21" s="19">
        <v>18</v>
      </c>
      <c r="C21" s="20">
        <v>0.35</v>
      </c>
      <c r="D21" s="21">
        <f>C21*B21</f>
        <v>6.3</v>
      </c>
      <c r="I21" s="17"/>
    </row>
    <row r="22" spans="1:9" x14ac:dyDescent="0.25">
      <c r="A22" s="18" t="s">
        <v>97</v>
      </c>
      <c r="B22" s="19"/>
      <c r="C22" s="20">
        <v>0.3</v>
      </c>
      <c r="D22" s="21">
        <f>C22*B22</f>
        <v>0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68</v>
      </c>
      <c r="B25" s="23">
        <f>-B19-B20-B21</f>
        <v>-218</v>
      </c>
      <c r="C25" s="24">
        <v>0.2</v>
      </c>
      <c r="D25" s="25">
        <f>B25*C25</f>
        <v>-43.6</v>
      </c>
      <c r="H25">
        <f>H24+137</f>
        <v>1086</v>
      </c>
      <c r="I25" s="17"/>
    </row>
    <row r="26" spans="1:9" x14ac:dyDescent="0.25">
      <c r="A26" s="18" t="s">
        <v>8</v>
      </c>
      <c r="B26" s="19"/>
      <c r="C26" s="20"/>
      <c r="D26" s="21">
        <f>SUM(D19:D25)</f>
        <v>161.50000000000003</v>
      </c>
      <c r="I26" s="17"/>
    </row>
    <row r="27" spans="1:9" x14ac:dyDescent="0.25">
      <c r="A27" s="30" t="s">
        <v>87</v>
      </c>
      <c r="B27" s="31"/>
      <c r="C27" s="32"/>
      <c r="D27" s="227">
        <f>1/1.05^3</f>
        <v>0.86383759853147601</v>
      </c>
      <c r="I27" s="17"/>
    </row>
    <row r="28" spans="1:9" ht="14.4" thickBot="1" x14ac:dyDescent="0.3">
      <c r="A28" s="34" t="s">
        <v>30</v>
      </c>
      <c r="B28" s="35"/>
      <c r="C28" s="36"/>
      <c r="D28" s="37">
        <f>D26*D27</f>
        <v>139.5097721628334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266" t="s">
        <v>203</v>
      </c>
      <c r="B30" s="267"/>
      <c r="C30" s="267"/>
      <c r="D30" s="268"/>
      <c r="I30" s="17"/>
    </row>
    <row r="31" spans="1:9" x14ac:dyDescent="0.25">
      <c r="A31" s="214" t="s">
        <v>204</v>
      </c>
      <c r="B31" s="12"/>
      <c r="C31" s="12"/>
      <c r="D31" s="215">
        <v>186</v>
      </c>
      <c r="I31" s="17"/>
    </row>
    <row r="32" spans="1:9" x14ac:dyDescent="0.25">
      <c r="A32" s="18" t="s">
        <v>205</v>
      </c>
      <c r="D32" s="216">
        <v>160</v>
      </c>
      <c r="I32" s="17"/>
    </row>
    <row r="33" spans="1:26" ht="14.4" thickBot="1" x14ac:dyDescent="0.3">
      <c r="A33" s="101" t="s">
        <v>206</v>
      </c>
      <c r="B33" s="103"/>
      <c r="C33" s="103"/>
      <c r="D33" s="217">
        <f>D31-D32</f>
        <v>26</v>
      </c>
      <c r="I33" s="17"/>
    </row>
    <row r="34" spans="1:26" x14ac:dyDescent="0.25">
      <c r="A34" s="10" t="s">
        <v>207</v>
      </c>
      <c r="B34" s="12"/>
      <c r="C34" s="12"/>
      <c r="D34" s="215">
        <v>240</v>
      </c>
      <c r="I34" s="17"/>
    </row>
    <row r="35" spans="1:26" x14ac:dyDescent="0.25">
      <c r="A35" s="18" t="s">
        <v>205</v>
      </c>
      <c r="D35" s="216">
        <v>160</v>
      </c>
      <c r="I35" s="17"/>
    </row>
    <row r="36" spans="1:26" ht="14.4" thickBot="1" x14ac:dyDescent="0.3">
      <c r="A36" s="101" t="s">
        <v>206</v>
      </c>
      <c r="B36" s="103"/>
      <c r="C36" s="103"/>
      <c r="D36" s="217">
        <f>D34-D35</f>
        <v>80</v>
      </c>
      <c r="I36" s="17"/>
    </row>
    <row r="37" spans="1:26" ht="14.4" thickBot="1" x14ac:dyDescent="0.3">
      <c r="A37" s="18"/>
      <c r="D37" s="216"/>
      <c r="I37" s="17"/>
    </row>
    <row r="38" spans="1:26" ht="14.4" thickBot="1" x14ac:dyDescent="0.3">
      <c r="A38" s="218" t="s">
        <v>208</v>
      </c>
      <c r="B38" s="219"/>
      <c r="C38" s="219"/>
      <c r="D38" s="220">
        <v>0</v>
      </c>
      <c r="I38" s="17"/>
    </row>
    <row r="39" spans="1:26" x14ac:dyDescent="0.25">
      <c r="D39" s="17"/>
      <c r="I39" s="17"/>
    </row>
    <row r="40" spans="1:26" x14ac:dyDescent="0.25">
      <c r="D40" s="17"/>
      <c r="I40" s="17"/>
    </row>
    <row r="41" spans="1:26" x14ac:dyDescent="0.25">
      <c r="A41" t="s">
        <v>209</v>
      </c>
      <c r="D41" s="17">
        <f>D14+D28-D38</f>
        <v>1092.0097721628333</v>
      </c>
      <c r="I41" s="17"/>
    </row>
    <row r="42" spans="1:26" x14ac:dyDescent="0.25">
      <c r="D42" s="17"/>
      <c r="I42" s="17"/>
    </row>
    <row r="43" spans="1:26" x14ac:dyDescent="0.25">
      <c r="D43" s="17"/>
      <c r="I43" s="17"/>
    </row>
    <row r="44" spans="1:26" x14ac:dyDescent="0.25">
      <c r="D44" s="17"/>
      <c r="I44" s="17"/>
    </row>
    <row r="45" spans="1:26" x14ac:dyDescent="0.25">
      <c r="D45" s="17"/>
      <c r="I45" s="17"/>
    </row>
    <row r="46" spans="1:26" ht="14.4" thickBot="1" x14ac:dyDescent="0.3">
      <c r="A46" s="39" t="s">
        <v>158</v>
      </c>
    </row>
    <row r="47" spans="1:26" ht="14.4" thickBot="1" x14ac:dyDescent="0.3">
      <c r="A47" s="10" t="s">
        <v>49</v>
      </c>
      <c r="B47" s="99">
        <v>500</v>
      </c>
      <c r="C47" s="12" t="s">
        <v>72</v>
      </c>
      <c r="D47" s="13"/>
      <c r="F47" s="10" t="s">
        <v>57</v>
      </c>
      <c r="G47" s="12"/>
      <c r="H47" s="12"/>
      <c r="I47" s="13"/>
      <c r="J47" t="s">
        <v>60</v>
      </c>
      <c r="P47" s="236" t="s">
        <v>253</v>
      </c>
      <c r="Q47" s="237" t="s">
        <v>251</v>
      </c>
      <c r="R47" s="237" t="s">
        <v>244</v>
      </c>
      <c r="S47" s="237" t="s">
        <v>245</v>
      </c>
      <c r="T47" s="238" t="s">
        <v>256</v>
      </c>
      <c r="U47" s="236" t="s">
        <v>257</v>
      </c>
      <c r="V47" s="243" t="s">
        <v>258</v>
      </c>
      <c r="W47" s="236" t="s">
        <v>260</v>
      </c>
      <c r="X47" s="243" t="s">
        <v>236</v>
      </c>
      <c r="Y47" s="236" t="s">
        <v>260</v>
      </c>
      <c r="Z47" s="243" t="s">
        <v>259</v>
      </c>
    </row>
    <row r="48" spans="1:26" x14ac:dyDescent="0.25">
      <c r="A48" s="22" t="s">
        <v>50</v>
      </c>
      <c r="B48" s="40">
        <v>283</v>
      </c>
      <c r="C48" s="24">
        <v>1</v>
      </c>
      <c r="D48" s="25">
        <f t="shared" ref="D48:D53" si="1">B48*C48</f>
        <v>283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P48" s="264" t="s">
        <v>241</v>
      </c>
      <c r="Q48" s="229" t="s">
        <v>14</v>
      </c>
      <c r="R48" s="229">
        <v>300</v>
      </c>
      <c r="S48" s="229">
        <v>160</v>
      </c>
      <c r="T48" s="230">
        <f>R48-S48</f>
        <v>140</v>
      </c>
      <c r="U48" s="244">
        <v>3000</v>
      </c>
      <c r="V48" s="245">
        <f>T48*U48</f>
        <v>420000</v>
      </c>
      <c r="W48" s="244">
        <v>0</v>
      </c>
      <c r="X48" s="245">
        <f>T48*W48</f>
        <v>0</v>
      </c>
      <c r="Y48" s="257">
        <v>0</v>
      </c>
      <c r="Z48" s="245">
        <v>0</v>
      </c>
    </row>
    <row r="49" spans="1:26" x14ac:dyDescent="0.25">
      <c r="A49" s="18" t="s">
        <v>54</v>
      </c>
      <c r="B49" s="19"/>
      <c r="C49" s="20">
        <v>0.5</v>
      </c>
      <c r="D49" s="21">
        <f t="shared" si="1"/>
        <v>0</v>
      </c>
      <c r="F49" s="18" t="s">
        <v>51</v>
      </c>
      <c r="G49">
        <f>500-G48</f>
        <v>340</v>
      </c>
      <c r="H49">
        <v>0.25</v>
      </c>
      <c r="I49" s="21">
        <f>G49*H49</f>
        <v>85</v>
      </c>
      <c r="J49" s="17"/>
      <c r="K49" s="17"/>
      <c r="P49" s="269"/>
      <c r="Q49" s="228" t="s">
        <v>15</v>
      </c>
      <c r="R49" s="228">
        <v>197</v>
      </c>
      <c r="S49" s="228">
        <v>160</v>
      </c>
      <c r="T49" s="231">
        <f>R49-S49</f>
        <v>37</v>
      </c>
      <c r="U49" s="246">
        <v>3000</v>
      </c>
      <c r="V49" s="247">
        <f>T49*U49</f>
        <v>111000</v>
      </c>
      <c r="W49" s="246">
        <v>0</v>
      </c>
      <c r="X49" s="247">
        <v>0</v>
      </c>
      <c r="Y49" s="258">
        <v>0</v>
      </c>
      <c r="Z49" s="247">
        <v>0</v>
      </c>
    </row>
    <row r="50" spans="1:26" x14ac:dyDescent="0.25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58</v>
      </c>
      <c r="G50" s="108"/>
      <c r="H50" s="108"/>
      <c r="I50" s="109">
        <f>I48+I49</f>
        <v>245</v>
      </c>
      <c r="J50" s="17">
        <f>8000/0.9</f>
        <v>8888.8888888888887</v>
      </c>
      <c r="K50" s="17">
        <f>I50*J50</f>
        <v>2177777.7777777775</v>
      </c>
      <c r="L50" s="110">
        <v>0.29249999999999998</v>
      </c>
      <c r="M50" s="91">
        <f>K50*L50</f>
        <v>636999.99999999988</v>
      </c>
      <c r="P50" s="269"/>
      <c r="Q50" s="228" t="s">
        <v>242</v>
      </c>
      <c r="R50" s="228">
        <v>130</v>
      </c>
      <c r="S50" s="228">
        <v>0</v>
      </c>
      <c r="T50" s="231">
        <f>R50-S50</f>
        <v>130</v>
      </c>
      <c r="U50" s="246">
        <v>3000</v>
      </c>
      <c r="V50" s="247">
        <f>T50*U50</f>
        <v>390000</v>
      </c>
      <c r="W50" s="246">
        <v>0</v>
      </c>
      <c r="X50" s="247">
        <v>0</v>
      </c>
      <c r="Y50" s="258">
        <v>0</v>
      </c>
      <c r="Z50" s="247">
        <v>0</v>
      </c>
    </row>
    <row r="51" spans="1:26" ht="14.4" thickBot="1" x14ac:dyDescent="0.3">
      <c r="A51" s="18"/>
      <c r="B51" s="19"/>
      <c r="C51" s="20">
        <v>0.5</v>
      </c>
      <c r="D51" s="21">
        <f t="shared" si="1"/>
        <v>0</v>
      </c>
      <c r="F51" s="101" t="s">
        <v>59</v>
      </c>
      <c r="G51" s="103"/>
      <c r="H51" s="103"/>
      <c r="I51" s="104">
        <f>D57-I50</f>
        <v>100.05000000000001</v>
      </c>
      <c r="J51" s="17">
        <f>J50</f>
        <v>8888.8888888888887</v>
      </c>
      <c r="K51" s="17">
        <f>I51*J51</f>
        <v>889333.33333333337</v>
      </c>
      <c r="L51" s="110">
        <v>0.33</v>
      </c>
      <c r="M51" s="91">
        <f>K51*L51</f>
        <v>293480</v>
      </c>
      <c r="P51" s="269"/>
      <c r="Q51" s="240" t="s">
        <v>243</v>
      </c>
      <c r="R51" s="240">
        <v>55</v>
      </c>
      <c r="S51" s="240">
        <v>0</v>
      </c>
      <c r="T51" s="241">
        <f>R51-S51</f>
        <v>55</v>
      </c>
      <c r="U51" s="248">
        <v>3000</v>
      </c>
      <c r="V51" s="249">
        <f>T51*U51</f>
        <v>165000</v>
      </c>
      <c r="W51" s="248">
        <v>0</v>
      </c>
      <c r="X51" s="249">
        <v>0</v>
      </c>
      <c r="Y51" s="259">
        <v>0</v>
      </c>
      <c r="Z51" s="249">
        <v>0</v>
      </c>
    </row>
    <row r="52" spans="1:26" ht="14.4" thickBot="1" x14ac:dyDescent="0.3">
      <c r="A52" s="18"/>
      <c r="B52" s="19"/>
      <c r="C52" s="20">
        <v>0.35</v>
      </c>
      <c r="D52" s="21">
        <f t="shared" si="1"/>
        <v>0</v>
      </c>
      <c r="M52" s="91">
        <f>SUM(M50:M51)</f>
        <v>930479.99999999988</v>
      </c>
      <c r="P52" s="265"/>
      <c r="Q52" s="270" t="s">
        <v>8</v>
      </c>
      <c r="R52" s="271"/>
      <c r="S52" s="272"/>
      <c r="T52" s="239">
        <f>SUM(T48:T51)</f>
        <v>362</v>
      </c>
      <c r="U52" s="250">
        <v>3000</v>
      </c>
      <c r="V52" s="251">
        <f>SUM(V48:V51)</f>
        <v>1086000</v>
      </c>
      <c r="W52" s="250">
        <v>0</v>
      </c>
      <c r="X52" s="251">
        <v>0</v>
      </c>
      <c r="Y52" s="260">
        <v>0</v>
      </c>
      <c r="Z52" s="251">
        <v>0</v>
      </c>
    </row>
    <row r="53" spans="1:26" x14ac:dyDescent="0.25">
      <c r="A53" s="100" t="s">
        <v>24</v>
      </c>
      <c r="B53" s="71"/>
      <c r="C53" s="28">
        <v>0.5</v>
      </c>
      <c r="D53" s="29">
        <f t="shared" si="1"/>
        <v>0</v>
      </c>
      <c r="P53" s="273" t="s">
        <v>246</v>
      </c>
      <c r="Q53" s="229" t="s">
        <v>246</v>
      </c>
      <c r="R53" s="242">
        <v>3.7499999999999999E-2</v>
      </c>
      <c r="S53" s="234"/>
      <c r="T53" s="230">
        <v>375</v>
      </c>
      <c r="U53" s="254">
        <v>240000</v>
      </c>
      <c r="V53" s="255">
        <f>U53</f>
        <v>240000</v>
      </c>
      <c r="W53" s="254">
        <v>0</v>
      </c>
      <c r="X53" s="255">
        <v>0</v>
      </c>
      <c r="Y53" s="256">
        <v>0.06</v>
      </c>
      <c r="Z53" s="255">
        <f>V53*6%</f>
        <v>14400</v>
      </c>
    </row>
    <row r="54" spans="1:26" ht="14.4" thickBot="1" x14ac:dyDescent="0.3">
      <c r="A54" s="22" t="s">
        <v>25</v>
      </c>
      <c r="B54" s="23">
        <f>SUM(B48:B53)-B49</f>
        <v>295</v>
      </c>
      <c r="C54" s="24"/>
      <c r="D54" s="25"/>
      <c r="P54" s="274"/>
      <c r="Q54" s="235" t="s">
        <v>247</v>
      </c>
      <c r="R54" s="235"/>
      <c r="S54" s="235"/>
      <c r="T54" s="232">
        <f>SUM(T52:T53)</f>
        <v>737</v>
      </c>
      <c r="U54" s="252"/>
      <c r="V54" s="253"/>
      <c r="W54" s="252"/>
      <c r="X54" s="253"/>
      <c r="Y54" s="261"/>
      <c r="Z54" s="253">
        <v>0</v>
      </c>
    </row>
    <row r="55" spans="1:26" x14ac:dyDescent="0.25">
      <c r="A55" s="18" t="s">
        <v>26</v>
      </c>
      <c r="B55" s="19">
        <f>B47-B54</f>
        <v>205</v>
      </c>
      <c r="C55" s="20"/>
      <c r="D55" s="21"/>
      <c r="P55" s="264" t="s">
        <v>252</v>
      </c>
      <c r="Q55" s="229" t="s">
        <v>248</v>
      </c>
      <c r="R55" s="233"/>
      <c r="S55" s="234"/>
      <c r="T55" s="230">
        <v>-160</v>
      </c>
      <c r="U55" s="244">
        <v>950000</v>
      </c>
      <c r="V55" s="245">
        <f>U55</f>
        <v>950000</v>
      </c>
      <c r="W55" s="244">
        <v>450000</v>
      </c>
      <c r="X55" s="245">
        <f>W55</f>
        <v>450000</v>
      </c>
      <c r="Y55" s="257">
        <v>0.06</v>
      </c>
      <c r="Z55" s="245">
        <f>V55*6%</f>
        <v>57000</v>
      </c>
    </row>
    <row r="56" spans="1:26" ht="14.4" thickBot="1" x14ac:dyDescent="0.3">
      <c r="A56" s="26" t="s">
        <v>27</v>
      </c>
      <c r="B56" s="105">
        <f>B55</f>
        <v>205</v>
      </c>
      <c r="C56" s="106">
        <v>0.25</v>
      </c>
      <c r="D56" s="107">
        <f>B56*C56</f>
        <v>51.25</v>
      </c>
      <c r="P56" s="265"/>
      <c r="Q56" s="235" t="s">
        <v>249</v>
      </c>
      <c r="R56" s="235"/>
      <c r="S56" s="235"/>
      <c r="T56" s="232">
        <f>SUM(T54:T55)</f>
        <v>577</v>
      </c>
      <c r="U56" s="252"/>
      <c r="V56" s="253"/>
      <c r="W56" s="252"/>
      <c r="X56" s="253"/>
      <c r="Y56" s="261"/>
      <c r="Z56" s="253"/>
    </row>
    <row r="57" spans="1:26" ht="14.4" thickBot="1" x14ac:dyDescent="0.3">
      <c r="A57" s="101" t="s">
        <v>29</v>
      </c>
      <c r="B57" s="102"/>
      <c r="C57" s="103"/>
      <c r="D57" s="104">
        <f>SUM(D48:D56)</f>
        <v>345.05</v>
      </c>
      <c r="F57" s="91"/>
      <c r="P57" s="264" t="s">
        <v>255</v>
      </c>
      <c r="Q57" s="229" t="s">
        <v>250</v>
      </c>
      <c r="R57" s="229"/>
      <c r="S57" s="229"/>
      <c r="T57" s="230">
        <f>-R49-R50-R51</f>
        <v>-382</v>
      </c>
      <c r="U57" s="244"/>
      <c r="V57" s="245"/>
      <c r="W57" s="244"/>
      <c r="X57" s="245">
        <v>0</v>
      </c>
      <c r="Y57" s="257">
        <v>0</v>
      </c>
      <c r="Z57" s="245">
        <v>0</v>
      </c>
    </row>
    <row r="58" spans="1:26" ht="14.4" thickBot="1" x14ac:dyDescent="0.3">
      <c r="A58" s="18" t="s">
        <v>73</v>
      </c>
      <c r="B58" s="19"/>
      <c r="D58" s="91">
        <v>100000</v>
      </c>
      <c r="P58" s="265"/>
      <c r="Q58" s="235" t="s">
        <v>254</v>
      </c>
      <c r="R58" s="235"/>
      <c r="S58" s="235"/>
      <c r="T58" s="232">
        <f>SUM(T56:T57)</f>
        <v>195</v>
      </c>
      <c r="U58" s="252">
        <v>0</v>
      </c>
      <c r="V58" s="253">
        <v>0</v>
      </c>
      <c r="W58" s="252"/>
      <c r="X58" s="253">
        <v>0</v>
      </c>
      <c r="Y58" s="261">
        <v>0</v>
      </c>
      <c r="Z58" s="253">
        <v>0</v>
      </c>
    </row>
    <row r="59" spans="1:26" ht="14.4" thickBot="1" x14ac:dyDescent="0.3">
      <c r="U59" s="218" t="s">
        <v>258</v>
      </c>
      <c r="V59" s="262">
        <f>SUM(V52:V58)</f>
        <v>2276000</v>
      </c>
      <c r="W59" s="219" t="s">
        <v>261</v>
      </c>
      <c r="X59" s="262">
        <f>SUM(X48:X58)</f>
        <v>450000</v>
      </c>
      <c r="Y59" s="219" t="s">
        <v>262</v>
      </c>
      <c r="Z59" s="263">
        <f>SUM(Z52:Z58)</f>
        <v>71400</v>
      </c>
    </row>
    <row r="60" spans="1:26" ht="14.4" thickBot="1" x14ac:dyDescent="0.3">
      <c r="A60" t="s">
        <v>94</v>
      </c>
      <c r="B60">
        <v>2500</v>
      </c>
      <c r="F60" t="str">
        <f>A60</f>
        <v>לפי שומת הררי 2021</v>
      </c>
      <c r="G60">
        <v>3000</v>
      </c>
    </row>
    <row r="61" spans="1:26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6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6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6" x14ac:dyDescent="0.25">
      <c r="A64" s="18" t="s">
        <v>31</v>
      </c>
      <c r="B64">
        <v>55</v>
      </c>
      <c r="C64">
        <v>1</v>
      </c>
      <c r="D64" s="21">
        <f t="shared" si="2"/>
        <v>55</v>
      </c>
      <c r="F64" s="18" t="s">
        <v>31</v>
      </c>
      <c r="G64">
        <v>55</v>
      </c>
      <c r="H64">
        <v>1</v>
      </c>
      <c r="I64" s="21">
        <f>H64*G64</f>
        <v>55</v>
      </c>
    </row>
    <row r="65" spans="1:20" x14ac:dyDescent="0.25">
      <c r="A65" s="18" t="s">
        <v>25</v>
      </c>
      <c r="B65" s="40">
        <f>SUM(B62:B64)</f>
        <v>375</v>
      </c>
      <c r="D65" s="21"/>
      <c r="F65" s="18" t="s">
        <v>25</v>
      </c>
      <c r="G65" s="40">
        <f>SUM(G62:G64)</f>
        <v>375</v>
      </c>
      <c r="I65" s="21"/>
    </row>
    <row r="66" spans="1:20" x14ac:dyDescent="0.25">
      <c r="A66" s="18" t="s">
        <v>32</v>
      </c>
      <c r="B66">
        <v>1125</v>
      </c>
      <c r="C66" s="20">
        <v>0.25</v>
      </c>
      <c r="D66" s="21">
        <f t="shared" si="2"/>
        <v>281.25</v>
      </c>
      <c r="F66" s="18" t="s">
        <v>32</v>
      </c>
      <c r="G66">
        <v>1125</v>
      </c>
      <c r="H66" s="20">
        <v>0.25</v>
      </c>
      <c r="I66" s="21">
        <f>H66*G66</f>
        <v>281.25</v>
      </c>
    </row>
    <row r="67" spans="1:20" x14ac:dyDescent="0.25">
      <c r="A67" s="18" t="s">
        <v>52</v>
      </c>
      <c r="B67">
        <f>B60-B65-B66</f>
        <v>1000</v>
      </c>
      <c r="C67" s="20">
        <v>0.15</v>
      </c>
      <c r="D67" s="21">
        <f t="shared" si="2"/>
        <v>150</v>
      </c>
      <c r="F67" s="18" t="s">
        <v>52</v>
      </c>
      <c r="G67">
        <v>1000</v>
      </c>
      <c r="H67" s="20">
        <v>0.15</v>
      </c>
      <c r="I67" s="21">
        <f>H67*G67</f>
        <v>150</v>
      </c>
    </row>
    <row r="68" spans="1:20" x14ac:dyDescent="0.25">
      <c r="A68" s="18"/>
      <c r="C68" s="20"/>
      <c r="D68" s="21"/>
      <c r="F68" s="18" t="s">
        <v>71</v>
      </c>
      <c r="G68">
        <v>500</v>
      </c>
      <c r="H68" s="20">
        <v>0.1</v>
      </c>
      <c r="I68" s="128">
        <f>G68*H68</f>
        <v>50</v>
      </c>
    </row>
    <row r="69" spans="1:20" x14ac:dyDescent="0.25">
      <c r="A69" s="43" t="s">
        <v>29</v>
      </c>
      <c r="B69" s="40">
        <f>SUM(B62:B67)</f>
        <v>2875</v>
      </c>
      <c r="C69" s="40"/>
      <c r="D69" s="44">
        <f>SUM(D62:D67)</f>
        <v>806.25</v>
      </c>
      <c r="F69" s="43" t="s">
        <v>29</v>
      </c>
      <c r="G69" s="40">
        <f>SUM(G62:G68)</f>
        <v>3375</v>
      </c>
      <c r="H69" s="40"/>
      <c r="I69" s="44">
        <f>SUM(I62:I68)</f>
        <v>856.25</v>
      </c>
    </row>
    <row r="70" spans="1:20" ht="14.4" thickBot="1" x14ac:dyDescent="0.3">
      <c r="A70" s="34" t="s">
        <v>30</v>
      </c>
      <c r="B70" s="45"/>
      <c r="C70" s="45"/>
      <c r="D70" s="46">
        <f>D69</f>
        <v>806.25</v>
      </c>
      <c r="E70" s="72"/>
      <c r="F70" s="34" t="s">
        <v>30</v>
      </c>
      <c r="G70" s="45"/>
      <c r="H70" s="45"/>
      <c r="I70" s="46">
        <f>I69</f>
        <v>856.25</v>
      </c>
    </row>
    <row r="71" spans="1:20" x14ac:dyDescent="0.25">
      <c r="A71" t="s">
        <v>64</v>
      </c>
      <c r="D71" s="17">
        <v>175000</v>
      </c>
      <c r="F71" t="s">
        <v>64</v>
      </c>
      <c r="I71" s="17">
        <v>190000</v>
      </c>
      <c r="T71" s="150"/>
    </row>
    <row r="76" spans="1:20" x14ac:dyDescent="0.25">
      <c r="A76" t="s">
        <v>236</v>
      </c>
    </row>
    <row r="77" spans="1:20" x14ac:dyDescent="0.25">
      <c r="A77" t="s">
        <v>237</v>
      </c>
    </row>
    <row r="79" spans="1:20" x14ac:dyDescent="0.25">
      <c r="A79" t="s">
        <v>142</v>
      </c>
      <c r="D79" s="91">
        <f>D57</f>
        <v>345.05</v>
      </c>
    </row>
    <row r="80" spans="1:20" x14ac:dyDescent="0.25">
      <c r="A80" t="s">
        <v>238</v>
      </c>
      <c r="D80">
        <v>0.3</v>
      </c>
    </row>
    <row r="81" spans="1:6" x14ac:dyDescent="0.25">
      <c r="A81" t="s">
        <v>8</v>
      </c>
      <c r="D81" s="72">
        <f>D80*D79</f>
        <v>103.515</v>
      </c>
    </row>
    <row r="82" spans="1:6" x14ac:dyDescent="0.25">
      <c r="A82" t="s">
        <v>151</v>
      </c>
      <c r="D82" s="72">
        <f>D81/2</f>
        <v>51.7575</v>
      </c>
    </row>
    <row r="83" spans="1:6" x14ac:dyDescent="0.25">
      <c r="A83" t="s">
        <v>239</v>
      </c>
      <c r="D83" s="91">
        <f>J51</f>
        <v>8888.8888888888887</v>
      </c>
      <c r="E83" s="72">
        <f>D83-8000*0.15</f>
        <v>7688.8888888888887</v>
      </c>
      <c r="F83" s="72">
        <f>E83/2</f>
        <v>3844.4444444444443</v>
      </c>
    </row>
    <row r="84" spans="1:6" x14ac:dyDescent="0.25">
      <c r="A84" t="s">
        <v>240</v>
      </c>
      <c r="D84">
        <f>D83*D82</f>
        <v>460066.66666666669</v>
      </c>
    </row>
  </sheetData>
  <mergeCells count="6">
    <mergeCell ref="P57:P58"/>
    <mergeCell ref="A30:D30"/>
    <mergeCell ref="P48:P52"/>
    <mergeCell ref="Q52:S52"/>
    <mergeCell ref="P53:P54"/>
    <mergeCell ref="P55:P5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M31"/>
  <sheetViews>
    <sheetView rightToLeft="1" zoomScale="85" zoomScaleNormal="85" workbookViewId="0">
      <selection activeCell="D13" sqref="D13:K33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9.296875" style="17" customWidth="1"/>
    <col min="6" max="6" width="10.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</cols>
  <sheetData>
    <row r="2" spans="2:13" ht="15.6" x14ac:dyDescent="0.4">
      <c r="B2" s="39" t="s">
        <v>154</v>
      </c>
      <c r="C2" s="39"/>
      <c r="D2" s="131"/>
    </row>
    <row r="3" spans="2:13" x14ac:dyDescent="0.25">
      <c r="B3" t="s">
        <v>93</v>
      </c>
      <c r="C3" s="149"/>
      <c r="D3" s="149"/>
      <c r="G3" s="190"/>
      <c r="H3" s="149"/>
      <c r="I3" s="150"/>
      <c r="J3" s="150"/>
    </row>
    <row r="4" spans="2:13" x14ac:dyDescent="0.25">
      <c r="B4" t="s">
        <v>128</v>
      </c>
      <c r="C4" s="187"/>
      <c r="D4" s="38"/>
      <c r="G4" s="190"/>
      <c r="J4" s="150"/>
    </row>
    <row r="5" spans="2:13" x14ac:dyDescent="0.25">
      <c r="B5" t="s">
        <v>129</v>
      </c>
    </row>
    <row r="6" spans="2:13" x14ac:dyDescent="0.25">
      <c r="B6" t="s">
        <v>130</v>
      </c>
      <c r="C6" s="150"/>
      <c r="D6" s="149"/>
    </row>
    <row r="7" spans="2:13" x14ac:dyDescent="0.25">
      <c r="B7" t="s">
        <v>144</v>
      </c>
      <c r="C7">
        <v>8000</v>
      </c>
    </row>
    <row r="8" spans="2:13" x14ac:dyDescent="0.25">
      <c r="C8" s="150"/>
    </row>
    <row r="9" spans="2:13" x14ac:dyDescent="0.25">
      <c r="B9" s="39" t="s">
        <v>131</v>
      </c>
      <c r="C9" s="151"/>
    </row>
    <row r="10" spans="2:13" ht="27.6" x14ac:dyDescent="0.4">
      <c r="B10" s="39" t="s">
        <v>133</v>
      </c>
      <c r="C10" s="39" t="s">
        <v>132</v>
      </c>
      <c r="D10" s="131" t="s">
        <v>134</v>
      </c>
      <c r="E10" s="131" t="s">
        <v>135</v>
      </c>
      <c r="F10" s="131" t="s">
        <v>136</v>
      </c>
      <c r="G10" s="131" t="s">
        <v>137</v>
      </c>
      <c r="H10" s="189" t="s">
        <v>138</v>
      </c>
      <c r="I10" s="131" t="s">
        <v>139</v>
      </c>
      <c r="J10" s="131" t="s">
        <v>140</v>
      </c>
      <c r="K10" s="131" t="s">
        <v>141</v>
      </c>
      <c r="L10" s="131" t="s">
        <v>142</v>
      </c>
      <c r="M10" s="131" t="s">
        <v>143</v>
      </c>
    </row>
    <row r="11" spans="2:13" x14ac:dyDescent="0.25">
      <c r="B11" s="188"/>
    </row>
    <row r="13" spans="2:13" x14ac:dyDescent="0.25">
      <c r="C13" s="150"/>
    </row>
    <row r="14" spans="2:13" x14ac:dyDescent="0.25">
      <c r="C14" s="150"/>
    </row>
    <row r="15" spans="2:13" x14ac:dyDescent="0.25">
      <c r="B15" s="39"/>
    </row>
    <row r="16" spans="2:13" x14ac:dyDescent="0.25">
      <c r="C16" s="149"/>
    </row>
    <row r="17" spans="3:6" x14ac:dyDescent="0.25">
      <c r="C17" s="17"/>
    </row>
    <row r="19" spans="3:6" x14ac:dyDescent="0.25">
      <c r="C19" s="150"/>
    </row>
    <row r="20" spans="3:6" x14ac:dyDescent="0.25">
      <c r="C20" s="150"/>
    </row>
    <row r="21" spans="3:6" x14ac:dyDescent="0.25">
      <c r="C21" s="150"/>
    </row>
    <row r="22" spans="3:6" x14ac:dyDescent="0.25">
      <c r="E22" s="275" t="s">
        <v>231</v>
      </c>
      <c r="F22" s="275"/>
    </row>
    <row r="23" spans="3:6" x14ac:dyDescent="0.25">
      <c r="E23" s="17" t="s">
        <v>225</v>
      </c>
      <c r="F23" s="225">
        <v>45084</v>
      </c>
    </row>
    <row r="24" spans="3:6" x14ac:dyDescent="0.25">
      <c r="E24" s="17" t="s">
        <v>224</v>
      </c>
      <c r="F24" s="17">
        <v>6530</v>
      </c>
    </row>
    <row r="25" spans="3:6" x14ac:dyDescent="0.25">
      <c r="E25" s="17" t="s">
        <v>226</v>
      </c>
      <c r="F25" s="17">
        <v>2</v>
      </c>
    </row>
    <row r="26" spans="3:6" x14ac:dyDescent="0.25">
      <c r="E26" s="17" t="s">
        <v>227</v>
      </c>
      <c r="F26" s="38">
        <v>1.07</v>
      </c>
    </row>
    <row r="27" spans="3:6" x14ac:dyDescent="0.25">
      <c r="E27" s="17" t="s">
        <v>228</v>
      </c>
      <c r="F27" s="38">
        <f>F26^F25</f>
        <v>1.1449</v>
      </c>
    </row>
    <row r="28" spans="3:6" x14ac:dyDescent="0.25">
      <c r="E28" s="17" t="s">
        <v>229</v>
      </c>
      <c r="F28" s="17">
        <f>F24*F27</f>
        <v>7476.1970000000001</v>
      </c>
    </row>
    <row r="29" spans="3:6" x14ac:dyDescent="0.25">
      <c r="E29" s="17" t="s">
        <v>230</v>
      </c>
      <c r="F29" s="38">
        <v>0.9</v>
      </c>
    </row>
    <row r="30" spans="3:6" x14ac:dyDescent="0.25">
      <c r="E30" s="17" t="s">
        <v>232</v>
      </c>
      <c r="F30" s="17">
        <f>F29*F28</f>
        <v>6728.5772999999999</v>
      </c>
    </row>
    <row r="31" spans="3:6" x14ac:dyDescent="0.25">
      <c r="E31" s="17" t="s">
        <v>233</v>
      </c>
      <c r="F31" s="17">
        <v>8000</v>
      </c>
    </row>
  </sheetData>
  <mergeCells count="1">
    <mergeCell ref="E22:F2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Normal="100" workbookViewId="0">
      <selection activeCell="P17" sqref="P17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42" thickBot="1" x14ac:dyDescent="0.3">
      <c r="A2" s="120" t="s">
        <v>33</v>
      </c>
      <c r="B2" s="192" t="s">
        <v>161</v>
      </c>
      <c r="C2" s="120" t="s">
        <v>162</v>
      </c>
      <c r="D2" s="221" t="s">
        <v>223</v>
      </c>
      <c r="E2" s="223" t="s">
        <v>219</v>
      </c>
      <c r="F2" s="97" t="s">
        <v>218</v>
      </c>
      <c r="G2" s="92" t="s">
        <v>222</v>
      </c>
      <c r="H2" s="222" t="s">
        <v>210</v>
      </c>
      <c r="I2" s="224" t="s">
        <v>211</v>
      </c>
      <c r="J2" s="117" t="s">
        <v>212</v>
      </c>
      <c r="K2" s="117" t="s">
        <v>213</v>
      </c>
      <c r="L2" s="117" t="s">
        <v>214</v>
      </c>
      <c r="M2" s="117" t="s">
        <v>215</v>
      </c>
      <c r="N2" s="117" t="s">
        <v>234</v>
      </c>
      <c r="O2" s="47" t="s">
        <v>216</v>
      </c>
      <c r="P2" s="224" t="s">
        <v>217</v>
      </c>
      <c r="Q2" s="117"/>
      <c r="R2" s="117"/>
      <c r="S2" s="118"/>
    </row>
    <row r="3" spans="1:19" x14ac:dyDescent="0.25">
      <c r="A3" s="121" t="s">
        <v>149</v>
      </c>
      <c r="B3" s="193"/>
      <c r="C3" s="121"/>
      <c r="D3" s="93">
        <v>164</v>
      </c>
      <c r="E3" s="144">
        <v>14</v>
      </c>
      <c r="F3" s="144">
        <v>130</v>
      </c>
      <c r="G3" s="93">
        <v>126</v>
      </c>
      <c r="H3" s="64">
        <v>135</v>
      </c>
      <c r="I3" s="64">
        <v>118</v>
      </c>
      <c r="J3" s="49">
        <v>44</v>
      </c>
      <c r="K3" s="49">
        <v>6</v>
      </c>
      <c r="L3" s="49">
        <v>11</v>
      </c>
      <c r="M3" s="49">
        <v>7.5</v>
      </c>
      <c r="N3" s="48">
        <v>9</v>
      </c>
      <c r="O3" s="48">
        <v>27</v>
      </c>
      <c r="P3" s="48">
        <v>1055</v>
      </c>
      <c r="Q3" s="49"/>
      <c r="R3" s="49"/>
      <c r="S3" s="50"/>
    </row>
    <row r="4" spans="1:19" x14ac:dyDescent="0.25">
      <c r="A4" s="121" t="s">
        <v>92</v>
      </c>
      <c r="B4" s="193"/>
      <c r="C4" s="121"/>
      <c r="D4" s="93"/>
      <c r="E4" s="144"/>
      <c r="F4" s="144"/>
      <c r="G4" s="93">
        <v>126</v>
      </c>
      <c r="H4" s="64"/>
      <c r="I4" s="64">
        <v>128</v>
      </c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74</v>
      </c>
      <c r="B5" s="193"/>
      <c r="C5" s="121"/>
      <c r="D5" s="93"/>
      <c r="E5" s="144"/>
      <c r="F5" s="144"/>
      <c r="G5" s="93"/>
      <c r="H5" s="64"/>
      <c r="I5" s="64">
        <v>7.5</v>
      </c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145</v>
      </c>
      <c r="B6" s="193"/>
      <c r="C6" s="121"/>
      <c r="D6" s="93"/>
      <c r="E6" s="144"/>
      <c r="F6" s="144"/>
      <c r="G6" s="93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146</v>
      </c>
      <c r="B7" s="193"/>
      <c r="C7" s="121"/>
      <c r="D7" s="93"/>
      <c r="E7" s="64"/>
      <c r="F7" s="64"/>
      <c r="G7" s="93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147</v>
      </c>
      <c r="B8" s="193"/>
      <c r="C8" s="121"/>
      <c r="D8" s="94"/>
      <c r="E8" s="54"/>
      <c r="F8" s="54"/>
      <c r="G8" s="9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148</v>
      </c>
      <c r="B9" s="194"/>
      <c r="C9" s="209"/>
      <c r="D9" s="95"/>
      <c r="E9" s="56"/>
      <c r="F9" s="56"/>
      <c r="G9" s="9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48</v>
      </c>
      <c r="B10" s="195"/>
      <c r="C10" s="123"/>
      <c r="D10" s="95"/>
      <c r="E10" s="56"/>
      <c r="F10" s="56"/>
      <c r="G10" s="9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89</v>
      </c>
      <c r="B11" s="195"/>
      <c r="C11" s="123"/>
      <c r="D11" s="95"/>
      <c r="E11" s="56"/>
      <c r="F11" s="56"/>
      <c r="G11" s="95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85</v>
      </c>
      <c r="B12" s="196"/>
      <c r="C12" s="124"/>
      <c r="D12" s="96"/>
      <c r="E12" s="90"/>
      <c r="F12" s="90"/>
      <c r="G12" s="96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34</v>
      </c>
      <c r="B13" s="211"/>
      <c r="C13" s="210"/>
      <c r="D13" s="207">
        <f>SUM(D3:D12)</f>
        <v>164</v>
      </c>
      <c r="E13" s="201">
        <f>SUM(E3:E12)</f>
        <v>14</v>
      </c>
      <c r="F13" s="201">
        <f>SUM(F4:F12)</f>
        <v>0</v>
      </c>
      <c r="G13" s="201">
        <f>SUM(G3:G12)</f>
        <v>252</v>
      </c>
      <c r="H13" s="201">
        <f>SUM(H3:H12)</f>
        <v>135</v>
      </c>
      <c r="I13" s="202">
        <f t="shared" ref="I13:S13" si="0">SUM(I3:I12)</f>
        <v>253.5</v>
      </c>
      <c r="J13" s="202">
        <f t="shared" si="0"/>
        <v>44</v>
      </c>
      <c r="K13" s="202">
        <f t="shared" si="0"/>
        <v>6</v>
      </c>
      <c r="L13" s="202">
        <f t="shared" si="0"/>
        <v>11</v>
      </c>
      <c r="M13" s="202">
        <f t="shared" si="0"/>
        <v>7.5</v>
      </c>
      <c r="N13" s="203">
        <f t="shared" si="0"/>
        <v>9</v>
      </c>
      <c r="O13" s="203">
        <f t="shared" ref="O13:P13" si="1">SUM(O3:O12)</f>
        <v>27</v>
      </c>
      <c r="P13" s="226">
        <f t="shared" si="1"/>
        <v>1055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35</v>
      </c>
      <c r="B14" s="192" t="s">
        <v>161</v>
      </c>
      <c r="C14" s="120" t="s">
        <v>162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202</v>
      </c>
      <c r="B15" s="197"/>
      <c r="C15" s="122"/>
      <c r="D15" s="52"/>
      <c r="E15" s="145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199</v>
      </c>
      <c r="B16" s="197"/>
      <c r="C16" s="122"/>
      <c r="D16" s="52"/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198</v>
      </c>
      <c r="B17" s="197"/>
      <c r="C17" s="122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201</v>
      </c>
      <c r="B18" s="197"/>
      <c r="C18" s="122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201</v>
      </c>
      <c r="B19" s="197"/>
      <c r="C19" s="122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200</v>
      </c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88</v>
      </c>
      <c r="B24" s="198"/>
      <c r="C24" s="127"/>
      <c r="D24" s="208">
        <f>SUM(D17:D23)</f>
        <v>0</v>
      </c>
      <c r="E24" s="119">
        <f>SUM(E17:E23)</f>
        <v>0</v>
      </c>
      <c r="F24" s="119">
        <f t="shared" ref="F24:S24" si="2">SUM(F15:F23)</f>
        <v>0</v>
      </c>
      <c r="G24" s="119">
        <f t="shared" si="2"/>
        <v>0</v>
      </c>
      <c r="H24" s="119">
        <f t="shared" si="2"/>
        <v>0</v>
      </c>
      <c r="I24" s="119">
        <f t="shared" si="2"/>
        <v>0</v>
      </c>
      <c r="J24" s="119">
        <f t="shared" si="2"/>
        <v>0</v>
      </c>
      <c r="K24" s="65">
        <f t="shared" si="2"/>
        <v>0</v>
      </c>
      <c r="L24" s="65">
        <f t="shared" si="2"/>
        <v>0</v>
      </c>
      <c r="M24" s="65">
        <f t="shared" si="2"/>
        <v>0</v>
      </c>
      <c r="N24" s="65">
        <f t="shared" si="2"/>
        <v>0</v>
      </c>
      <c r="O24" s="65">
        <f t="shared" si="2"/>
        <v>0</v>
      </c>
      <c r="P24" s="65">
        <f t="shared" si="2"/>
        <v>0</v>
      </c>
      <c r="Q24" s="141">
        <f t="shared" si="2"/>
        <v>0</v>
      </c>
      <c r="R24" s="141">
        <f t="shared" si="2"/>
        <v>0</v>
      </c>
      <c r="S24" s="139">
        <f t="shared" si="2"/>
        <v>0</v>
      </c>
    </row>
    <row r="25" spans="1:19" ht="14.4" thickBot="1" x14ac:dyDescent="0.3">
      <c r="A25" s="125" t="s">
        <v>36</v>
      </c>
      <c r="B25" s="199"/>
      <c r="C25" s="125"/>
      <c r="D25" s="142">
        <f t="shared" ref="D25:S25" si="3">D13-D24</f>
        <v>164</v>
      </c>
      <c r="E25" s="138">
        <f t="shared" si="3"/>
        <v>14</v>
      </c>
      <c r="F25" s="138">
        <f t="shared" si="3"/>
        <v>0</v>
      </c>
      <c r="G25" s="138">
        <f t="shared" si="3"/>
        <v>252</v>
      </c>
      <c r="H25" s="138">
        <f t="shared" si="3"/>
        <v>135</v>
      </c>
      <c r="I25" s="138">
        <f t="shared" si="3"/>
        <v>253.5</v>
      </c>
      <c r="J25" s="138">
        <f t="shared" si="3"/>
        <v>44</v>
      </c>
      <c r="K25" s="138">
        <f t="shared" si="3"/>
        <v>6</v>
      </c>
      <c r="L25" s="138">
        <f t="shared" si="3"/>
        <v>11</v>
      </c>
      <c r="M25" s="138">
        <f t="shared" si="3"/>
        <v>7.5</v>
      </c>
      <c r="N25" s="138">
        <f t="shared" si="3"/>
        <v>9</v>
      </c>
      <c r="O25" s="138">
        <f t="shared" si="3"/>
        <v>27</v>
      </c>
      <c r="P25" s="138">
        <f t="shared" si="3"/>
        <v>1055</v>
      </c>
      <c r="Q25" s="143">
        <f t="shared" si="3"/>
        <v>0</v>
      </c>
      <c r="R25" s="142">
        <f t="shared" si="3"/>
        <v>0</v>
      </c>
      <c r="S25" s="146">
        <f t="shared" si="3"/>
        <v>0</v>
      </c>
    </row>
    <row r="26" spans="1:19" x14ac:dyDescent="0.25">
      <c r="D26" s="135"/>
      <c r="E26" s="73"/>
      <c r="F26" s="148"/>
      <c r="H26" s="73"/>
      <c r="I26" s="73"/>
      <c r="J26" s="73"/>
      <c r="K26" s="98"/>
      <c r="L26" s="148"/>
      <c r="M26" s="73"/>
    </row>
    <row r="27" spans="1:19" x14ac:dyDescent="0.25">
      <c r="A27" t="s">
        <v>86</v>
      </c>
      <c r="D27" s="136">
        <f>D8+D7</f>
        <v>0</v>
      </c>
      <c r="F27" s="73"/>
    </row>
    <row r="28" spans="1:19" x14ac:dyDescent="0.25">
      <c r="E28" s="91">
        <f>E3*9300*5%*7</f>
        <v>45570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37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-164</v>
      </c>
      <c r="G32" s="72"/>
      <c r="H32" s="72"/>
      <c r="L32" s="91"/>
    </row>
    <row r="33" spans="1:10" x14ac:dyDescent="0.25">
      <c r="A33" t="s">
        <v>15</v>
      </c>
      <c r="E33" s="17">
        <f>-E13</f>
        <v>-14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-178</v>
      </c>
      <c r="J35" s="72"/>
    </row>
    <row r="36" spans="1:10" x14ac:dyDescent="0.25">
      <c r="A36" t="s">
        <v>38</v>
      </c>
      <c r="E36" s="38">
        <v>375</v>
      </c>
      <c r="H36" s="91"/>
    </row>
    <row r="37" spans="1:10" x14ac:dyDescent="0.25">
      <c r="A37" s="40" t="s">
        <v>39</v>
      </c>
      <c r="B37" s="40"/>
      <c r="C37" s="40"/>
      <c r="D37" s="40"/>
      <c r="E37" s="23">
        <f>SUM(E35:E36)</f>
        <v>197</v>
      </c>
    </row>
    <row r="38" spans="1:10" x14ac:dyDescent="0.25">
      <c r="A38" t="s">
        <v>40</v>
      </c>
      <c r="E38" s="17">
        <f>-E24-F24-I24</f>
        <v>0</v>
      </c>
    </row>
    <row r="39" spans="1:10" x14ac:dyDescent="0.25">
      <c r="A39" s="40" t="s">
        <v>41</v>
      </c>
      <c r="B39" s="40"/>
      <c r="C39" s="40"/>
      <c r="D39" s="40"/>
      <c r="E39" s="70">
        <f>SUM(E37:E38)</f>
        <v>197</v>
      </c>
    </row>
    <row r="43" spans="1:10" x14ac:dyDescent="0.25">
      <c r="A43" s="130" t="s">
        <v>75</v>
      </c>
      <c r="B43" s="130"/>
      <c r="C43" s="130"/>
    </row>
    <row r="44" spans="1:10" ht="15.6" x14ac:dyDescent="0.4">
      <c r="A44" s="39" t="s">
        <v>76</v>
      </c>
      <c r="B44" s="39"/>
      <c r="C44" s="39"/>
      <c r="D44" s="39" t="s">
        <v>78</v>
      </c>
      <c r="E44" s="131" t="s">
        <v>79</v>
      </c>
      <c r="F44" s="39" t="s">
        <v>82</v>
      </c>
      <c r="G44" s="39"/>
      <c r="H44" s="17"/>
      <c r="I44" s="17"/>
    </row>
    <row r="45" spans="1:10" x14ac:dyDescent="0.25">
      <c r="A45" t="s">
        <v>42</v>
      </c>
      <c r="F45" s="91">
        <f>E45-D45</f>
        <v>0</v>
      </c>
    </row>
    <row r="46" spans="1:10" x14ac:dyDescent="0.25">
      <c r="A46" t="s">
        <v>77</v>
      </c>
      <c r="F46" s="91">
        <f>E46-D46</f>
        <v>0</v>
      </c>
    </row>
    <row r="47" spans="1:10" x14ac:dyDescent="0.25">
      <c r="A47" s="108" t="s">
        <v>80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81</v>
      </c>
      <c r="B49" s="39"/>
      <c r="C49" s="39"/>
      <c r="D49" s="39" t="s">
        <v>78</v>
      </c>
      <c r="E49" s="131" t="s">
        <v>79</v>
      </c>
      <c r="F49" s="39" t="s">
        <v>82</v>
      </c>
    </row>
    <row r="50" spans="1:10" x14ac:dyDescent="0.25">
      <c r="A50" t="s">
        <v>42</v>
      </c>
      <c r="F50" s="91">
        <f>E50-D50</f>
        <v>0</v>
      </c>
      <c r="G50" s="39"/>
      <c r="J50" s="17"/>
    </row>
    <row r="51" spans="1:10" x14ac:dyDescent="0.25">
      <c r="A51" t="s">
        <v>77</v>
      </c>
      <c r="F51" s="91">
        <f>E51-D51</f>
        <v>0</v>
      </c>
    </row>
    <row r="52" spans="1:10" x14ac:dyDescent="0.25">
      <c r="A52" s="108" t="s">
        <v>80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E5"/>
  <sheetViews>
    <sheetView rightToLeft="1" zoomScale="175" zoomScaleNormal="175" workbookViewId="0">
      <selection activeCell="F12" sqref="F12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5" x14ac:dyDescent="0.25">
      <c r="A2" s="39" t="s">
        <v>165</v>
      </c>
      <c r="B2" s="39" t="s">
        <v>166</v>
      </c>
      <c r="C2" s="39" t="s">
        <v>133</v>
      </c>
      <c r="D2" s="39" t="s">
        <v>167</v>
      </c>
    </row>
    <row r="3" spans="1:5" x14ac:dyDescent="0.25">
      <c r="A3" t="s">
        <v>168</v>
      </c>
      <c r="B3">
        <v>6160770735</v>
      </c>
      <c r="C3" s="188">
        <v>44918</v>
      </c>
      <c r="D3">
        <v>500</v>
      </c>
      <c r="E3" t="s">
        <v>169</v>
      </c>
    </row>
    <row r="4" spans="1:5" x14ac:dyDescent="0.25">
      <c r="A4" t="s">
        <v>170</v>
      </c>
      <c r="B4" t="s">
        <v>172</v>
      </c>
      <c r="C4" s="74">
        <v>2004</v>
      </c>
      <c r="D4" t="s">
        <v>221</v>
      </c>
      <c r="E4" t="s">
        <v>171</v>
      </c>
    </row>
    <row r="5" spans="1:5" x14ac:dyDescent="0.25">
      <c r="A5" t="s">
        <v>170</v>
      </c>
      <c r="B5" t="s">
        <v>220</v>
      </c>
      <c r="C5" s="74">
        <v>1970</v>
      </c>
      <c r="D5" s="212">
        <v>2.5</v>
      </c>
      <c r="E5" t="s">
        <v>171</v>
      </c>
    </row>
  </sheetData>
  <autoFilter ref="A2:F5" xr:uid="{3056B9E0-6524-4EBC-9BE5-F818961ABBE2}">
    <sortState xmlns:xlrd2="http://schemas.microsoft.com/office/spreadsheetml/2017/richdata2" ref="A3:F5">
      <sortCondition descending="1" ref="C2:C5"/>
    </sortState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topLeftCell="A4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289" t="s">
        <v>117</v>
      </c>
      <c r="C2" s="290"/>
      <c r="D2" s="290"/>
      <c r="E2" s="290"/>
      <c r="F2" s="291"/>
    </row>
    <row r="3" spans="2:10" ht="14.4" thickBot="1" x14ac:dyDescent="0.3">
      <c r="B3" s="152" t="s">
        <v>47</v>
      </c>
      <c r="C3" s="292" t="s">
        <v>42</v>
      </c>
      <c r="D3" s="293"/>
      <c r="E3" s="292" t="s">
        <v>99</v>
      </c>
      <c r="F3" s="294"/>
    </row>
    <row r="4" spans="2:10" x14ac:dyDescent="0.25">
      <c r="B4" s="167" t="s">
        <v>100</v>
      </c>
      <c r="C4" s="285">
        <v>0</v>
      </c>
      <c r="D4" s="311"/>
      <c r="E4" s="285">
        <v>0</v>
      </c>
      <c r="F4" s="286"/>
    </row>
    <row r="5" spans="2:10" x14ac:dyDescent="0.25">
      <c r="B5" s="172" t="s">
        <v>101</v>
      </c>
      <c r="C5" s="285">
        <v>140000</v>
      </c>
      <c r="D5" s="311"/>
      <c r="E5" s="285">
        <f>6000*2</f>
        <v>12000</v>
      </c>
      <c r="F5" s="286"/>
    </row>
    <row r="6" spans="2:10" ht="27.6" x14ac:dyDescent="0.25">
      <c r="B6" s="172" t="s">
        <v>113</v>
      </c>
      <c r="C6" s="285">
        <f>46500*7</f>
        <v>325500</v>
      </c>
      <c r="D6" s="311"/>
      <c r="E6" s="285">
        <v>0</v>
      </c>
      <c r="F6" s="286"/>
    </row>
    <row r="7" spans="2:10" x14ac:dyDescent="0.25">
      <c r="B7" s="172" t="s">
        <v>102</v>
      </c>
      <c r="C7" s="285">
        <f>13000*7</f>
        <v>91000</v>
      </c>
      <c r="D7" s="311"/>
      <c r="E7" s="285">
        <f>4000*7</f>
        <v>28000</v>
      </c>
      <c r="F7" s="286"/>
    </row>
    <row r="8" spans="2:10" ht="14.4" thickBot="1" x14ac:dyDescent="0.3">
      <c r="B8" s="158" t="s">
        <v>103</v>
      </c>
      <c r="C8" s="285">
        <f>65000*7</f>
        <v>455000</v>
      </c>
      <c r="D8" s="311"/>
      <c r="E8" s="285">
        <v>50000</v>
      </c>
      <c r="F8" s="286"/>
      <c r="J8" t="s">
        <v>163</v>
      </c>
    </row>
    <row r="9" spans="2:10" ht="14.4" thickBot="1" x14ac:dyDescent="0.3">
      <c r="B9" s="289" t="s">
        <v>116</v>
      </c>
      <c r="C9" s="290"/>
      <c r="D9" s="290"/>
      <c r="E9" s="290"/>
      <c r="F9" s="291"/>
      <c r="J9" t="s">
        <v>164</v>
      </c>
    </row>
    <row r="10" spans="2:10" ht="16.2" thickBot="1" x14ac:dyDescent="0.3">
      <c r="B10" s="153" t="s">
        <v>111</v>
      </c>
      <c r="C10" s="154" t="s">
        <v>109</v>
      </c>
      <c r="D10" s="155" t="s">
        <v>106</v>
      </c>
      <c r="E10" s="156" t="s">
        <v>107</v>
      </c>
      <c r="F10" s="157" t="s">
        <v>108</v>
      </c>
    </row>
    <row r="11" spans="2:10" x14ac:dyDescent="0.25">
      <c r="B11" s="167" t="s">
        <v>100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101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104</v>
      </c>
      <c r="C13" s="287" t="s">
        <v>110</v>
      </c>
      <c r="D13" s="287"/>
      <c r="E13" s="287"/>
      <c r="F13" s="288"/>
    </row>
    <row r="14" spans="2:10" x14ac:dyDescent="0.25">
      <c r="B14" s="182" t="s">
        <v>102</v>
      </c>
      <c r="C14" s="287" t="s">
        <v>112</v>
      </c>
      <c r="D14" s="287"/>
      <c r="E14" s="287"/>
      <c r="F14" s="288"/>
    </row>
    <row r="15" spans="2:10" ht="14.4" thickBot="1" x14ac:dyDescent="0.3">
      <c r="B15" s="158" t="s">
        <v>103</v>
      </c>
      <c r="C15" s="305" t="s">
        <v>114</v>
      </c>
      <c r="D15" s="306"/>
      <c r="E15" s="306"/>
      <c r="F15" s="307"/>
    </row>
    <row r="16" spans="2:10" ht="14.4" thickBot="1" x14ac:dyDescent="0.3"/>
    <row r="17" spans="2:6" ht="14.4" thickBot="1" x14ac:dyDescent="0.3">
      <c r="B17" s="289" t="s">
        <v>98</v>
      </c>
      <c r="C17" s="290"/>
      <c r="D17" s="290"/>
      <c r="E17" s="290"/>
      <c r="F17" s="291"/>
    </row>
    <row r="18" spans="2:6" ht="14.4" thickBot="1" x14ac:dyDescent="0.3">
      <c r="B18" s="152" t="s">
        <v>105</v>
      </c>
      <c r="C18" s="292" t="s">
        <v>42</v>
      </c>
      <c r="D18" s="293"/>
      <c r="E18" s="292" t="s">
        <v>99</v>
      </c>
      <c r="F18" s="294"/>
    </row>
    <row r="19" spans="2:6" x14ac:dyDescent="0.25">
      <c r="B19" s="167" t="s">
        <v>100</v>
      </c>
      <c r="C19" s="308">
        <v>0</v>
      </c>
      <c r="D19" s="309"/>
      <c r="E19" s="308">
        <v>0</v>
      </c>
      <c r="F19" s="310"/>
    </row>
    <row r="20" spans="2:6" x14ac:dyDescent="0.25">
      <c r="B20" s="172" t="s">
        <v>101</v>
      </c>
      <c r="C20" s="297">
        <v>70000</v>
      </c>
      <c r="D20" s="298"/>
      <c r="E20" s="299">
        <f>6000*7</f>
        <v>42000</v>
      </c>
      <c r="F20" s="300"/>
    </row>
    <row r="21" spans="2:6" x14ac:dyDescent="0.25">
      <c r="B21" s="176" t="s">
        <v>104</v>
      </c>
      <c r="C21" s="297">
        <f>46500*7</f>
        <v>325500</v>
      </c>
      <c r="D21" s="298"/>
      <c r="E21" s="297">
        <v>0</v>
      </c>
      <c r="F21" s="301"/>
    </row>
    <row r="22" spans="2:6" x14ac:dyDescent="0.25">
      <c r="B22" s="172" t="s">
        <v>102</v>
      </c>
      <c r="C22" s="297">
        <f>13000*7</f>
        <v>91000</v>
      </c>
      <c r="D22" s="298"/>
      <c r="E22" s="297">
        <f>4000*7</f>
        <v>28000</v>
      </c>
      <c r="F22" s="301"/>
    </row>
    <row r="23" spans="2:6" ht="14.4" thickBot="1" x14ac:dyDescent="0.3">
      <c r="B23" s="158" t="s">
        <v>103</v>
      </c>
      <c r="C23" s="302">
        <f>65000*7</f>
        <v>455000</v>
      </c>
      <c r="D23" s="303"/>
      <c r="E23" s="302">
        <f>7000*7</f>
        <v>49000</v>
      </c>
      <c r="F23" s="304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111</v>
      </c>
      <c r="C25" s="154" t="s">
        <v>109</v>
      </c>
      <c r="D25" s="155" t="s">
        <v>106</v>
      </c>
      <c r="E25" s="156" t="s">
        <v>107</v>
      </c>
      <c r="F25" s="157" t="s">
        <v>108</v>
      </c>
    </row>
    <row r="26" spans="2:6" x14ac:dyDescent="0.25">
      <c r="B26" s="167" t="s">
        <v>100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101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104</v>
      </c>
      <c r="C28" s="295" t="s">
        <v>110</v>
      </c>
      <c r="D28" s="295"/>
      <c r="E28" s="295"/>
      <c r="F28" s="296"/>
    </row>
    <row r="29" spans="2:6" x14ac:dyDescent="0.25">
      <c r="B29" s="172" t="s">
        <v>102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103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289" t="s">
        <v>115</v>
      </c>
      <c r="C35" s="290"/>
      <c r="D35" s="290"/>
      <c r="E35" s="290"/>
      <c r="F35" s="291"/>
    </row>
    <row r="36" spans="2:6" ht="14.4" thickBot="1" x14ac:dyDescent="0.3">
      <c r="B36" s="152" t="s">
        <v>118</v>
      </c>
      <c r="C36" s="292" t="s">
        <v>42</v>
      </c>
      <c r="D36" s="293"/>
      <c r="E36" s="292" t="s">
        <v>99</v>
      </c>
      <c r="F36" s="294"/>
    </row>
    <row r="37" spans="2:6" x14ac:dyDescent="0.25">
      <c r="B37" s="167" t="s">
        <v>119</v>
      </c>
      <c r="C37" s="276" t="s">
        <v>122</v>
      </c>
      <c r="D37" s="277"/>
      <c r="E37" s="277"/>
      <c r="F37" s="278"/>
    </row>
    <row r="38" spans="2:6" x14ac:dyDescent="0.25">
      <c r="B38" s="172" t="s">
        <v>120</v>
      </c>
      <c r="C38" s="279" t="s">
        <v>121</v>
      </c>
      <c r="D38" s="280"/>
      <c r="E38" s="280"/>
      <c r="F38" s="281"/>
    </row>
    <row r="39" spans="2:6" x14ac:dyDescent="0.25">
      <c r="B39" s="172" t="s">
        <v>123</v>
      </c>
      <c r="C39" s="279" t="s">
        <v>124</v>
      </c>
      <c r="D39" s="280"/>
      <c r="E39" s="280"/>
      <c r="F39" s="281"/>
    </row>
    <row r="40" spans="2:6" ht="14.4" thickBot="1" x14ac:dyDescent="0.3">
      <c r="B40" s="158" t="s">
        <v>125</v>
      </c>
      <c r="C40" s="282" t="s">
        <v>126</v>
      </c>
      <c r="D40" s="283"/>
      <c r="E40" s="283"/>
      <c r="F40" s="284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173</v>
      </c>
      <c r="B2" t="s">
        <v>174</v>
      </c>
    </row>
    <row r="3" spans="1:14" x14ac:dyDescent="0.25">
      <c r="B3" t="s">
        <v>42</v>
      </c>
    </row>
    <row r="7" spans="1:14" x14ac:dyDescent="0.25">
      <c r="N7" t="s">
        <v>175</v>
      </c>
    </row>
    <row r="8" spans="1:14" x14ac:dyDescent="0.25">
      <c r="A8" t="s">
        <v>176</v>
      </c>
      <c r="N8" t="s">
        <v>177</v>
      </c>
    </row>
    <row r="9" spans="1:14" x14ac:dyDescent="0.25">
      <c r="A9" t="s">
        <v>178</v>
      </c>
      <c r="D9" s="213" t="s">
        <v>179</v>
      </c>
      <c r="E9" s="213"/>
      <c r="N9" t="s">
        <v>180</v>
      </c>
    </row>
    <row r="10" spans="1:14" x14ac:dyDescent="0.25">
      <c r="N10" t="s">
        <v>181</v>
      </c>
    </row>
    <row r="15" spans="1:14" x14ac:dyDescent="0.25">
      <c r="A15" t="s">
        <v>182</v>
      </c>
      <c r="B15" t="s">
        <v>183</v>
      </c>
    </row>
    <row r="19" spans="1:12" x14ac:dyDescent="0.25">
      <c r="A19" s="39" t="s">
        <v>184</v>
      </c>
      <c r="B19" s="39" t="s">
        <v>175</v>
      </c>
      <c r="C19" s="39" t="s">
        <v>78</v>
      </c>
      <c r="D19" s="39" t="s">
        <v>185</v>
      </c>
      <c r="E19" s="39" t="s">
        <v>186</v>
      </c>
      <c r="F19" s="39" t="s">
        <v>187</v>
      </c>
      <c r="G19" s="39" t="s">
        <v>21</v>
      </c>
      <c r="H19" s="39" t="s">
        <v>188</v>
      </c>
      <c r="I19" s="39" t="s">
        <v>189</v>
      </c>
      <c r="J19" s="39" t="s">
        <v>190</v>
      </c>
      <c r="K19" s="39" t="s">
        <v>191</v>
      </c>
      <c r="L19" s="39" t="s">
        <v>192</v>
      </c>
    </row>
    <row r="20" spans="1:12" x14ac:dyDescent="0.25">
      <c r="A20" t="s">
        <v>193</v>
      </c>
      <c r="H20" s="149">
        <f>'תחשיב לפי שווי שומה (2)'!B8</f>
        <v>8000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194</v>
      </c>
      <c r="H21" s="150">
        <f>H20</f>
        <v>8000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195</v>
      </c>
      <c r="H22" s="150">
        <f>H21</f>
        <v>8000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196</v>
      </c>
      <c r="H23" s="150">
        <f>H22</f>
        <v>8000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197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תחשיב לפי שווי שומה (2)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2025-11-09T11:54:30Z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