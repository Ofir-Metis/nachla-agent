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ברק משה - משען/פרוייקט בדיקת התכנות/בדיקת התכנות/"/>
    </mc:Choice>
  </mc:AlternateContent>
  <xr:revisionPtr revIDLastSave="485" documentId="8_{E9A5D54E-385F-4F6C-AF2C-D62B03C85759}" xr6:coauthVersionLast="47" xr6:coauthVersionMax="47" xr10:uidLastSave="{FF08E6AC-780A-45F7-A0D3-0487FE56B722}"/>
  <bookViews>
    <workbookView xWindow="-57720" yWindow="-120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5" l="1"/>
  <c r="C69" i="6"/>
  <c r="C71" i="6"/>
  <c r="D71" i="6"/>
  <c r="B70" i="6"/>
  <c r="B69" i="6"/>
  <c r="B71" i="6" s="1"/>
  <c r="B56" i="6"/>
  <c r="D56" i="6"/>
  <c r="D57" i="6" s="1"/>
  <c r="D64" i="6"/>
  <c r="C64" i="6"/>
  <c r="B63" i="6"/>
  <c r="D62" i="6"/>
  <c r="B62" i="6"/>
  <c r="B64" i="6" s="1"/>
  <c r="C57" i="6"/>
  <c r="B55" i="6"/>
  <c r="B57" i="6" s="1"/>
  <c r="C7" i="5"/>
  <c r="P22" i="5"/>
  <c r="P20" i="5"/>
  <c r="P18" i="5"/>
  <c r="P17" i="5"/>
  <c r="P14" i="5"/>
  <c r="G89" i="3"/>
  <c r="E57" i="6" l="1"/>
  <c r="E64" i="6"/>
  <c r="E71" i="6"/>
  <c r="M53" i="5"/>
  <c r="B8" i="6"/>
  <c r="H20" i="9" s="1"/>
  <c r="H21" i="9" s="1"/>
  <c r="E29" i="5"/>
  <c r="M51" i="5"/>
  <c r="M49" i="5"/>
  <c r="M50" i="5"/>
  <c r="K29" i="5"/>
  <c r="I27" i="5"/>
  <c r="K26" i="5"/>
  <c r="I25" i="5"/>
  <c r="I24" i="5"/>
  <c r="I22" i="5"/>
  <c r="K27" i="5" s="1"/>
  <c r="L21" i="5"/>
  <c r="K25" i="5"/>
  <c r="K23" i="5"/>
  <c r="N15" i="5"/>
  <c r="N16" i="5"/>
  <c r="N17" i="5"/>
  <c r="K17" i="5"/>
  <c r="E17" i="5"/>
  <c r="J16" i="5"/>
  <c r="E16" i="5"/>
  <c r="B11" i="3"/>
  <c r="B9" i="3"/>
  <c r="B8" i="3"/>
  <c r="B6" i="3"/>
  <c r="C26" i="5"/>
  <c r="E24" i="5"/>
  <c r="C24" i="5"/>
  <c r="C22" i="5"/>
  <c r="E22" i="5" s="1"/>
  <c r="E23" i="5"/>
  <c r="F22" i="5"/>
  <c r="C25" i="5"/>
  <c r="E25" i="5" s="1"/>
  <c r="J15" i="5"/>
  <c r="E15" i="5"/>
  <c r="K15" i="5" s="1"/>
  <c r="J14" i="5"/>
  <c r="E14" i="5"/>
  <c r="D24" i="4"/>
  <c r="D13" i="4"/>
  <c r="D3" i="4"/>
  <c r="E13" i="4"/>
  <c r="N16" i="10"/>
  <c r="N20" i="10" s="1"/>
  <c r="J14" i="10"/>
  <c r="J16" i="10" s="1"/>
  <c r="L12" i="10"/>
  <c r="J12" i="10"/>
  <c r="J20" i="10" s="1"/>
  <c r="D36" i="3"/>
  <c r="D33" i="3"/>
  <c r="L24" i="9"/>
  <c r="J24" i="9"/>
  <c r="L23" i="9"/>
  <c r="L22" i="9"/>
  <c r="L21" i="9"/>
  <c r="L20" i="9"/>
  <c r="C42" i="6"/>
  <c r="K22" i="5" l="1"/>
  <c r="K24" i="5"/>
  <c r="K16" i="5"/>
  <c r="E26" i="5"/>
  <c r="E27" i="5" s="1"/>
  <c r="K14" i="5"/>
  <c r="N14" i="5" s="1"/>
  <c r="E28" i="5" s="1"/>
  <c r="L16" i="10"/>
  <c r="L20" i="10" s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G13" i="4"/>
  <c r="F13" i="4"/>
  <c r="H13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K28" i="5" l="1"/>
  <c r="K30" i="5" s="1"/>
  <c r="H23" i="9"/>
  <c r="J23" i="9" s="1"/>
  <c r="J22" i="9"/>
  <c r="D42" i="6"/>
  <c r="C35" i="6"/>
  <c r="D35" i="6" s="1"/>
  <c r="G25" i="4"/>
  <c r="I25" i="4"/>
  <c r="H25" i="4"/>
  <c r="D25" i="4"/>
  <c r="F25" i="4"/>
  <c r="E25" i="4"/>
  <c r="E31" i="5" l="1"/>
  <c r="C3" i="5"/>
  <c r="C15" i="6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D11" i="3" l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G49" i="3"/>
  <c r="I49" i="3" s="1"/>
  <c r="F48" i="3"/>
  <c r="B54" i="3"/>
  <c r="B55" i="3" s="1"/>
  <c r="D56" i="3" s="1"/>
  <c r="D49" i="3"/>
  <c r="D52" i="3"/>
  <c r="D51" i="3"/>
  <c r="D50" i="3"/>
  <c r="F18" i="6"/>
  <c r="B4" i="6" l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<sst xmlns="http://schemas.openxmlformats.org/spreadsheetml/2006/main" count="439" uniqueCount="286">
  <si>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</si>
  <si>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</si>
  <si>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</si>
  <si>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</si>
  <si>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</si>
  <si>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</si>
  <si>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</si>
  <si>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</si>
  <si>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</si>
  <si>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</si>
  <si>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</si>
  <si>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</si>
  <si>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</si>
  <si>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</si>
  <si>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</si>
  <si>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</si>
  <si>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</si>
  <si>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</si>
  <si>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</si>
  <si>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</si>
  <si>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</si>
  <si>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</si>
  <si>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</si>
  <si>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</si>
  <si>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</si>
  <si>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</si>
  <si>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</si>
  <si>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</si>
  <si>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</si>
  <si>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</si>
  <si>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</si>
  <si>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</si>
  <si>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</si>
  <si>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</si>
  <si>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</si>
  <si>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</si>
  <si>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</si>
  <si>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</si>
  <si>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</si>
  <si>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</si>
  <si>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</si>
  <si>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</si>
  <si>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</si>
  <si>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</si>
  <si>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</si>
  <si>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</si>
  <si>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</si>
  <si>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</si>
  <si>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</si>
  <si>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</si>
  <si>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</si>
  <si>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</si>
  <si>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</si>
  <si>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</si>
  <si>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</si>
  <si>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</si>
  <si>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</si>
  <si>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</si>
  <si>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</si>
  <si>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</si>
  <si>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</si>
  <si>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</si>
  <si>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</si>
  <si>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</si>
  <si>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</si>
  <si>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</si>
  <si>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</si>
  <si>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</si>
  <si>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</si>
  <si>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</si>
  <si>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</si>
  <si>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</si>
  <si>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</si>
  <si>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</si>
  <si>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</si>
  <si>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</si>
  <si>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</si>
  <si>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</si>
  <si>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</si>
  <si>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</si>
  <si>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</si>
  <si>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</si>
  <si>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</si>
  <si>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</si>
  <si>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</si>
  <si>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</si>
  <si>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</si>
  <si>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</si>
  <si>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</si>
  <si>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</si>
  <si>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</si>
  <si>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</si>
  <si>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</si>
  <si>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</si>
  <si>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</si>
  <si>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</si>
  <si>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</si>
  <si>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</si>
  <si>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</si>
  <si>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</si>
  <si>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</si>
  <si>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</si>
  <si>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</si>
  <si>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</si>
  <si>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</si>
  <si>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</si>
  <si>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</si>
  <si>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</si>
  <si>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</si>
  <si>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</si>
  <si>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</si>
  <si>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</si>
  <si>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</si>
  <si>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</si>
  <si>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</si>
  <si>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</si>
  <si>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</si>
  <si>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</si>
  <si>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</si>
  <si>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</si>
  <si>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</si>
  <si>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</si>
  <si>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</si>
  <si>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</si>
  <si>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</si>
  <si>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</si>
  <si>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</si>
  <si>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</si>
  <si>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</si>
  <si>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</si>
  <si>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</si>
  <si>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</si>
  <si>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</si>
  <si>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</si>
  <si>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</si>
  <si>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</si>
  <si>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</si>
  <si>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</si>
  <si>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</si>
  <si>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</si>
  <si>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</si>
  <si>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</si>
  <si>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</si>
  <si>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</si>
  <si>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</si>
  <si>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</si>
  <si>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</si>
  <si>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</si>
  <si>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</si>
  <si>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</si>
  <si>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</si>
  <si>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</si>
  <si>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</si>
  <si>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</si>
  <si>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</si>
  <si>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</si>
  <si>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</si>
  <si>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</si>
  <si>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</si>
  <si>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</si>
  <si>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</si>
  <si>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</si>
  <si>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</si>
  <si>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</si>
  <si>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</si>
  <si>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</si>
  <si>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</si>
  <si>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</si>
  <si>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</si>
  <si>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</si>
  <si>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</si>
  <si>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גובמאפ</t>
  </si>
  <si>
    <t>בתים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</si>
  <si>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</si>
  <si>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</si>
  <si>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</si>
  <si>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</si>
  <si>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</si>
  <si>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</si>
  <si>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</si>
  <si>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</si>
  <si>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</si>
  <si>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</si>
  <si>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</si>
  <si>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</si>
  <si>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</si>
  <si>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</si>
  <si>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</si>
  <si>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</si>
  <si>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</si>
  <si>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</si>
  <si>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</si>
  <si>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</si>
  <si>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</si>
  <si>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</si>
  <si>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</si>
  <si>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</si>
  <si>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</si>
  <si>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</si>
  <si>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98 - חלקאי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</si>
  <si>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</si>
  <si>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</si>
  <si>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</si>
  <si>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</si>
  <si>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</si>
  <si>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</si>
  <si>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</si>
  <si>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</si>
  <si>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</si>
  <si>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</si>
  <si>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</si>
  <si>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</si>
  <si>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</si>
  <si>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</si>
  <si>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</si>
  <si>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</si>
  <si>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</si>
  <si>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</si>
  <si>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</si>
  <si>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</si>
  <si>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ד/847</t>
  </si>
  <si>
    <t>300+150</t>
  </si>
  <si>
    <t>633-0835140</t>
  </si>
  <si>
    <t>633-0415778</t>
  </si>
  <si>
    <t>מבנה 2 - בית מגורים ראשון</t>
  </si>
  <si>
    <t>מבנה 1 - בית מגורים שני</t>
  </si>
  <si>
    <t>מבנה 3 - בית מגורים שלישי</t>
  </si>
  <si>
    <t>מבנה 2.1-קונטיינרים</t>
  </si>
  <si>
    <t>מבנה 5- משרד חקלאי</t>
  </si>
  <si>
    <t>מבנה 6- סככה חקלאית</t>
  </si>
  <si>
    <t>מבנה 7 - מגורי עובדים זרים</t>
  </si>
  <si>
    <t>היתר שנת 77</t>
  </si>
  <si>
    <r>
      <t xml:space="preserve">מבנה 4 - </t>
    </r>
    <r>
      <rPr>
        <u/>
        <sz val="11"/>
        <color theme="4"/>
        <rFont val="Arial"/>
        <family val="2"/>
        <scheme val="minor"/>
      </rPr>
      <t>חממה</t>
    </r>
    <r>
      <rPr>
        <u/>
        <sz val="11"/>
        <color theme="1"/>
        <rFont val="Arial"/>
        <family val="2"/>
        <charset val="177"/>
        <scheme val="minor"/>
      </rPr>
      <t xml:space="preserve"> + </t>
    </r>
    <r>
      <rPr>
        <u/>
        <sz val="11"/>
        <color rgb="FFFF0000"/>
        <rFont val="Arial"/>
        <family val="2"/>
        <scheme val="minor"/>
      </rPr>
      <t>סככה</t>
    </r>
  </si>
  <si>
    <t>גוש חלקה</t>
  </si>
  <si>
    <t>יום מכירה</t>
  </si>
  <si>
    <t>תמורה מוצהרת בש"ח</t>
  </si>
  <si>
    <t>בניכוי יזמות</t>
  </si>
  <si>
    <t>ישוב</t>
  </si>
  <si>
    <t>שטח</t>
  </si>
  <si>
    <t>תרומת הבנוי למ"ר</t>
  </si>
  <si>
    <t>סה"כ תרומת הבנוי</t>
  </si>
  <si>
    <t>שווי יתרת קרקע</t>
  </si>
  <si>
    <t>מקדם זמן</t>
  </si>
  <si>
    <t>שווי מגרש מתואם</t>
  </si>
  <si>
    <t>002565-0043</t>
  </si>
  <si>
    <t>משען</t>
  </si>
  <si>
    <t>002692-0015</t>
  </si>
  <si>
    <t>ברכיה</t>
  </si>
  <si>
    <t>שטח מגרש</t>
  </si>
  <si>
    <t>מהות</t>
  </si>
  <si>
    <t>ממד</t>
  </si>
  <si>
    <t>שירות</t>
  </si>
  <si>
    <t>שווי מגרש</t>
  </si>
  <si>
    <t>עיקרי ק.א</t>
  </si>
  <si>
    <t>שווי מ"ר הרחבה</t>
  </si>
  <si>
    <t>שווי מתואם</t>
  </si>
  <si>
    <t>לשומה</t>
  </si>
  <si>
    <t>הודיה</t>
  </si>
  <si>
    <t>002684-08-276</t>
  </si>
  <si>
    <t>מקדם מיקום</t>
  </si>
  <si>
    <t>002684-0008</t>
  </si>
  <si>
    <t>מסד</t>
  </si>
  <si>
    <t>ניתוח שטח אקו' מס"ד 1</t>
  </si>
  <si>
    <t>ניתוח שטח אקו' מס"ד 4</t>
  </si>
  <si>
    <t>מרתף</t>
  </si>
  <si>
    <t>שווי מר שומה</t>
  </si>
  <si>
    <t>שווי למשען</t>
  </si>
  <si>
    <t>התאמה למיקום /</t>
  </si>
  <si>
    <t>שווי מתואם הרחבה</t>
  </si>
  <si>
    <t>מקדם היקף עסקה</t>
  </si>
  <si>
    <t>שווי מר שומה לנחלה</t>
  </si>
  <si>
    <t>מקדם לפי מספר שנים לפי טבלה</t>
  </si>
  <si>
    <t>=</t>
  </si>
  <si>
    <t>תשלום למ"ר אקו'</t>
  </si>
  <si>
    <t>שנים 3</t>
  </si>
  <si>
    <t>שווי מר</t>
  </si>
  <si>
    <t>שוי מתואם</t>
  </si>
  <si>
    <t>שווי שומה מתואם</t>
  </si>
  <si>
    <t>ממוצע</t>
  </si>
  <si>
    <t>מבנה 1</t>
  </si>
  <si>
    <t>מבנה 2</t>
  </si>
  <si>
    <t>מבנה 3</t>
  </si>
  <si>
    <t>בית</t>
  </si>
  <si>
    <t>דמי היתר לפני</t>
  </si>
  <si>
    <t>היטל השבחה</t>
  </si>
  <si>
    <t>גודל מבנה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</si>
</sst>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u/>
      <sz val="11"/>
      <color theme="7"/>
      <name val="Arial"/>
      <family val="2"/>
      <charset val="177"/>
      <scheme val="minor"/>
    </font>
    <font>
      <u/>
      <sz val="11"/>
      <color theme="4"/>
      <name val="Arial"/>
      <family val="2"/>
      <scheme val="minor"/>
    </font>
    <font>
      <u/>
      <sz val="11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u/>
      <sz val="16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4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0" fillId="0" borderId="0" xfId="0" applyAlignment="1">
      <alignment horizontal="center"/>
    </xf>
    <xf numFmtId="165" fontId="19" fillId="3" borderId="18" xfId="1" applyNumberFormat="1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165" fontId="21" fillId="3" borderId="18" xfId="1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2" xfId="0" applyBorder="1"/>
    <xf numFmtId="164" fontId="0" fillId="0" borderId="22" xfId="0" applyNumberFormat="1" applyBorder="1"/>
    <xf numFmtId="165" fontId="0" fillId="0" borderId="22" xfId="1" applyNumberFormat="1" applyFont="1" applyBorder="1"/>
    <xf numFmtId="165" fontId="0" fillId="0" borderId="22" xfId="0" applyNumberFormat="1" applyBorder="1"/>
    <xf numFmtId="0" fontId="6" fillId="0" borderId="22" xfId="0" applyFont="1" applyBorder="1" applyAlignment="1">
      <alignment horizontal="center"/>
    </xf>
    <xf numFmtId="165" fontId="6" fillId="0" borderId="22" xfId="1" applyNumberFormat="1" applyFont="1" applyBorder="1"/>
    <xf numFmtId="3" fontId="25" fillId="0" borderId="22" xfId="0" applyNumberFormat="1" applyFont="1" applyBorder="1" applyAlignment="1">
      <alignment horizontal="center" wrapText="1"/>
    </xf>
    <xf numFmtId="0" fontId="25" fillId="0" borderId="22" xfId="0" applyFont="1" applyBorder="1" applyAlignment="1">
      <alignment horizontal="center" wrapText="1"/>
    </xf>
    <xf numFmtId="14" fontId="25" fillId="0" borderId="22" xfId="0" applyNumberFormat="1" applyFont="1" applyBorder="1" applyAlignment="1">
      <alignment horizontal="center" wrapText="1"/>
    </xf>
    <xf numFmtId="0" fontId="24" fillId="13" borderId="22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wrapText="1"/>
    </xf>
    <xf numFmtId="14" fontId="24" fillId="0" borderId="22" xfId="0" applyNumberFormat="1" applyFont="1" applyBorder="1" applyAlignment="1">
      <alignment horizontal="center" wrapText="1"/>
    </xf>
    <xf numFmtId="3" fontId="24" fillId="0" borderId="22" xfId="0" applyNumberFormat="1" applyFont="1" applyBorder="1" applyAlignment="1">
      <alignment horizontal="center" wrapText="1"/>
    </xf>
    <xf numFmtId="43" fontId="24" fillId="0" borderId="22" xfId="1" applyFont="1" applyFill="1" applyBorder="1" applyAlignment="1">
      <alignment horizontal="center" wrapText="1"/>
    </xf>
    <xf numFmtId="43" fontId="25" fillId="0" borderId="22" xfId="1" applyFont="1" applyFill="1" applyBorder="1" applyAlignment="1">
      <alignment horizontal="center" wrapText="1"/>
    </xf>
    <xf numFmtId="0" fontId="0" fillId="0" borderId="65" xfId="0" applyBorder="1"/>
    <xf numFmtId="43" fontId="0" fillId="0" borderId="22" xfId="1" applyFont="1" applyBorder="1"/>
    <xf numFmtId="43" fontId="0" fillId="0" borderId="65" xfId="1" applyFont="1" applyFill="1" applyBorder="1"/>
    <xf numFmtId="165" fontId="0" fillId="0" borderId="1" xfId="1" applyNumberFormat="1" applyFont="1" applyBorder="1"/>
    <xf numFmtId="165" fontId="0" fillId="0" borderId="7" xfId="1" applyNumberFormat="1" applyFont="1" applyBorder="1"/>
    <xf numFmtId="165" fontId="0" fillId="0" borderId="33" xfId="1" applyNumberFormat="1" applyFont="1" applyBorder="1"/>
    <xf numFmtId="165" fontId="0" fillId="0" borderId="34" xfId="1" applyNumberFormat="1" applyFont="1" applyBorder="1"/>
    <xf numFmtId="0" fontId="0" fillId="0" borderId="34" xfId="0" applyBorder="1"/>
    <xf numFmtId="0" fontId="0" fillId="0" borderId="35" xfId="0" applyBorder="1"/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6" fillId="14" borderId="33" xfId="0" applyFont="1" applyFill="1" applyBorder="1"/>
    <xf numFmtId="164" fontId="6" fillId="14" borderId="35" xfId="2" applyNumberFormat="1" applyFont="1" applyFill="1" applyBorder="1"/>
    <xf numFmtId="0" fontId="6" fillId="14" borderId="0" xfId="0" applyFont="1" applyFill="1"/>
    <xf numFmtId="165" fontId="0" fillId="14" borderId="0" xfId="1" applyNumberFormat="1" applyFont="1" applyFill="1"/>
    <xf numFmtId="165" fontId="6" fillId="14" borderId="0" xfId="1" applyNumberFormat="1" applyFont="1" applyFill="1"/>
    <xf numFmtId="0" fontId="24" fillId="13" borderId="65" xfId="0" applyFont="1" applyFill="1" applyBorder="1" applyAlignment="1">
      <alignment horizontal="center" vertical="center" wrapText="1"/>
    </xf>
    <xf numFmtId="0" fontId="2" fillId="6" borderId="22" xfId="0" applyFont="1" applyFill="1" applyBorder="1"/>
    <xf numFmtId="164" fontId="2" fillId="6" borderId="22" xfId="2" applyNumberFormat="1" applyFont="1" applyFill="1" applyBorder="1"/>
    <xf numFmtId="0" fontId="3" fillId="15" borderId="22" xfId="0" applyFont="1" applyFill="1" applyBorder="1" applyAlignment="1">
      <alignment horizontal="center" vertical="center"/>
    </xf>
    <xf numFmtId="0" fontId="2" fillId="15" borderId="22" xfId="0" applyFont="1" applyFill="1" applyBorder="1"/>
    <xf numFmtId="0" fontId="11" fillId="15" borderId="22" xfId="0" applyFont="1" applyFill="1" applyBorder="1"/>
    <xf numFmtId="164" fontId="11" fillId="6" borderId="22" xfId="2" applyNumberFormat="1" applyFont="1" applyFill="1" applyBorder="1"/>
    <xf numFmtId="164" fontId="11" fillId="6" borderId="22" xfId="0" applyNumberFormat="1" applyFont="1" applyFill="1" applyBorder="1"/>
    <xf numFmtId="0" fontId="26" fillId="15" borderId="2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410308</xdr:colOff>
      <xdr:row>34</xdr:row>
      <xdr:rowOff>95251</xdr:rowOff>
    </xdr:from>
    <xdr:to>
      <xdr:col>8</xdr:col>
      <xdr:colOff>436898</xdr:colOff>
      <xdr:row>38</xdr:row>
      <xdr:rowOff>133705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D8EE1FCC-0136-FB8E-0FF1-E203AE598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9085527" y="6374424"/>
          <a:ext cx="4155165" cy="699196"/>
        </a:xfrm>
        <a:prstGeom prst="rect">
          <a:avLst/>
        </a:prstGeom>
      </xdr:spPr>
    </xdr:pic>
    <xdr:clientData/>
  </xdr:twoCellAnchor>
  <xdr:twoCellAnchor editAs="oneCell">
    <xdr:from>
      <xdr:col>8</xdr:col>
      <xdr:colOff>454269</xdr:colOff>
      <xdr:row>34</xdr:row>
      <xdr:rowOff>43961</xdr:rowOff>
    </xdr:from>
    <xdr:to>
      <xdr:col>10</xdr:col>
      <xdr:colOff>631187</xdr:colOff>
      <xdr:row>38</xdr:row>
      <xdr:rowOff>131950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C5771532-3B9C-238E-B8B6-8969ED555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6842923" y="6323134"/>
          <a:ext cx="2221423" cy="765876"/>
        </a:xfrm>
        <a:prstGeom prst="rect">
          <a:avLst/>
        </a:prstGeom>
      </xdr:spPr>
    </xdr:pic>
    <xdr:clientData/>
  </xdr:twoCellAnchor>
  <xdr:twoCellAnchor editAs="oneCell">
    <xdr:from>
      <xdr:col>4</xdr:col>
      <xdr:colOff>124558</xdr:colOff>
      <xdr:row>40</xdr:row>
      <xdr:rowOff>11137</xdr:rowOff>
    </xdr:from>
    <xdr:to>
      <xdr:col>10</xdr:col>
      <xdr:colOff>515729</xdr:colOff>
      <xdr:row>71</xdr:row>
      <xdr:rowOff>747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C14876F7-EF2D-1A6C-794E-96347F8D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6973621" y="7301425"/>
          <a:ext cx="5768840" cy="52430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71"/>
  <sheetViews>
    <sheetView rightToLeft="1" topLeftCell="A46" zoomScaleNormal="100" workbookViewId="0">
      <selection activeCell="E59" sqref="E59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1154</v>
      </c>
      <c r="K2" s="1"/>
    </row>
    <row r="3" spans="1:11" x14ac:dyDescent="0.35">
      <c r="A3" s="1" t="s">
        <v>17</v>
      </c>
      <c r="B3" s="76">
        <f>'מ"ר אקו'' נחלה'!D14</f>
        <v>1104</v>
      </c>
      <c r="K3" s="1"/>
    </row>
    <row r="4" spans="1:11" x14ac:dyDescent="0.35">
      <c r="A4" s="1" t="s">
        <v>92</v>
      </c>
      <c r="B4" s="76">
        <f>'מ"ר אקו'' נחלה'!D28</f>
        <v>0</v>
      </c>
      <c r="K4" s="1"/>
    </row>
    <row r="5" spans="1:11" x14ac:dyDescent="0.35">
      <c r="A5" s="1" t="s">
        <v>202</v>
      </c>
      <c r="B5" s="76">
        <f>'מ"ר אקו'' נחלה'!D38</f>
        <v>0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245</v>
      </c>
      <c r="F7" s="75"/>
      <c r="K7" s="1"/>
    </row>
    <row r="8" spans="1:11" x14ac:dyDescent="0.35">
      <c r="A8" s="1" t="s">
        <v>12</v>
      </c>
      <c r="B8" s="128">
        <f>'ניתוח איזור לעסקאות דמה'!C7</f>
        <v>7000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211640.625</v>
      </c>
      <c r="G11" s="75">
        <f>'מ"ר אקו'' נחלה'!D71*-3.75%</f>
        <v>-6562.5</v>
      </c>
      <c r="H11" s="88">
        <f>SUM(F11:G11)</f>
        <v>205078.125</v>
      </c>
      <c r="I11" s="9"/>
      <c r="J11" s="75"/>
    </row>
    <row r="12" spans="1:11" x14ac:dyDescent="0.35">
      <c r="A12" s="82" t="s">
        <v>63</v>
      </c>
      <c r="B12" s="113">
        <f>D7</f>
        <v>245</v>
      </c>
      <c r="C12" s="114">
        <v>0.29249999999999998</v>
      </c>
      <c r="D12" s="82">
        <f t="shared" si="0"/>
        <v>71.662499999999994</v>
      </c>
      <c r="E12" s="82">
        <v>1</v>
      </c>
      <c r="F12" s="84">
        <f>D12*$B$8*E12</f>
        <v>501637.49999999994</v>
      </c>
      <c r="G12" s="75">
        <f>-'מ"ר אקו'' נחלה'!D58*C12</f>
        <v>-29250</v>
      </c>
      <c r="H12" s="6">
        <f>SUM(F12:G12)</f>
        <v>472387.49999999994</v>
      </c>
      <c r="J12" s="87"/>
    </row>
    <row r="13" spans="1:11" x14ac:dyDescent="0.35">
      <c r="A13" s="82" t="s">
        <v>64</v>
      </c>
      <c r="B13" s="113">
        <f>B7-B12</f>
        <v>41.800000000000011</v>
      </c>
      <c r="C13" s="114">
        <v>0.33</v>
      </c>
      <c r="D13" s="82">
        <f t="shared" si="0"/>
        <v>13.794000000000004</v>
      </c>
      <c r="E13" s="82">
        <v>1</v>
      </c>
      <c r="F13" s="84">
        <f>D13*$B$8*E13</f>
        <v>96558.000000000029</v>
      </c>
      <c r="G13" s="87">
        <f>G12*53/245</f>
        <v>-6327.5510204081629</v>
      </c>
      <c r="H13" s="6">
        <f>SUM(F13:G13)</f>
        <v>90230.448979591863</v>
      </c>
      <c r="I13" s="9"/>
      <c r="J13" s="75"/>
    </row>
    <row r="14" spans="1:11" ht="21" x14ac:dyDescent="0.4">
      <c r="A14" s="110" t="s">
        <v>65</v>
      </c>
      <c r="B14" s="111">
        <f>SUM(B12:B13)</f>
        <v>286.8</v>
      </c>
      <c r="C14" s="112"/>
      <c r="D14" s="112"/>
      <c r="E14" s="112"/>
      <c r="F14" s="112">
        <f>SUM(F12:F13)</f>
        <v>598195.5</v>
      </c>
      <c r="G14" s="115"/>
      <c r="H14" s="89">
        <f>SUM(H12:H13)</f>
        <v>562617.94897959183</v>
      </c>
      <c r="J14" s="75"/>
    </row>
    <row r="15" spans="1:11" ht="21" x14ac:dyDescent="0.4">
      <c r="A15" s="77" t="s">
        <v>7</v>
      </c>
      <c r="B15" s="77">
        <f>'מ"ר אקו'' נחלה'!I50</f>
        <v>245</v>
      </c>
      <c r="C15" s="80">
        <f>C35</f>
        <v>0.42499999999999999</v>
      </c>
      <c r="D15" s="77">
        <f>B15*C15</f>
        <v>104.125</v>
      </c>
      <c r="E15" s="77">
        <v>1</v>
      </c>
      <c r="F15" s="79">
        <f>D15*$B$8</f>
        <v>728875</v>
      </c>
      <c r="G15" s="9"/>
      <c r="J15" s="86"/>
    </row>
    <row r="16" spans="1:11" ht="21" x14ac:dyDescent="0.4">
      <c r="A16" s="77" t="s">
        <v>5</v>
      </c>
      <c r="B16" s="81">
        <f>B3+B4-B5</f>
        <v>1104</v>
      </c>
      <c r="C16" s="80">
        <v>0.33</v>
      </c>
      <c r="D16" s="77">
        <f t="shared" si="0"/>
        <v>364.32</v>
      </c>
      <c r="E16" s="77">
        <v>1</v>
      </c>
      <c r="F16" s="79">
        <f>D16*$B$8*E16</f>
        <v>2550240</v>
      </c>
      <c r="G16" s="75">
        <f>-'מ"ר אקו'' נחלה'!D15*C16</f>
        <v>-81510</v>
      </c>
      <c r="H16" s="88">
        <f>SUM(F16:G16)</f>
        <v>2468730</v>
      </c>
      <c r="J16" s="136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4459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477.75000000000006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1911.0000000000002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350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5"/>
      <c r="E27" s="185"/>
      <c r="F27" s="5"/>
      <c r="I27" s="75"/>
    </row>
    <row r="29" spans="1:10" x14ac:dyDescent="0.35">
      <c r="A29" s="2" t="s">
        <v>157</v>
      </c>
      <c r="C29" s="75"/>
    </row>
    <row r="30" spans="1:10" x14ac:dyDescent="0.35">
      <c r="A30" s="2"/>
      <c r="B30" s="2" t="s">
        <v>159</v>
      </c>
      <c r="C30" s="2" t="s">
        <v>21</v>
      </c>
      <c r="D30" s="2" t="s">
        <v>158</v>
      </c>
    </row>
    <row r="31" spans="1:10" x14ac:dyDescent="0.35">
      <c r="A31" s="1" t="s">
        <v>155</v>
      </c>
      <c r="B31" s="5">
        <f>'מ"ר אקו'' נחלה'!D57*'תחשיב לפי שווי שומה (2)'!$B$8</f>
        <v>2007600</v>
      </c>
      <c r="C31" s="190">
        <v>1</v>
      </c>
      <c r="D31" s="6">
        <f>C31*$B$8</f>
        <v>7000</v>
      </c>
    </row>
    <row r="32" spans="1:10" x14ac:dyDescent="0.35">
      <c r="A32" s="1" t="s">
        <v>154</v>
      </c>
      <c r="B32" s="6">
        <f>350*$B$8*C32</f>
        <v>367500</v>
      </c>
      <c r="C32" s="190">
        <v>0.15</v>
      </c>
      <c r="D32" s="6">
        <f>C32*$B$8</f>
        <v>1050</v>
      </c>
    </row>
    <row r="33" spans="1:6" x14ac:dyDescent="0.35">
      <c r="C33" s="75"/>
    </row>
    <row r="34" spans="1:6" x14ac:dyDescent="0.35">
      <c r="A34" s="1" t="s">
        <v>152</v>
      </c>
      <c r="B34" s="6">
        <f>B31-B32</f>
        <v>1640100</v>
      </c>
      <c r="C34" s="190">
        <f>C31-C32</f>
        <v>0.85</v>
      </c>
      <c r="D34" s="6">
        <f>C34*$B$8</f>
        <v>5950</v>
      </c>
    </row>
    <row r="35" spans="1:6" x14ac:dyDescent="0.35">
      <c r="A35" s="1" t="s">
        <v>153</v>
      </c>
      <c r="B35" s="6">
        <f>B34*50%</f>
        <v>820050</v>
      </c>
      <c r="C35" s="190">
        <f>C34*50%</f>
        <v>0.42499999999999999</v>
      </c>
      <c r="D35" s="6">
        <f>C35*$B$8</f>
        <v>2975</v>
      </c>
    </row>
    <row r="37" spans="1:6" x14ac:dyDescent="0.35">
      <c r="A37" s="2" t="s">
        <v>161</v>
      </c>
      <c r="C37" s="75"/>
    </row>
    <row r="38" spans="1:6" x14ac:dyDescent="0.35">
      <c r="A38" s="2"/>
      <c r="B38" s="2" t="s">
        <v>159</v>
      </c>
      <c r="C38" s="2" t="s">
        <v>21</v>
      </c>
      <c r="D38" s="2" t="s">
        <v>158</v>
      </c>
    </row>
    <row r="39" spans="1:6" x14ac:dyDescent="0.35">
      <c r="A39" s="1" t="s">
        <v>155</v>
      </c>
      <c r="B39" s="5">
        <f>'מ"ר אקו'' נחלה'!D57*'תחשיב לפי שווי שומה (2)'!$B$8</f>
        <v>2007600</v>
      </c>
      <c r="C39" s="190">
        <v>1</v>
      </c>
      <c r="D39" s="6">
        <f>C39*$B$8</f>
        <v>7000</v>
      </c>
    </row>
    <row r="40" spans="1:6" x14ac:dyDescent="0.35">
      <c r="A40" s="1" t="s">
        <v>162</v>
      </c>
      <c r="B40" s="6">
        <f>B39*70%</f>
        <v>1405320</v>
      </c>
      <c r="C40" s="190">
        <v>0.7</v>
      </c>
      <c r="D40" s="6">
        <f>C40*$B$8</f>
        <v>4900</v>
      </c>
    </row>
    <row r="41" spans="1:6" x14ac:dyDescent="0.35">
      <c r="C41" s="75"/>
    </row>
    <row r="42" spans="1:6" x14ac:dyDescent="0.35">
      <c r="A42" s="1" t="s">
        <v>152</v>
      </c>
      <c r="B42" s="6">
        <f>B39-B40</f>
        <v>602280</v>
      </c>
      <c r="C42" s="190">
        <f>C39-C40</f>
        <v>0.30000000000000004</v>
      </c>
      <c r="D42" s="6">
        <f>C42*$B$8</f>
        <v>2100.0000000000005</v>
      </c>
      <c r="F42" s="6"/>
    </row>
    <row r="43" spans="1:6" x14ac:dyDescent="0.35">
      <c r="A43" s="1" t="s">
        <v>153</v>
      </c>
      <c r="B43" s="6">
        <f>B42*50%</f>
        <v>301140</v>
      </c>
      <c r="C43" s="190">
        <f>C42*50%</f>
        <v>0.15000000000000002</v>
      </c>
      <c r="D43" s="6">
        <f>C43*$B$8</f>
        <v>1050.0000000000002</v>
      </c>
    </row>
    <row r="52" spans="1:5" x14ac:dyDescent="0.35">
      <c r="B52" s="1" t="s">
        <v>279</v>
      </c>
      <c r="C52" s="1" t="s">
        <v>280</v>
      </c>
      <c r="D52" s="1" t="s">
        <v>281</v>
      </c>
    </row>
    <row r="53" spans="1:5" x14ac:dyDescent="0.35">
      <c r="B53" s="1">
        <v>420</v>
      </c>
      <c r="C53" s="1">
        <v>85</v>
      </c>
      <c r="D53" s="1">
        <v>72</v>
      </c>
    </row>
    <row r="54" spans="1:5" x14ac:dyDescent="0.35">
      <c r="A54" s="1" t="s">
        <v>282</v>
      </c>
      <c r="B54" s="1">
        <v>3</v>
      </c>
      <c r="C54" s="1">
        <v>1</v>
      </c>
      <c r="D54" s="1">
        <v>2</v>
      </c>
    </row>
    <row r="55" spans="1:5" x14ac:dyDescent="0.35">
      <c r="A55" s="1" t="s">
        <v>283</v>
      </c>
      <c r="B55" s="5">
        <f>420*5000</f>
        <v>2100000</v>
      </c>
      <c r="C55" s="5">
        <v>0</v>
      </c>
      <c r="D55" s="5">
        <v>0</v>
      </c>
    </row>
    <row r="56" spans="1:5" x14ac:dyDescent="0.35">
      <c r="A56" s="1" t="s">
        <v>284</v>
      </c>
      <c r="B56" s="5">
        <f>(B53+C53-450)*3000</f>
        <v>165000</v>
      </c>
      <c r="C56" s="5">
        <v>0</v>
      </c>
      <c r="D56" s="5">
        <f>D53*3000</f>
        <v>216000</v>
      </c>
    </row>
    <row r="57" spans="1:5" x14ac:dyDescent="0.35">
      <c r="A57" s="1" t="s">
        <v>8</v>
      </c>
      <c r="B57" s="5">
        <f>SUM(B55:B56)</f>
        <v>2265000</v>
      </c>
      <c r="C57" s="5">
        <f t="shared" ref="C57:D57" si="1">SUM(C55:C56)</f>
        <v>0</v>
      </c>
      <c r="D57" s="5">
        <f t="shared" si="1"/>
        <v>216000</v>
      </c>
      <c r="E57" s="6">
        <f>SUM(B57:D57)</f>
        <v>2481000</v>
      </c>
    </row>
    <row r="59" spans="1:5" ht="21" x14ac:dyDescent="0.35">
      <c r="A59" s="262"/>
      <c r="B59" s="261" t="s">
        <v>279</v>
      </c>
      <c r="C59" s="261" t="s">
        <v>280</v>
      </c>
      <c r="D59" s="261" t="s">
        <v>281</v>
      </c>
      <c r="E59" s="266" t="s">
        <v>8</v>
      </c>
    </row>
    <row r="60" spans="1:5" x14ac:dyDescent="0.35">
      <c r="A60" s="262" t="s">
        <v>285</v>
      </c>
      <c r="B60" s="259">
        <v>420</v>
      </c>
      <c r="C60" s="259">
        <v>85</v>
      </c>
      <c r="D60" s="259">
        <v>72</v>
      </c>
      <c r="E60" s="259"/>
    </row>
    <row r="61" spans="1:5" x14ac:dyDescent="0.35">
      <c r="A61" s="262" t="s">
        <v>282</v>
      </c>
      <c r="B61" s="259">
        <v>2</v>
      </c>
      <c r="C61" s="259">
        <v>1</v>
      </c>
      <c r="D61" s="259">
        <v>3</v>
      </c>
      <c r="E61" s="259"/>
    </row>
    <row r="62" spans="1:5" x14ac:dyDescent="0.35">
      <c r="A62" s="262" t="s">
        <v>283</v>
      </c>
      <c r="B62" s="260">
        <f>(B60-160)*5000</f>
        <v>1300000</v>
      </c>
      <c r="C62" s="260">
        <v>0</v>
      </c>
      <c r="D62" s="260">
        <f>D60*5000</f>
        <v>360000</v>
      </c>
      <c r="E62" s="259"/>
    </row>
    <row r="63" spans="1:5" x14ac:dyDescent="0.35">
      <c r="A63" s="262" t="s">
        <v>284</v>
      </c>
      <c r="B63" s="260">
        <f>(B60+C60-450)*3000</f>
        <v>165000</v>
      </c>
      <c r="C63" s="260">
        <v>0</v>
      </c>
      <c r="D63" s="260"/>
      <c r="E63" s="259"/>
    </row>
    <row r="64" spans="1:5" ht="21" x14ac:dyDescent="0.4">
      <c r="A64" s="263" t="s">
        <v>8</v>
      </c>
      <c r="B64" s="264">
        <f>SUM(B62:B63)</f>
        <v>1465000</v>
      </c>
      <c r="C64" s="264">
        <f>SUM(C62:C63)</f>
        <v>0</v>
      </c>
      <c r="D64" s="264">
        <f>SUM(D62:D63)</f>
        <v>360000</v>
      </c>
      <c r="E64" s="265">
        <f>SUM(B64:D64)</f>
        <v>1825000</v>
      </c>
    </row>
    <row r="66" spans="1:5" x14ac:dyDescent="0.35">
      <c r="B66" s="1" t="s">
        <v>279</v>
      </c>
      <c r="C66" s="1" t="s">
        <v>280</v>
      </c>
      <c r="D66" s="1" t="s">
        <v>281</v>
      </c>
    </row>
    <row r="67" spans="1:5" x14ac:dyDescent="0.35">
      <c r="B67" s="1">
        <v>420</v>
      </c>
      <c r="C67" s="1">
        <v>85</v>
      </c>
      <c r="D67" s="1">
        <v>72</v>
      </c>
    </row>
    <row r="68" spans="1:5" x14ac:dyDescent="0.35">
      <c r="A68" s="1" t="s">
        <v>282</v>
      </c>
      <c r="B68" s="1">
        <v>2</v>
      </c>
      <c r="C68" s="1">
        <v>3</v>
      </c>
      <c r="D68" s="1">
        <v>1</v>
      </c>
    </row>
    <row r="69" spans="1:5" x14ac:dyDescent="0.35">
      <c r="A69" s="1" t="s">
        <v>283</v>
      </c>
      <c r="B69" s="5">
        <f>(B67-160)*5000</f>
        <v>1300000</v>
      </c>
      <c r="C69" s="5">
        <f>C67*5000</f>
        <v>425000</v>
      </c>
      <c r="D69" s="5">
        <v>0</v>
      </c>
    </row>
    <row r="70" spans="1:5" x14ac:dyDescent="0.35">
      <c r="A70" s="1" t="s">
        <v>284</v>
      </c>
      <c r="B70" s="5">
        <f>(B67+C67-450)*3000</f>
        <v>165000</v>
      </c>
      <c r="C70" s="5"/>
      <c r="D70" s="5">
        <v>0</v>
      </c>
    </row>
    <row r="71" spans="1:5" x14ac:dyDescent="0.35">
      <c r="A71" s="1" t="s">
        <v>8</v>
      </c>
      <c r="B71" s="5">
        <f>SUM(B69:B70)</f>
        <v>1465000</v>
      </c>
      <c r="C71" s="5">
        <f>SUM(C69:C70)</f>
        <v>425000</v>
      </c>
      <c r="D71" s="5">
        <f>SUM(D69:D70)</f>
        <v>0</v>
      </c>
      <c r="E71" s="6">
        <f>SUM(B71:D71)</f>
        <v>1890000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285" t="s">
        <v>209</v>
      </c>
      <c r="I9" s="286"/>
      <c r="J9" s="286"/>
      <c r="K9" s="286"/>
      <c r="L9" s="286"/>
      <c r="M9" s="286"/>
      <c r="N9" s="286"/>
      <c r="O9" s="287"/>
    </row>
    <row r="10" spans="8:15" x14ac:dyDescent="0.25">
      <c r="H10" s="288" t="s">
        <v>210</v>
      </c>
      <c r="I10" s="289"/>
      <c r="J10" s="288" t="s">
        <v>211</v>
      </c>
      <c r="K10" s="289"/>
      <c r="L10" s="292" t="s">
        <v>212</v>
      </c>
      <c r="M10" s="293"/>
      <c r="N10" s="288" t="s">
        <v>5</v>
      </c>
      <c r="O10" s="289"/>
    </row>
    <row r="11" spans="8:15" ht="14.4" thickBot="1" x14ac:dyDescent="0.3">
      <c r="H11" s="290"/>
      <c r="I11" s="291"/>
      <c r="J11" s="290"/>
      <c r="K11" s="291"/>
      <c r="L11" s="294"/>
      <c r="M11" s="295"/>
      <c r="N11" s="290"/>
      <c r="O11" s="291"/>
    </row>
    <row r="12" spans="8:15" x14ac:dyDescent="0.25">
      <c r="H12" s="280" t="s">
        <v>213</v>
      </c>
      <c r="I12" s="281"/>
      <c r="J12" s="282">
        <f>240000</f>
        <v>240000</v>
      </c>
      <c r="K12" s="282"/>
      <c r="L12" s="282">
        <f>240000</f>
        <v>240000</v>
      </c>
      <c r="M12" s="282"/>
      <c r="N12" s="282">
        <v>2700000</v>
      </c>
      <c r="O12" s="283"/>
    </row>
    <row r="13" spans="8:15" x14ac:dyDescent="0.25">
      <c r="H13" s="267"/>
      <c r="I13" s="268"/>
      <c r="J13" s="278"/>
      <c r="K13" s="278"/>
      <c r="L13" s="278"/>
      <c r="M13" s="278"/>
      <c r="N13" s="278"/>
      <c r="O13" s="284"/>
    </row>
    <row r="14" spans="8:15" x14ac:dyDescent="0.25">
      <c r="H14" s="267" t="s">
        <v>214</v>
      </c>
      <c r="I14" s="268"/>
      <c r="J14" s="278">
        <f>1000000</f>
        <v>1000000</v>
      </c>
      <c r="K14" s="278"/>
      <c r="L14" s="278">
        <v>1730000</v>
      </c>
      <c r="M14" s="278"/>
      <c r="N14" s="268" t="s">
        <v>215</v>
      </c>
      <c r="O14" s="272"/>
    </row>
    <row r="15" spans="8:15" x14ac:dyDescent="0.25">
      <c r="H15" s="267"/>
      <c r="I15" s="268"/>
      <c r="J15" s="278"/>
      <c r="K15" s="278"/>
      <c r="L15" s="278"/>
      <c r="M15" s="278"/>
      <c r="N15" s="268"/>
      <c r="O15" s="272"/>
    </row>
    <row r="16" spans="8:15" x14ac:dyDescent="0.25">
      <c r="H16" s="267" t="s">
        <v>216</v>
      </c>
      <c r="I16" s="268"/>
      <c r="J16" s="271">
        <f>(J14+J12)*0.06</f>
        <v>74400</v>
      </c>
      <c r="K16" s="271"/>
      <c r="L16" s="271">
        <f>(L14+L12)*0.06</f>
        <v>118200</v>
      </c>
      <c r="M16" s="271"/>
      <c r="N16" s="271">
        <f>N12*0.06</f>
        <v>162000</v>
      </c>
      <c r="O16" s="279"/>
    </row>
    <row r="17" spans="8:15" x14ac:dyDescent="0.25">
      <c r="H17" s="267"/>
      <c r="I17" s="268"/>
      <c r="J17" s="271"/>
      <c r="K17" s="271"/>
      <c r="L17" s="271"/>
      <c r="M17" s="271"/>
      <c r="N17" s="271"/>
      <c r="O17" s="279"/>
    </row>
    <row r="18" spans="8:15" x14ac:dyDescent="0.25">
      <c r="H18" s="267" t="s">
        <v>217</v>
      </c>
      <c r="I18" s="268"/>
      <c r="J18" s="268" t="s">
        <v>215</v>
      </c>
      <c r="K18" s="268"/>
      <c r="L18" s="271">
        <v>144000</v>
      </c>
      <c r="M18" s="271"/>
      <c r="N18" s="268" t="s">
        <v>215</v>
      </c>
      <c r="O18" s="272"/>
    </row>
    <row r="19" spans="8:15" x14ac:dyDescent="0.25">
      <c r="H19" s="267"/>
      <c r="I19" s="268"/>
      <c r="J19" s="268"/>
      <c r="K19" s="268"/>
      <c r="L19" s="271"/>
      <c r="M19" s="271"/>
      <c r="N19" s="268"/>
      <c r="O19" s="272"/>
    </row>
    <row r="20" spans="8:15" x14ac:dyDescent="0.25">
      <c r="H20" s="274" t="s">
        <v>8</v>
      </c>
      <c r="I20" s="275"/>
      <c r="J20" s="276">
        <f>SUM(J12:K19)</f>
        <v>1314400</v>
      </c>
      <c r="K20" s="275"/>
      <c r="L20" s="276">
        <f>SUM(L12:M19)</f>
        <v>2232200</v>
      </c>
      <c r="M20" s="275"/>
      <c r="N20" s="276">
        <f>SUM(N12:O19)</f>
        <v>2862000</v>
      </c>
      <c r="O20" s="277"/>
    </row>
    <row r="21" spans="8:15" x14ac:dyDescent="0.25">
      <c r="H21" s="274"/>
      <c r="I21" s="275"/>
      <c r="J21" s="275"/>
      <c r="K21" s="275"/>
      <c r="L21" s="275"/>
      <c r="M21" s="275"/>
      <c r="N21" s="275"/>
      <c r="O21" s="277"/>
    </row>
    <row r="22" spans="8:15" x14ac:dyDescent="0.25">
      <c r="H22" s="267" t="s">
        <v>218</v>
      </c>
      <c r="I22" s="268"/>
      <c r="J22" s="271">
        <v>500000</v>
      </c>
      <c r="K22" s="268"/>
      <c r="L22" s="271">
        <v>1500000</v>
      </c>
      <c r="M22" s="268"/>
      <c r="N22" s="268" t="s">
        <v>219</v>
      </c>
      <c r="O22" s="272"/>
    </row>
    <row r="23" spans="8:15" ht="14.4" thickBot="1" x14ac:dyDescent="0.3">
      <c r="H23" s="269"/>
      <c r="I23" s="270"/>
      <c r="J23" s="270"/>
      <c r="K23" s="270"/>
      <c r="L23" s="270"/>
      <c r="M23" s="270"/>
      <c r="N23" s="270"/>
      <c r="O23" s="273"/>
    </row>
  </sheetData>
  <mergeCells count="29"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  <mergeCell ref="H14:I15"/>
    <mergeCell ref="J14:K15"/>
    <mergeCell ref="L14:M15"/>
    <mergeCell ref="N14:O15"/>
    <mergeCell ref="H16:I17"/>
    <mergeCell ref="J16:K17"/>
    <mergeCell ref="L16:M17"/>
    <mergeCell ref="N16:O17"/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89"/>
  <sheetViews>
    <sheetView rightToLeft="1" workbookViewId="0">
      <selection activeCell="A90" sqref="A90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625</v>
      </c>
      <c r="C4" s="20">
        <v>1</v>
      </c>
      <c r="D4" s="21">
        <f>C4*B4</f>
        <v>625</v>
      </c>
      <c r="F4" s="18" t="str">
        <f t="shared" ref="F4:H7" si="0">A4</f>
        <v>עיקרי</v>
      </c>
      <c r="G4" s="19">
        <f t="shared" si="0"/>
        <v>625</v>
      </c>
      <c r="H4" s="20">
        <f t="shared" si="0"/>
        <v>1</v>
      </c>
      <c r="I4" s="21">
        <f>H4*G4</f>
        <v>625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97</v>
      </c>
      <c r="B6" s="19">
        <f>180-B5</f>
        <v>144</v>
      </c>
      <c r="C6" s="20">
        <v>0.4</v>
      </c>
      <c r="D6" s="21">
        <f>C6*B6</f>
        <v>57.6</v>
      </c>
      <c r="F6" s="18" t="str">
        <f t="shared" si="0"/>
        <v>יתרת ש"ש</v>
      </c>
      <c r="G6" s="19">
        <f t="shared" si="0"/>
        <v>144</v>
      </c>
      <c r="H6" s="20">
        <f t="shared" si="0"/>
        <v>0.4</v>
      </c>
      <c r="I6" s="21">
        <f>H6*G6</f>
        <v>57.6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805</v>
      </c>
      <c r="C8" s="24"/>
      <c r="D8" s="25"/>
      <c r="E8" s="91"/>
      <c r="F8" s="22" t="s">
        <v>27</v>
      </c>
      <c r="G8" s="23">
        <f>SUM(G4:G7)</f>
        <v>805</v>
      </c>
      <c r="H8" s="24"/>
      <c r="I8" s="25"/>
    </row>
    <row r="9" spans="1:10" x14ac:dyDescent="0.25">
      <c r="A9" s="26" t="s">
        <v>28</v>
      </c>
      <c r="B9" s="27">
        <f>B2-B8</f>
        <v>1695</v>
      </c>
      <c r="C9" s="28"/>
      <c r="D9" s="29"/>
      <c r="F9" s="26" t="s">
        <v>28</v>
      </c>
      <c r="G9" s="27">
        <f>G2-G8</f>
        <v>2195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f>B9-B10</f>
        <v>695</v>
      </c>
      <c r="C11" s="20">
        <v>0.2</v>
      </c>
      <c r="D11" s="21">
        <f>C11*B11</f>
        <v>139</v>
      </c>
      <c r="F11" s="18" t="s">
        <v>30</v>
      </c>
      <c r="G11" s="19">
        <f>B11</f>
        <v>695</v>
      </c>
      <c r="H11" s="20">
        <v>0.2</v>
      </c>
      <c r="I11" s="21">
        <f>H11*G11</f>
        <v>139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5000</v>
      </c>
      <c r="C13" s="32"/>
      <c r="D13" s="33">
        <f>SUM(D4:D12)</f>
        <v>1104</v>
      </c>
      <c r="F13" s="30" t="s">
        <v>31</v>
      </c>
      <c r="G13" s="31">
        <f>SUM(G4:G11)</f>
        <v>5500</v>
      </c>
      <c r="H13" s="32"/>
      <c r="I13" s="33">
        <f>SUM(I4:I12)</f>
        <v>1154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1104</v>
      </c>
      <c r="E14" s="72"/>
      <c r="F14" s="34" t="s">
        <v>32</v>
      </c>
      <c r="G14" s="35"/>
      <c r="H14" s="36"/>
      <c r="I14" s="37">
        <f>I13</f>
        <v>1154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v>0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296" t="s">
        <v>202</v>
      </c>
      <c r="B30" s="297"/>
      <c r="C30" s="297"/>
      <c r="D30" s="298"/>
      <c r="I30" s="17"/>
    </row>
    <row r="31" spans="1:9" x14ac:dyDescent="0.25">
      <c r="A31" s="213" t="s">
        <v>203</v>
      </c>
      <c r="B31" s="12"/>
      <c r="C31" s="12"/>
      <c r="D31" s="214">
        <v>186</v>
      </c>
      <c r="I31" s="17"/>
    </row>
    <row r="32" spans="1:9" x14ac:dyDescent="0.25">
      <c r="A32" s="18" t="s">
        <v>204</v>
      </c>
      <c r="D32" s="215">
        <v>160</v>
      </c>
      <c r="I32" s="17"/>
    </row>
    <row r="33" spans="1:11" ht="14.4" thickBot="1" x14ac:dyDescent="0.3">
      <c r="A33" s="100" t="s">
        <v>205</v>
      </c>
      <c r="B33" s="102"/>
      <c r="C33" s="102"/>
      <c r="D33" s="216">
        <f>D31-D32</f>
        <v>26</v>
      </c>
      <c r="I33" s="17"/>
    </row>
    <row r="34" spans="1:11" x14ac:dyDescent="0.25">
      <c r="A34" s="10" t="s">
        <v>206</v>
      </c>
      <c r="B34" s="12"/>
      <c r="C34" s="12"/>
      <c r="D34" s="214">
        <v>240</v>
      </c>
      <c r="I34" s="17"/>
    </row>
    <row r="35" spans="1:11" x14ac:dyDescent="0.25">
      <c r="A35" s="18" t="s">
        <v>204</v>
      </c>
      <c r="D35" s="215">
        <v>160</v>
      </c>
      <c r="I35" s="17"/>
    </row>
    <row r="36" spans="1:11" ht="14.4" thickBot="1" x14ac:dyDescent="0.3">
      <c r="A36" s="100" t="s">
        <v>205</v>
      </c>
      <c r="B36" s="102"/>
      <c r="C36" s="102"/>
      <c r="D36" s="216">
        <f>D34-D35</f>
        <v>80</v>
      </c>
      <c r="I36" s="17"/>
    </row>
    <row r="37" spans="1:11" ht="14.4" thickBot="1" x14ac:dyDescent="0.3">
      <c r="A37" s="18"/>
      <c r="D37" s="215"/>
      <c r="I37" s="17"/>
    </row>
    <row r="38" spans="1:11" ht="14.4" thickBot="1" x14ac:dyDescent="0.3">
      <c r="A38" s="217" t="s">
        <v>207</v>
      </c>
      <c r="B38" s="218"/>
      <c r="C38" s="218"/>
      <c r="D38" s="219">
        <v>0</v>
      </c>
      <c r="I38" s="17"/>
    </row>
    <row r="39" spans="1:11" x14ac:dyDescent="0.25">
      <c r="D39" s="17"/>
      <c r="I39" s="17"/>
    </row>
    <row r="40" spans="1:11" x14ac:dyDescent="0.25">
      <c r="D40" s="17"/>
      <c r="I40" s="17"/>
    </row>
    <row r="41" spans="1:11" x14ac:dyDescent="0.25">
      <c r="A41" t="s">
        <v>208</v>
      </c>
      <c r="D41" s="17">
        <f>D14+D28-D38</f>
        <v>1104</v>
      </c>
      <c r="I41" s="17"/>
    </row>
    <row r="42" spans="1:11" x14ac:dyDescent="0.25">
      <c r="D42" s="17"/>
      <c r="I42" s="17"/>
    </row>
    <row r="43" spans="1:11" x14ac:dyDescent="0.25">
      <c r="D43" s="17"/>
      <c r="I43" s="17"/>
    </row>
    <row r="44" spans="1:11" x14ac:dyDescent="0.25">
      <c r="D44" s="17"/>
      <c r="I44" s="17"/>
    </row>
    <row r="45" spans="1:11" x14ac:dyDescent="0.25">
      <c r="D45" s="17"/>
      <c r="I45" s="17"/>
    </row>
    <row r="46" spans="1:11" ht="14.4" thickBot="1" x14ac:dyDescent="0.3">
      <c r="A46" s="39" t="s">
        <v>160</v>
      </c>
    </row>
    <row r="47" spans="1:11" x14ac:dyDescent="0.25">
      <c r="A47" s="10" t="s">
        <v>51</v>
      </c>
      <c r="B47" s="98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</row>
    <row r="48" spans="1:11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>
        <f>500-G48</f>
        <v>340</v>
      </c>
      <c r="H49">
        <v>0.25</v>
      </c>
      <c r="I49" s="21">
        <f>G49*H49</f>
        <v>85</v>
      </c>
      <c r="J49" s="17"/>
      <c r="K49" s="17"/>
    </row>
    <row r="50" spans="1:13" x14ac:dyDescent="0.2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7"/>
      <c r="H50" s="107"/>
      <c r="I50" s="108">
        <f>I48+I49</f>
        <v>245</v>
      </c>
      <c r="J50" s="17">
        <f>'תחשיב לפי שווי שומה (2)'!B8</f>
        <v>7000</v>
      </c>
      <c r="K50" s="17">
        <f>I50*J50</f>
        <v>1715000</v>
      </c>
      <c r="L50" s="109">
        <v>0.29249999999999998</v>
      </c>
      <c r="M50" s="91">
        <f>K50*L50</f>
        <v>501637.49999999994</v>
      </c>
    </row>
    <row r="51" spans="1:13" ht="14.4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0" t="s">
        <v>61</v>
      </c>
      <c r="G51" s="102"/>
      <c r="H51" s="102"/>
      <c r="I51" s="103">
        <f>D57-I50</f>
        <v>41.800000000000011</v>
      </c>
      <c r="J51" s="17">
        <f>J50</f>
        <v>7000</v>
      </c>
      <c r="K51" s="17">
        <f>I51*J51</f>
        <v>292600.00000000006</v>
      </c>
      <c r="L51" s="109">
        <v>0.33</v>
      </c>
      <c r="M51" s="91">
        <f>K51*L51</f>
        <v>96558.000000000029</v>
      </c>
    </row>
    <row r="52" spans="1:13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598195.5</v>
      </c>
    </row>
    <row r="53" spans="1:13" x14ac:dyDescent="0.25">
      <c r="A53" s="99" t="s">
        <v>26</v>
      </c>
      <c r="B53" s="71"/>
      <c r="C53" s="28">
        <v>0.5</v>
      </c>
      <c r="D53" s="29">
        <f t="shared" si="1"/>
        <v>0</v>
      </c>
    </row>
    <row r="54" spans="1:13" x14ac:dyDescent="0.25">
      <c r="A54" s="22" t="s">
        <v>27</v>
      </c>
      <c r="B54" s="23">
        <f>SUM(B48:B53)-B49</f>
        <v>273</v>
      </c>
      <c r="C54" s="24"/>
      <c r="D54" s="25"/>
    </row>
    <row r="55" spans="1:13" x14ac:dyDescent="0.25">
      <c r="A55" s="18" t="s">
        <v>28</v>
      </c>
      <c r="B55" s="19">
        <f>B47-B54</f>
        <v>77</v>
      </c>
      <c r="C55" s="20"/>
      <c r="D55" s="21"/>
    </row>
    <row r="56" spans="1:13" x14ac:dyDescent="0.25">
      <c r="A56" s="26" t="s">
        <v>29</v>
      </c>
      <c r="B56" s="104">
        <v>80</v>
      </c>
      <c r="C56" s="105">
        <v>0.25</v>
      </c>
      <c r="D56" s="106">
        <f>B56*C56</f>
        <v>20</v>
      </c>
    </row>
    <row r="57" spans="1:13" ht="14.4" thickBot="1" x14ac:dyDescent="0.3">
      <c r="A57" s="100" t="s">
        <v>31</v>
      </c>
      <c r="B57" s="101"/>
      <c r="C57" s="102"/>
      <c r="D57" s="103">
        <f>SUM(D48:D56)</f>
        <v>286.8</v>
      </c>
      <c r="F57" s="91"/>
    </row>
    <row r="58" spans="1:13" x14ac:dyDescent="0.25">
      <c r="A58" s="18" t="s">
        <v>75</v>
      </c>
      <c r="B58" s="19"/>
      <c r="D58" s="91">
        <v>100000</v>
      </c>
    </row>
    <row r="60" spans="1:13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13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13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13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13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7">
        <f>G68*H68</f>
        <v>50</v>
      </c>
    </row>
    <row r="69" spans="1:9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25">
      <c r="A71" t="s">
        <v>66</v>
      </c>
      <c r="D71" s="17">
        <v>175000</v>
      </c>
      <c r="F71" t="s">
        <v>66</v>
      </c>
      <c r="I71" s="17">
        <v>190000</v>
      </c>
    </row>
    <row r="86" spans="1:7" x14ac:dyDescent="0.25">
      <c r="A86" s="249" t="s">
        <v>95</v>
      </c>
      <c r="B86" s="249" t="s">
        <v>166</v>
      </c>
      <c r="C86" s="250">
        <v>0.05</v>
      </c>
      <c r="D86" s="249" t="s">
        <v>166</v>
      </c>
      <c r="E86" s="249" t="s">
        <v>271</v>
      </c>
      <c r="F86" s="249" t="s">
        <v>272</v>
      </c>
      <c r="G86" s="249" t="s">
        <v>273</v>
      </c>
    </row>
    <row r="88" spans="1:7" x14ac:dyDescent="0.25">
      <c r="E88" s="251" t="s">
        <v>274</v>
      </c>
    </row>
    <row r="89" spans="1:7" x14ac:dyDescent="0.25">
      <c r="A89" s="251">
        <v>3500</v>
      </c>
      <c r="B89" s="251" t="s">
        <v>166</v>
      </c>
      <c r="C89" s="252">
        <v>0.05</v>
      </c>
      <c r="D89" s="251" t="s">
        <v>166</v>
      </c>
      <c r="E89" s="251">
        <v>2.7</v>
      </c>
      <c r="F89" s="251" t="s">
        <v>272</v>
      </c>
      <c r="G89" s="251">
        <f>A89*C89*E89</f>
        <v>472.50000000000006</v>
      </c>
    </row>
  </sheetData>
  <mergeCells count="1"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A2:P73"/>
  <sheetViews>
    <sheetView rightToLeft="1" tabSelected="1" topLeftCell="B9" zoomScale="130" zoomScaleNormal="130" workbookViewId="0">
      <selection activeCell="O26" sqref="O26"/>
    </sheetView>
  </sheetViews>
  <sheetFormatPr defaultRowHeight="13.8" x14ac:dyDescent="0.25"/>
  <cols>
    <col min="1" max="1" width="5.296875" customWidth="1"/>
    <col min="2" max="2" width="12.5" customWidth="1"/>
    <col min="3" max="3" width="9.19921875" bestFit="1" customWidth="1"/>
    <col min="4" max="4" width="10.296875" style="17" customWidth="1"/>
    <col min="5" max="5" width="10.796875" style="17" bestFit="1" customWidth="1"/>
    <col min="6" max="6" width="9.89843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1" max="11" width="10.19921875" bestFit="1" customWidth="1"/>
    <col min="12" max="12" width="16.3984375" bestFit="1" customWidth="1"/>
    <col min="13" max="13" width="11.09765625" bestFit="1" customWidth="1"/>
    <col min="15" max="15" width="13.19921875" bestFit="1" customWidth="1"/>
    <col min="16" max="16" width="9.09765625" bestFit="1" customWidth="1"/>
  </cols>
  <sheetData>
    <row r="2" spans="1:16" ht="15.6" x14ac:dyDescent="0.4">
      <c r="B2" s="39" t="s">
        <v>156</v>
      </c>
      <c r="C2" s="39"/>
      <c r="D2" s="130"/>
    </row>
    <row r="3" spans="1:16" x14ac:dyDescent="0.25">
      <c r="B3" t="s">
        <v>95</v>
      </c>
      <c r="C3" s="148">
        <f>E29</f>
        <v>8144.1561815684963</v>
      </c>
      <c r="D3" s="148"/>
      <c r="G3" s="189"/>
      <c r="H3" s="148"/>
      <c r="I3" s="149"/>
      <c r="J3" s="149"/>
    </row>
    <row r="4" spans="1:16" x14ac:dyDescent="0.25">
      <c r="B4" t="s">
        <v>131</v>
      </c>
      <c r="C4" s="186"/>
      <c r="D4" s="38"/>
      <c r="G4" s="189"/>
      <c r="J4" s="149"/>
    </row>
    <row r="5" spans="1:16" x14ac:dyDescent="0.25">
      <c r="B5" t="s">
        <v>132</v>
      </c>
    </row>
    <row r="6" spans="1:16" x14ac:dyDescent="0.25">
      <c r="B6" t="s">
        <v>133</v>
      </c>
      <c r="C6" s="149"/>
      <c r="D6" s="148"/>
    </row>
    <row r="7" spans="1:16" x14ac:dyDescent="0.25">
      <c r="B7" t="s">
        <v>147</v>
      </c>
      <c r="C7" s="91">
        <f>P23</f>
        <v>7000</v>
      </c>
    </row>
    <row r="8" spans="1:16" x14ac:dyDescent="0.25">
      <c r="C8" s="149"/>
    </row>
    <row r="9" spans="1:16" x14ac:dyDescent="0.25">
      <c r="B9" s="39" t="s">
        <v>134</v>
      </c>
      <c r="C9" s="150"/>
    </row>
    <row r="10" spans="1:16" ht="27.6" x14ac:dyDescent="0.4">
      <c r="B10" s="39" t="s">
        <v>136</v>
      </c>
      <c r="C10" s="39" t="s">
        <v>135</v>
      </c>
      <c r="D10" s="130" t="s">
        <v>137</v>
      </c>
      <c r="E10" s="130" t="s">
        <v>138</v>
      </c>
      <c r="F10" s="130" t="s">
        <v>139</v>
      </c>
      <c r="G10" s="130" t="s">
        <v>140</v>
      </c>
      <c r="H10" s="188" t="s">
        <v>141</v>
      </c>
      <c r="I10" s="130" t="s">
        <v>142</v>
      </c>
      <c r="J10" s="130" t="s">
        <v>143</v>
      </c>
      <c r="K10" s="130" t="s">
        <v>144</v>
      </c>
      <c r="L10" s="130" t="s">
        <v>145</v>
      </c>
      <c r="M10" s="130"/>
      <c r="N10" s="130" t="s">
        <v>146</v>
      </c>
    </row>
    <row r="11" spans="1:16" x14ac:dyDescent="0.25">
      <c r="B11" s="187"/>
    </row>
    <row r="13" spans="1:16" ht="39.6" x14ac:dyDescent="0.25">
      <c r="A13" s="234" t="s">
        <v>261</v>
      </c>
      <c r="B13" s="234" t="s">
        <v>233</v>
      </c>
      <c r="C13" s="234" t="s">
        <v>234</v>
      </c>
      <c r="D13" s="234" t="s">
        <v>235</v>
      </c>
      <c r="E13" s="234" t="s">
        <v>236</v>
      </c>
      <c r="F13" s="234" t="s">
        <v>237</v>
      </c>
      <c r="G13" s="234" t="s">
        <v>140</v>
      </c>
      <c r="H13" s="234" t="s">
        <v>238</v>
      </c>
      <c r="I13" s="234" t="s">
        <v>239</v>
      </c>
      <c r="J13" s="234" t="s">
        <v>240</v>
      </c>
      <c r="K13" s="234" t="s">
        <v>241</v>
      </c>
      <c r="L13" s="234" t="s">
        <v>242</v>
      </c>
      <c r="M13" s="234" t="s">
        <v>259</v>
      </c>
      <c r="N13" s="234" t="s">
        <v>243</v>
      </c>
      <c r="O13" s="234" t="s">
        <v>248</v>
      </c>
      <c r="P13" s="258" t="s">
        <v>275</v>
      </c>
    </row>
    <row r="14" spans="1:16" x14ac:dyDescent="0.25">
      <c r="A14" s="229">
        <v>1</v>
      </c>
      <c r="B14" s="235" t="s">
        <v>244</v>
      </c>
      <c r="C14" s="236">
        <v>44872</v>
      </c>
      <c r="D14" s="237">
        <v>4100000</v>
      </c>
      <c r="E14" s="237">
        <f>D14/1.05</f>
        <v>3904761.9047619044</v>
      </c>
      <c r="F14" s="235" t="s">
        <v>245</v>
      </c>
      <c r="G14" s="235">
        <v>2022</v>
      </c>
      <c r="H14" s="235">
        <v>170</v>
      </c>
      <c r="I14" s="237">
        <v>9000</v>
      </c>
      <c r="J14" s="237">
        <f>I14*H14</f>
        <v>1530000</v>
      </c>
      <c r="K14" s="237">
        <f>E14-J14</f>
        <v>2374761.9047619044</v>
      </c>
      <c r="L14" s="238">
        <v>1.1000000000000001</v>
      </c>
      <c r="M14" s="238">
        <v>1</v>
      </c>
      <c r="N14" s="237">
        <f>L14*K14</f>
        <v>2612238.0952380951</v>
      </c>
      <c r="O14" s="224">
        <v>513</v>
      </c>
      <c r="P14" s="91">
        <f>E29</f>
        <v>8144.1561815684963</v>
      </c>
    </row>
    <row r="15" spans="1:16" x14ac:dyDescent="0.25">
      <c r="A15" s="224">
        <v>2</v>
      </c>
      <c r="B15" s="232" t="s">
        <v>246</v>
      </c>
      <c r="C15" s="233">
        <v>44908</v>
      </c>
      <c r="D15" s="231">
        <v>4000000</v>
      </c>
      <c r="E15" s="231">
        <f>D15/1.05</f>
        <v>3809523.8095238092</v>
      </c>
      <c r="F15" s="232" t="s">
        <v>247</v>
      </c>
      <c r="G15" s="232">
        <v>1991</v>
      </c>
      <c r="H15" s="232">
        <v>224</v>
      </c>
      <c r="I15" s="231">
        <v>6000</v>
      </c>
      <c r="J15" s="231">
        <f>I15*H15</f>
        <v>1344000</v>
      </c>
      <c r="K15" s="231">
        <f>E15-J15</f>
        <v>2465523.8095238092</v>
      </c>
      <c r="L15" s="239">
        <v>1.1000000000000001</v>
      </c>
      <c r="M15" s="239">
        <v>1</v>
      </c>
      <c r="N15" s="231">
        <f t="shared" ref="N15:N16" si="0">L15*K15*M15</f>
        <v>2712076.1904761903</v>
      </c>
      <c r="O15" s="224"/>
    </row>
    <row r="16" spans="1:16" x14ac:dyDescent="0.25">
      <c r="A16" s="224">
        <v>3</v>
      </c>
      <c r="B16" s="232" t="s">
        <v>258</v>
      </c>
      <c r="C16" s="233">
        <v>45326</v>
      </c>
      <c r="D16" s="231">
        <v>3400000</v>
      </c>
      <c r="E16" s="231">
        <f>D16/1.05</f>
        <v>3238095.2380952379</v>
      </c>
      <c r="F16" s="232" t="s">
        <v>257</v>
      </c>
      <c r="G16" s="232">
        <v>2014</v>
      </c>
      <c r="H16" s="232">
        <v>153</v>
      </c>
      <c r="I16" s="231">
        <v>8000</v>
      </c>
      <c r="J16" s="231">
        <f>I16*H16</f>
        <v>1224000</v>
      </c>
      <c r="K16" s="231">
        <f>E16-J16</f>
        <v>2014095.2380952379</v>
      </c>
      <c r="L16" s="232">
        <v>1.05</v>
      </c>
      <c r="M16" s="232">
        <v>0.97</v>
      </c>
      <c r="N16" s="231">
        <f t="shared" si="0"/>
        <v>2051356</v>
      </c>
      <c r="O16" s="224"/>
    </row>
    <row r="17" spans="1:16" x14ac:dyDescent="0.25">
      <c r="A17" s="229">
        <v>4</v>
      </c>
      <c r="B17" s="235" t="s">
        <v>260</v>
      </c>
      <c r="C17" s="236">
        <v>44783</v>
      </c>
      <c r="D17" s="237">
        <v>2450000</v>
      </c>
      <c r="E17" s="237">
        <f>D17</f>
        <v>2450000</v>
      </c>
      <c r="F17" s="235" t="s">
        <v>257</v>
      </c>
      <c r="G17" s="235">
        <v>0</v>
      </c>
      <c r="H17" s="235">
        <v>0</v>
      </c>
      <c r="I17" s="235">
        <v>0</v>
      </c>
      <c r="J17" s="235">
        <v>0</v>
      </c>
      <c r="K17" s="237">
        <f>E17</f>
        <v>2450000</v>
      </c>
      <c r="L17" s="235">
        <v>1.1000000000000001</v>
      </c>
      <c r="M17" s="235">
        <v>0.97</v>
      </c>
      <c r="N17" s="237">
        <f>L17*K17*M17</f>
        <v>2614150</v>
      </c>
      <c r="O17" s="229">
        <v>500</v>
      </c>
      <c r="P17" s="91">
        <f>K30</f>
        <v>8536</v>
      </c>
    </row>
    <row r="18" spans="1:16" x14ac:dyDescent="0.25">
      <c r="P18" s="91">
        <f>AVERAGE(P14:P17)</f>
        <v>8340.0780907842491</v>
      </c>
    </row>
    <row r="19" spans="1:16" x14ac:dyDescent="0.25">
      <c r="C19" s="149"/>
      <c r="O19" t="s">
        <v>21</v>
      </c>
      <c r="P19">
        <v>0.9</v>
      </c>
    </row>
    <row r="20" spans="1:16" x14ac:dyDescent="0.25">
      <c r="B20" s="299" t="s">
        <v>262</v>
      </c>
      <c r="C20" s="299"/>
      <c r="D20" s="299"/>
      <c r="E20" s="299"/>
      <c r="H20" s="299" t="s">
        <v>263</v>
      </c>
      <c r="I20" s="299"/>
      <c r="J20" s="299"/>
      <c r="K20" s="299"/>
      <c r="L20" s="17" t="s">
        <v>248</v>
      </c>
      <c r="O20" t="s">
        <v>276</v>
      </c>
      <c r="P20" s="149">
        <f>P18*P19</f>
        <v>7506.0702817058245</v>
      </c>
    </row>
    <row r="21" spans="1:16" x14ac:dyDescent="0.25">
      <c r="B21" s="225" t="s">
        <v>249</v>
      </c>
      <c r="C21" s="226" t="s">
        <v>238</v>
      </c>
      <c r="D21" s="227" t="s">
        <v>21</v>
      </c>
      <c r="E21" s="227" t="s">
        <v>8</v>
      </c>
      <c r="F21" s="17" t="s">
        <v>248</v>
      </c>
      <c r="H21" s="225" t="s">
        <v>249</v>
      </c>
      <c r="I21" s="226" t="s">
        <v>238</v>
      </c>
      <c r="J21" s="227" t="s">
        <v>21</v>
      </c>
      <c r="K21" s="227" t="s">
        <v>8</v>
      </c>
      <c r="L21" s="17">
        <f>O17</f>
        <v>500</v>
      </c>
      <c r="O21" t="s">
        <v>277</v>
      </c>
      <c r="P21" s="149">
        <f>M53</f>
        <v>6275.6501577685176</v>
      </c>
    </row>
    <row r="22" spans="1:16" x14ac:dyDescent="0.25">
      <c r="B22" s="225" t="s">
        <v>55</v>
      </c>
      <c r="C22" s="225">
        <f>200/2-6</f>
        <v>94</v>
      </c>
      <c r="D22" s="241">
        <v>1</v>
      </c>
      <c r="E22" s="227">
        <f>D22*C22</f>
        <v>94</v>
      </c>
      <c r="F22" s="17">
        <f>O14</f>
        <v>513</v>
      </c>
      <c r="H22" s="225" t="s">
        <v>55</v>
      </c>
      <c r="I22" s="225">
        <f>150/2-6</f>
        <v>69</v>
      </c>
      <c r="J22" s="241">
        <v>1</v>
      </c>
      <c r="K22" s="227">
        <f>J22*I22</f>
        <v>69</v>
      </c>
      <c r="O22" t="s">
        <v>278</v>
      </c>
      <c r="P22" s="149">
        <f>AVERAGE(P20:P21)</f>
        <v>6890.8602197371711</v>
      </c>
    </row>
    <row r="23" spans="1:16" x14ac:dyDescent="0.25">
      <c r="B23" s="225" t="s">
        <v>250</v>
      </c>
      <c r="C23" s="225">
        <v>12</v>
      </c>
      <c r="D23" s="241">
        <v>1</v>
      </c>
      <c r="E23" s="227">
        <f t="shared" ref="E23:E26" si="1">D23*C23</f>
        <v>12</v>
      </c>
      <c r="H23" s="225" t="s">
        <v>250</v>
      </c>
      <c r="I23" s="225">
        <v>12</v>
      </c>
      <c r="J23" s="241">
        <v>1</v>
      </c>
      <c r="K23" s="227">
        <f t="shared" ref="K23:K26" si="2">J23*I23</f>
        <v>12</v>
      </c>
      <c r="O23" t="s">
        <v>256</v>
      </c>
      <c r="P23" s="149">
        <v>7000</v>
      </c>
    </row>
    <row r="24" spans="1:16" x14ac:dyDescent="0.25">
      <c r="B24" s="225" t="s">
        <v>253</v>
      </c>
      <c r="C24" s="225">
        <f>200-C22</f>
        <v>106</v>
      </c>
      <c r="D24" s="241">
        <v>1</v>
      </c>
      <c r="E24" s="227">
        <f t="shared" si="1"/>
        <v>106</v>
      </c>
      <c r="H24" s="225" t="s">
        <v>253</v>
      </c>
      <c r="I24" s="225">
        <f>150-I22</f>
        <v>81</v>
      </c>
      <c r="J24" s="241">
        <v>1</v>
      </c>
      <c r="K24" s="227">
        <f t="shared" si="2"/>
        <v>81</v>
      </c>
    </row>
    <row r="25" spans="1:16" x14ac:dyDescent="0.25">
      <c r="B25" s="225" t="s">
        <v>251</v>
      </c>
      <c r="C25" s="225">
        <f>40-C23</f>
        <v>28</v>
      </c>
      <c r="D25" s="241">
        <v>0.5</v>
      </c>
      <c r="E25" s="227">
        <f t="shared" si="1"/>
        <v>14</v>
      </c>
      <c r="H25" s="225" t="s">
        <v>251</v>
      </c>
      <c r="I25" s="225">
        <f>50-I23</f>
        <v>38</v>
      </c>
      <c r="J25" s="241">
        <v>0.5</v>
      </c>
      <c r="K25" s="227">
        <f t="shared" si="2"/>
        <v>19</v>
      </c>
    </row>
    <row r="26" spans="1:16" x14ac:dyDescent="0.25">
      <c r="B26" s="225" t="s">
        <v>53</v>
      </c>
      <c r="C26" s="228">
        <f>F22-C22-C23-C25</f>
        <v>379</v>
      </c>
      <c r="D26" s="241">
        <v>0.25</v>
      </c>
      <c r="E26" s="227">
        <f t="shared" si="1"/>
        <v>94.75</v>
      </c>
      <c r="H26" s="240" t="s">
        <v>264</v>
      </c>
      <c r="I26">
        <v>50</v>
      </c>
      <c r="J26" s="242">
        <v>0.6</v>
      </c>
      <c r="K26" s="227">
        <f t="shared" si="2"/>
        <v>30</v>
      </c>
    </row>
    <row r="27" spans="1:16" x14ac:dyDescent="0.25">
      <c r="B27" s="306" t="s">
        <v>8</v>
      </c>
      <c r="C27" s="306"/>
      <c r="D27" s="306"/>
      <c r="E27" s="230">
        <f>SUM(E22:E26)</f>
        <v>320.75</v>
      </c>
      <c r="H27" s="225" t="s">
        <v>53</v>
      </c>
      <c r="I27" s="228">
        <f>L21-I22-I23-I25</f>
        <v>381</v>
      </c>
      <c r="J27" s="241">
        <v>0.25</v>
      </c>
      <c r="K27" s="227">
        <f>J27*I27</f>
        <v>95.25</v>
      </c>
    </row>
    <row r="28" spans="1:16" x14ac:dyDescent="0.25">
      <c r="B28" s="299" t="s">
        <v>252</v>
      </c>
      <c r="C28" s="299"/>
      <c r="D28" s="299"/>
      <c r="E28" s="227">
        <f>N14</f>
        <v>2612238.0952380951</v>
      </c>
      <c r="H28" s="300" t="s">
        <v>8</v>
      </c>
      <c r="I28" s="301"/>
      <c r="J28" s="302"/>
      <c r="K28" s="230">
        <f>SUM(K22:K27)</f>
        <v>306.25</v>
      </c>
    </row>
    <row r="29" spans="1:16" x14ac:dyDescent="0.25">
      <c r="B29" s="306" t="s">
        <v>254</v>
      </c>
      <c r="C29" s="306"/>
      <c r="D29" s="306"/>
      <c r="E29" s="230">
        <f>E28/E27</f>
        <v>8144.1561815684963</v>
      </c>
      <c r="H29" s="303" t="s">
        <v>252</v>
      </c>
      <c r="I29" s="304"/>
      <c r="J29" s="305"/>
      <c r="K29" s="227">
        <f>N17</f>
        <v>2614150</v>
      </c>
    </row>
    <row r="30" spans="1:16" x14ac:dyDescent="0.25">
      <c r="B30" s="307" t="s">
        <v>21</v>
      </c>
      <c r="C30" s="307"/>
      <c r="D30" s="307"/>
      <c r="E30" s="38">
        <v>0.9</v>
      </c>
      <c r="H30" s="300" t="s">
        <v>254</v>
      </c>
      <c r="I30" s="301"/>
      <c r="J30" s="302"/>
      <c r="K30" s="230">
        <f>K29/K28</f>
        <v>8536</v>
      </c>
    </row>
    <row r="31" spans="1:16" x14ac:dyDescent="0.25">
      <c r="C31" t="s">
        <v>255</v>
      </c>
      <c r="E31" s="17">
        <f>E30*E29</f>
        <v>7329.7405634116467</v>
      </c>
    </row>
    <row r="32" spans="1:16" x14ac:dyDescent="0.25">
      <c r="C32" s="255" t="s">
        <v>256</v>
      </c>
      <c r="D32" s="256"/>
      <c r="E32" s="257">
        <v>7000</v>
      </c>
    </row>
    <row r="34" spans="4:13" ht="14.4" thickBot="1" x14ac:dyDescent="0.3"/>
    <row r="35" spans="4:13" x14ac:dyDescent="0.25">
      <c r="D35" s="243"/>
      <c r="E35" s="11"/>
      <c r="F35" s="11"/>
      <c r="G35" s="12"/>
      <c r="H35" s="12"/>
      <c r="I35" s="12"/>
      <c r="J35" s="12"/>
      <c r="K35" s="12"/>
      <c r="L35" s="12"/>
      <c r="M35" s="13"/>
    </row>
    <row r="36" spans="4:13" x14ac:dyDescent="0.25">
      <c r="D36" s="244"/>
      <c r="E36" s="19"/>
      <c r="F36" s="19"/>
      <c r="I36" s="91"/>
      <c r="M36" s="21"/>
    </row>
    <row r="37" spans="4:13" x14ac:dyDescent="0.25">
      <c r="D37" s="244"/>
      <c r="E37" s="19"/>
      <c r="F37" s="19"/>
      <c r="I37" s="91"/>
      <c r="M37" s="21"/>
    </row>
    <row r="38" spans="4:13" x14ac:dyDescent="0.25">
      <c r="D38" s="244"/>
      <c r="E38" s="19"/>
      <c r="F38" s="19"/>
      <c r="I38" s="91"/>
      <c r="M38" s="21"/>
    </row>
    <row r="39" spans="4:13" x14ac:dyDescent="0.25">
      <c r="D39" s="244"/>
      <c r="E39" s="19"/>
      <c r="F39" s="19"/>
      <c r="M39" s="21"/>
    </row>
    <row r="40" spans="4:13" x14ac:dyDescent="0.25">
      <c r="D40" s="244"/>
      <c r="E40" s="19"/>
      <c r="F40" s="19"/>
      <c r="I40" s="72"/>
      <c r="M40" s="21"/>
    </row>
    <row r="41" spans="4:13" x14ac:dyDescent="0.25">
      <c r="D41" s="244"/>
      <c r="E41" s="19"/>
      <c r="F41" s="19"/>
      <c r="M41" s="21"/>
    </row>
    <row r="42" spans="4:13" x14ac:dyDescent="0.25">
      <c r="D42" s="244"/>
      <c r="E42" s="19"/>
      <c r="F42" s="19"/>
      <c r="M42" s="21"/>
    </row>
    <row r="43" spans="4:13" x14ac:dyDescent="0.25">
      <c r="D43" s="244"/>
      <c r="E43" s="19"/>
      <c r="F43" s="19"/>
      <c r="M43" s="21"/>
    </row>
    <row r="44" spans="4:13" x14ac:dyDescent="0.25">
      <c r="D44" s="244"/>
      <c r="E44" s="19"/>
      <c r="F44" s="19"/>
      <c r="M44" s="21"/>
    </row>
    <row r="45" spans="4:13" x14ac:dyDescent="0.25">
      <c r="D45" s="244"/>
      <c r="E45" s="19"/>
      <c r="F45" s="19"/>
      <c r="M45" s="21"/>
    </row>
    <row r="46" spans="4:13" ht="14.4" thickBot="1" x14ac:dyDescent="0.3">
      <c r="D46" s="244"/>
      <c r="E46" s="19"/>
      <c r="F46" s="19"/>
      <c r="M46" s="21"/>
    </row>
    <row r="47" spans="4:13" x14ac:dyDescent="0.25">
      <c r="D47" s="244"/>
      <c r="E47" s="19"/>
      <c r="F47" s="19"/>
      <c r="L47" s="10" t="s">
        <v>265</v>
      </c>
      <c r="M47" s="13">
        <v>5670</v>
      </c>
    </row>
    <row r="48" spans="4:13" x14ac:dyDescent="0.25">
      <c r="D48" s="244"/>
      <c r="E48" s="19"/>
      <c r="F48" s="19"/>
      <c r="L48" s="18" t="s">
        <v>267</v>
      </c>
      <c r="M48" s="21">
        <v>0.85</v>
      </c>
    </row>
    <row r="49" spans="4:13" x14ac:dyDescent="0.25">
      <c r="D49" s="244"/>
      <c r="E49" s="19"/>
      <c r="F49" s="19"/>
      <c r="L49" s="18" t="s">
        <v>266</v>
      </c>
      <c r="M49" s="21">
        <f>M47/M48</f>
        <v>6670.588235294118</v>
      </c>
    </row>
    <row r="50" spans="4:13" x14ac:dyDescent="0.25">
      <c r="D50" s="244"/>
      <c r="E50" s="19"/>
      <c r="F50" s="19"/>
      <c r="L50" s="18" t="s">
        <v>242</v>
      </c>
      <c r="M50" s="21">
        <f>1*1.07^1.5</f>
        <v>1.1068166063083804</v>
      </c>
    </row>
    <row r="51" spans="4:13" x14ac:dyDescent="0.25">
      <c r="D51" s="244"/>
      <c r="E51" s="19"/>
      <c r="F51" s="19"/>
      <c r="L51" s="18" t="s">
        <v>268</v>
      </c>
      <c r="M51" s="21">
        <f>M50*M49</f>
        <v>7383.1178326688441</v>
      </c>
    </row>
    <row r="52" spans="4:13" x14ac:dyDescent="0.25">
      <c r="D52" s="244"/>
      <c r="E52" s="19"/>
      <c r="F52" s="19"/>
      <c r="L52" s="18" t="s">
        <v>269</v>
      </c>
      <c r="M52" s="21">
        <v>0.85</v>
      </c>
    </row>
    <row r="53" spans="4:13" ht="14.4" thickBot="1" x14ac:dyDescent="0.3">
      <c r="D53" s="244"/>
      <c r="E53" s="19"/>
      <c r="F53" s="19"/>
      <c r="L53" s="253" t="s">
        <v>270</v>
      </c>
      <c r="M53" s="254">
        <f>M52*M51</f>
        <v>6275.6501577685176</v>
      </c>
    </row>
    <row r="54" spans="4:13" x14ac:dyDescent="0.25">
      <c r="D54" s="244"/>
      <c r="E54" s="19"/>
      <c r="F54" s="19"/>
      <c r="M54" s="21"/>
    </row>
    <row r="55" spans="4:13" x14ac:dyDescent="0.25">
      <c r="D55" s="244"/>
      <c r="E55" s="19"/>
      <c r="F55" s="19"/>
      <c r="M55" s="21"/>
    </row>
    <row r="56" spans="4:13" x14ac:dyDescent="0.25">
      <c r="D56" s="244"/>
      <c r="E56" s="19"/>
      <c r="F56" s="19"/>
      <c r="M56" s="21"/>
    </row>
    <row r="57" spans="4:13" x14ac:dyDescent="0.25">
      <c r="D57" s="244"/>
      <c r="E57" s="19"/>
      <c r="F57" s="19"/>
      <c r="M57" s="21"/>
    </row>
    <row r="58" spans="4:13" x14ac:dyDescent="0.25">
      <c r="D58" s="244"/>
      <c r="E58" s="19"/>
      <c r="F58" s="19"/>
      <c r="M58" s="21"/>
    </row>
    <row r="59" spans="4:13" x14ac:dyDescent="0.25">
      <c r="D59" s="244"/>
      <c r="E59" s="19"/>
      <c r="F59" s="19"/>
      <c r="M59" s="21"/>
    </row>
    <row r="60" spans="4:13" x14ac:dyDescent="0.25">
      <c r="D60" s="244"/>
      <c r="E60" s="19"/>
      <c r="F60" s="19"/>
      <c r="M60" s="21"/>
    </row>
    <row r="61" spans="4:13" x14ac:dyDescent="0.25">
      <c r="D61" s="244"/>
      <c r="E61" s="19"/>
      <c r="F61" s="19"/>
      <c r="M61" s="21"/>
    </row>
    <row r="62" spans="4:13" x14ac:dyDescent="0.25">
      <c r="D62" s="244"/>
      <c r="E62" s="19"/>
      <c r="F62" s="19"/>
      <c r="M62" s="21"/>
    </row>
    <row r="63" spans="4:13" x14ac:dyDescent="0.25">
      <c r="D63" s="244"/>
      <c r="E63" s="19"/>
      <c r="F63" s="19"/>
      <c r="M63" s="21"/>
    </row>
    <row r="64" spans="4:13" x14ac:dyDescent="0.25">
      <c r="D64" s="244"/>
      <c r="E64" s="19"/>
      <c r="F64" s="19"/>
      <c r="M64" s="21"/>
    </row>
    <row r="65" spans="4:13" x14ac:dyDescent="0.25">
      <c r="D65" s="244"/>
      <c r="E65" s="19"/>
      <c r="F65" s="19"/>
      <c r="M65" s="21"/>
    </row>
    <row r="66" spans="4:13" x14ac:dyDescent="0.25">
      <c r="D66" s="244"/>
      <c r="E66" s="19"/>
      <c r="F66" s="19"/>
      <c r="M66" s="21"/>
    </row>
    <row r="67" spans="4:13" x14ac:dyDescent="0.25">
      <c r="D67" s="244"/>
      <c r="E67" s="19"/>
      <c r="F67" s="19"/>
      <c r="M67" s="21"/>
    </row>
    <row r="68" spans="4:13" x14ac:dyDescent="0.25">
      <c r="D68" s="244"/>
      <c r="E68" s="19"/>
      <c r="F68" s="19"/>
      <c r="M68" s="21"/>
    </row>
    <row r="69" spans="4:13" x14ac:dyDescent="0.25">
      <c r="D69" s="244"/>
      <c r="E69" s="19"/>
      <c r="F69" s="19"/>
      <c r="M69" s="21"/>
    </row>
    <row r="70" spans="4:13" x14ac:dyDescent="0.25">
      <c r="D70" s="244"/>
      <c r="E70" s="19"/>
      <c r="F70" s="19"/>
      <c r="M70" s="21"/>
    </row>
    <row r="71" spans="4:13" x14ac:dyDescent="0.25">
      <c r="D71" s="244"/>
      <c r="E71" s="19"/>
      <c r="F71" s="19"/>
      <c r="M71" s="21"/>
    </row>
    <row r="72" spans="4:13" x14ac:dyDescent="0.25">
      <c r="D72" s="244"/>
      <c r="E72" s="19"/>
      <c r="F72" s="19"/>
      <c r="M72" s="21"/>
    </row>
    <row r="73" spans="4:13" ht="14.4" thickBot="1" x14ac:dyDescent="0.3">
      <c r="D73" s="245"/>
      <c r="E73" s="246"/>
      <c r="F73" s="246"/>
      <c r="G73" s="247"/>
      <c r="H73" s="247"/>
      <c r="I73" s="247"/>
      <c r="J73" s="247"/>
      <c r="K73" s="247"/>
      <c r="L73" s="247"/>
      <c r="M73" s="248"/>
    </row>
  </sheetData>
  <mergeCells count="9">
    <mergeCell ref="H20:K20"/>
    <mergeCell ref="H28:J28"/>
    <mergeCell ref="H29:J29"/>
    <mergeCell ref="H30:J30"/>
    <mergeCell ref="B20:E20"/>
    <mergeCell ref="B27:D27"/>
    <mergeCell ref="B28:D28"/>
    <mergeCell ref="B29:D29"/>
    <mergeCell ref="B30:D3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Normal="100" workbookViewId="0">
      <selection activeCell="K11" sqref="K11:L11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42" thickBot="1" x14ac:dyDescent="0.3">
      <c r="A2" s="119" t="s">
        <v>35</v>
      </c>
      <c r="B2" s="191" t="s">
        <v>163</v>
      </c>
      <c r="C2" s="119" t="s">
        <v>164</v>
      </c>
      <c r="D2" s="221" t="s">
        <v>225</v>
      </c>
      <c r="E2" s="223" t="s">
        <v>224</v>
      </c>
      <c r="F2" s="92" t="s">
        <v>227</v>
      </c>
      <c r="G2" s="92" t="s">
        <v>226</v>
      </c>
      <c r="H2" s="47" t="s">
        <v>232</v>
      </c>
      <c r="I2" s="47" t="s">
        <v>228</v>
      </c>
      <c r="J2" s="116" t="s">
        <v>229</v>
      </c>
      <c r="K2" s="222" t="s">
        <v>230</v>
      </c>
      <c r="L2" s="116"/>
      <c r="M2" s="116"/>
      <c r="N2" s="47"/>
      <c r="O2" s="47"/>
      <c r="P2" s="47"/>
      <c r="Q2" s="116"/>
      <c r="R2" s="116"/>
      <c r="S2" s="117"/>
    </row>
    <row r="3" spans="1:19" x14ac:dyDescent="0.25">
      <c r="A3" s="120" t="s">
        <v>151</v>
      </c>
      <c r="B3" s="192"/>
      <c r="C3" s="120"/>
      <c r="D3" s="64">
        <f>140+129+142</f>
        <v>411</v>
      </c>
      <c r="E3" s="143">
        <v>85</v>
      </c>
      <c r="F3" s="93">
        <v>29</v>
      </c>
      <c r="G3" s="64">
        <v>72</v>
      </c>
      <c r="H3" s="64">
        <v>11.5</v>
      </c>
      <c r="I3" s="64">
        <v>30</v>
      </c>
      <c r="J3" s="49">
        <v>840</v>
      </c>
      <c r="K3" s="49">
        <v>95</v>
      </c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0" t="s">
        <v>94</v>
      </c>
      <c r="B4" s="192"/>
      <c r="C4" s="120"/>
      <c r="D4" s="93"/>
      <c r="E4" s="143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0" t="s">
        <v>76</v>
      </c>
      <c r="B5" s="192"/>
      <c r="C5" s="120"/>
      <c r="D5" s="93"/>
      <c r="E5" s="143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0" t="s">
        <v>148</v>
      </c>
      <c r="B6" s="192"/>
      <c r="C6" s="120"/>
      <c r="D6" s="93"/>
      <c r="E6" s="143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0" t="s">
        <v>149</v>
      </c>
      <c r="B7" s="192"/>
      <c r="C7" s="120"/>
      <c r="D7" s="93">
        <v>19</v>
      </c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0" t="s">
        <v>18</v>
      </c>
      <c r="B8" s="192"/>
      <c r="C8" s="120"/>
      <c r="D8" s="94"/>
      <c r="E8" s="54">
        <v>3</v>
      </c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0" t="s">
        <v>150</v>
      </c>
      <c r="B9" s="193"/>
      <c r="C9" s="208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1" t="s">
        <v>50</v>
      </c>
      <c r="B10" s="194"/>
      <c r="C10" s="122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2" t="s">
        <v>91</v>
      </c>
      <c r="B11" s="194"/>
      <c r="C11" s="122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3" t="s">
        <v>87</v>
      </c>
      <c r="B12" s="195"/>
      <c r="C12" s="123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199" t="s">
        <v>36</v>
      </c>
      <c r="B13" s="210"/>
      <c r="C13" s="209"/>
      <c r="D13" s="206">
        <f>SUM(D3:D12)</f>
        <v>430</v>
      </c>
      <c r="E13" s="200">
        <f>SUM(E3:E12)</f>
        <v>88</v>
      </c>
      <c r="F13" s="200">
        <f>SUM(F3:F12)</f>
        <v>29</v>
      </c>
      <c r="G13" s="200">
        <f>SUM(G3:G12)</f>
        <v>72</v>
      </c>
      <c r="H13" s="200">
        <f>SUM(H3:H12)</f>
        <v>11.5</v>
      </c>
      <c r="I13" s="201">
        <f t="shared" ref="I13:S13" si="0">SUM(I3:I12)</f>
        <v>30</v>
      </c>
      <c r="J13" s="201">
        <f t="shared" si="0"/>
        <v>840</v>
      </c>
      <c r="K13" s="201">
        <f t="shared" si="0"/>
        <v>95</v>
      </c>
      <c r="L13" s="201">
        <f t="shared" si="0"/>
        <v>0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2" thickBot="1" x14ac:dyDescent="0.3">
      <c r="A14" s="125" t="s">
        <v>37</v>
      </c>
      <c r="B14" s="191" t="s">
        <v>163</v>
      </c>
      <c r="C14" s="119" t="s">
        <v>164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25">
      <c r="A15" s="121" t="s">
        <v>231</v>
      </c>
      <c r="B15" s="196" t="s">
        <v>165</v>
      </c>
      <c r="C15" s="121" t="s">
        <v>165</v>
      </c>
      <c r="D15" s="52">
        <v>240</v>
      </c>
      <c r="E15" s="144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1" t="s">
        <v>199</v>
      </c>
      <c r="B16" s="196"/>
      <c r="C16" s="121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1" t="s">
        <v>198</v>
      </c>
      <c r="B17" s="196"/>
      <c r="C17" s="121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1" t="s">
        <v>201</v>
      </c>
      <c r="B18" s="196"/>
      <c r="C18" s="121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1" t="s">
        <v>201</v>
      </c>
      <c r="B19" s="196"/>
      <c r="C19" s="121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1" t="s">
        <v>200</v>
      </c>
      <c r="B20" s="196"/>
      <c r="C20" s="121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1"/>
      <c r="B21" s="196"/>
      <c r="C21" s="121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1"/>
      <c r="B22" s="196"/>
      <c r="C22" s="121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3"/>
      <c r="B23" s="195"/>
      <c r="C23" s="123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6" t="s">
        <v>90</v>
      </c>
      <c r="B24" s="197"/>
      <c r="C24" s="126"/>
      <c r="D24" s="207">
        <f>SUM(D15:D23)</f>
        <v>240</v>
      </c>
      <c r="E24" s="118">
        <f>SUM(E17:E23)</f>
        <v>0</v>
      </c>
      <c r="F24" s="118">
        <f t="shared" ref="F24:S24" si="1">SUM(F15:F23)</f>
        <v>0</v>
      </c>
      <c r="G24" s="118">
        <f t="shared" si="1"/>
        <v>0</v>
      </c>
      <c r="H24" s="118">
        <f t="shared" si="1"/>
        <v>0</v>
      </c>
      <c r="I24" s="118">
        <f t="shared" si="1"/>
        <v>0</v>
      </c>
      <c r="J24" s="118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0">
        <f t="shared" si="1"/>
        <v>0</v>
      </c>
      <c r="R24" s="140">
        <f t="shared" si="1"/>
        <v>0</v>
      </c>
      <c r="S24" s="138">
        <f t="shared" si="1"/>
        <v>0</v>
      </c>
    </row>
    <row r="25" spans="1:19" ht="14.4" thickBot="1" x14ac:dyDescent="0.3">
      <c r="A25" s="124" t="s">
        <v>38</v>
      </c>
      <c r="B25" s="198"/>
      <c r="C25" s="124"/>
      <c r="D25" s="141">
        <f t="shared" ref="D25:S25" si="2">D13-D24</f>
        <v>190</v>
      </c>
      <c r="E25" s="137">
        <f t="shared" si="2"/>
        <v>88</v>
      </c>
      <c r="F25" s="137">
        <f t="shared" si="2"/>
        <v>29</v>
      </c>
      <c r="G25" s="137">
        <f t="shared" si="2"/>
        <v>72</v>
      </c>
      <c r="H25" s="137">
        <f t="shared" si="2"/>
        <v>11.5</v>
      </c>
      <c r="I25" s="137">
        <f t="shared" si="2"/>
        <v>30</v>
      </c>
      <c r="J25" s="137">
        <f t="shared" si="2"/>
        <v>840</v>
      </c>
      <c r="K25" s="137">
        <f t="shared" si="2"/>
        <v>95</v>
      </c>
      <c r="L25" s="137">
        <f t="shared" si="2"/>
        <v>0</v>
      </c>
      <c r="M25" s="137">
        <f t="shared" si="2"/>
        <v>0</v>
      </c>
      <c r="N25" s="137">
        <f t="shared" si="2"/>
        <v>0</v>
      </c>
      <c r="O25" s="137">
        <f t="shared" si="2"/>
        <v>0</v>
      </c>
      <c r="P25" s="137">
        <f t="shared" si="2"/>
        <v>0</v>
      </c>
      <c r="Q25" s="142">
        <f t="shared" si="2"/>
        <v>0</v>
      </c>
      <c r="R25" s="141">
        <f t="shared" si="2"/>
        <v>0</v>
      </c>
      <c r="S25" s="145">
        <f t="shared" si="2"/>
        <v>0</v>
      </c>
    </row>
    <row r="26" spans="1:19" x14ac:dyDescent="0.25">
      <c r="D26" s="134"/>
      <c r="E26" s="73"/>
      <c r="F26" s="147"/>
      <c r="H26" s="73"/>
      <c r="I26" s="73"/>
      <c r="J26" s="73"/>
      <c r="K26" s="97"/>
      <c r="L26" s="147"/>
      <c r="M26" s="73"/>
    </row>
    <row r="27" spans="1:19" x14ac:dyDescent="0.25">
      <c r="A27" t="s">
        <v>88</v>
      </c>
      <c r="D27" s="135">
        <f>D8+D7</f>
        <v>19</v>
      </c>
      <c r="F27" s="73"/>
    </row>
    <row r="28" spans="1:19" x14ac:dyDescent="0.25">
      <c r="E28" s="91">
        <f>E3*9300*5%*7</f>
        <v>276675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-430</v>
      </c>
      <c r="G32" s="72"/>
      <c r="H32" s="72"/>
      <c r="L32" s="91"/>
    </row>
    <row r="33" spans="1:10" x14ac:dyDescent="0.25">
      <c r="A33" t="s">
        <v>15</v>
      </c>
      <c r="E33" s="17">
        <f>-E13</f>
        <v>-88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-518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-143</v>
      </c>
    </row>
    <row r="38" spans="1:10" x14ac:dyDescent="0.25">
      <c r="A38" t="s">
        <v>42</v>
      </c>
      <c r="E38" s="17">
        <f>-E24-F24-I24</f>
        <v>0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-143</v>
      </c>
    </row>
    <row r="43" spans="1:10" x14ac:dyDescent="0.25">
      <c r="A43" s="129" t="s">
        <v>77</v>
      </c>
      <c r="B43" s="129"/>
      <c r="C43" s="129"/>
    </row>
    <row r="44" spans="1:10" ht="15.6" x14ac:dyDescent="0.4">
      <c r="A44" s="39" t="s">
        <v>78</v>
      </c>
      <c r="B44" s="39"/>
      <c r="C44" s="39"/>
      <c r="D44" s="39" t="s">
        <v>80</v>
      </c>
      <c r="E44" s="130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7" t="s">
        <v>82</v>
      </c>
      <c r="B47" s="107"/>
      <c r="C47" s="107"/>
      <c r="D47" s="107">
        <f>SUM(D45:D46)</f>
        <v>0</v>
      </c>
      <c r="E47" s="70">
        <f>SUM(E45:E46)</f>
        <v>0</v>
      </c>
      <c r="F47" s="131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0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7" t="s">
        <v>82</v>
      </c>
      <c r="B52" s="107"/>
      <c r="C52" s="107"/>
      <c r="D52" s="107">
        <f>SUM(D50:D51)</f>
        <v>0</v>
      </c>
      <c r="E52" s="70">
        <f>SUM(E50:E51)</f>
        <v>0</v>
      </c>
      <c r="F52" s="131">
        <f>E52-D52</f>
        <v>0</v>
      </c>
      <c r="J52" s="146"/>
    </row>
    <row r="54" spans="1:10" x14ac:dyDescent="0.25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3">
        <f>F52+F47</f>
        <v>0</v>
      </c>
    </row>
    <row r="58" spans="1:10" x14ac:dyDescent="0.25">
      <c r="G58" s="39"/>
      <c r="J58" s="17"/>
    </row>
    <row r="60" spans="1:10" x14ac:dyDescent="0.25">
      <c r="J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E14" sqref="E14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167</v>
      </c>
      <c r="B2" s="39" t="s">
        <v>168</v>
      </c>
      <c r="C2" s="39" t="s">
        <v>136</v>
      </c>
      <c r="D2" s="39" t="s">
        <v>169</v>
      </c>
    </row>
    <row r="3" spans="1:6" x14ac:dyDescent="0.25">
      <c r="A3" t="s">
        <v>171</v>
      </c>
      <c r="B3" t="s">
        <v>222</v>
      </c>
      <c r="C3" s="187">
        <v>45632</v>
      </c>
      <c r="D3">
        <v>3.5</v>
      </c>
      <c r="E3" t="s">
        <v>172</v>
      </c>
    </row>
    <row r="4" spans="1:6" x14ac:dyDescent="0.25">
      <c r="A4" s="220" t="s">
        <v>170</v>
      </c>
      <c r="B4" t="s">
        <v>223</v>
      </c>
      <c r="C4" s="187">
        <v>45167</v>
      </c>
      <c r="D4">
        <v>500</v>
      </c>
      <c r="E4" t="s">
        <v>174</v>
      </c>
    </row>
    <row r="5" spans="1:6" x14ac:dyDescent="0.25">
      <c r="C5" s="187"/>
    </row>
    <row r="6" spans="1:6" x14ac:dyDescent="0.25">
      <c r="A6" t="s">
        <v>171</v>
      </c>
      <c r="B6" t="s">
        <v>220</v>
      </c>
      <c r="C6" s="187">
        <v>27154</v>
      </c>
      <c r="D6" s="211">
        <v>2</v>
      </c>
      <c r="E6" t="s">
        <v>172</v>
      </c>
      <c r="F6" t="s">
        <v>221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08" t="s">
        <v>120</v>
      </c>
      <c r="C2" s="309"/>
      <c r="D2" s="309"/>
      <c r="E2" s="309"/>
      <c r="F2" s="310"/>
    </row>
    <row r="3" spans="2:10" ht="14.4" thickBot="1" x14ac:dyDescent="0.3">
      <c r="B3" s="151" t="s">
        <v>49</v>
      </c>
      <c r="C3" s="311" t="s">
        <v>44</v>
      </c>
      <c r="D3" s="312"/>
      <c r="E3" s="311" t="s">
        <v>102</v>
      </c>
      <c r="F3" s="313"/>
    </row>
    <row r="4" spans="2:10" x14ac:dyDescent="0.25">
      <c r="B4" s="166" t="s">
        <v>103</v>
      </c>
      <c r="C4" s="325">
        <v>0</v>
      </c>
      <c r="D4" s="326"/>
      <c r="E4" s="325">
        <v>0</v>
      </c>
      <c r="F4" s="327"/>
    </row>
    <row r="5" spans="2:10" x14ac:dyDescent="0.25">
      <c r="B5" s="171" t="s">
        <v>104</v>
      </c>
      <c r="C5" s="325">
        <v>140000</v>
      </c>
      <c r="D5" s="326"/>
      <c r="E5" s="325">
        <f>6000*2</f>
        <v>12000</v>
      </c>
      <c r="F5" s="327"/>
    </row>
    <row r="6" spans="2:10" ht="27.6" x14ac:dyDescent="0.25">
      <c r="B6" s="171" t="s">
        <v>116</v>
      </c>
      <c r="C6" s="325">
        <f>46500*7</f>
        <v>325500</v>
      </c>
      <c r="D6" s="326"/>
      <c r="E6" s="325">
        <v>0</v>
      </c>
      <c r="F6" s="327"/>
    </row>
    <row r="7" spans="2:10" x14ac:dyDescent="0.25">
      <c r="B7" s="171" t="s">
        <v>105</v>
      </c>
      <c r="C7" s="325">
        <f>13000*7</f>
        <v>91000</v>
      </c>
      <c r="D7" s="326"/>
      <c r="E7" s="325">
        <f>4000*7</f>
        <v>28000</v>
      </c>
      <c r="F7" s="327"/>
    </row>
    <row r="8" spans="2:10" ht="14.4" thickBot="1" x14ac:dyDescent="0.3">
      <c r="B8" s="157" t="s">
        <v>106</v>
      </c>
      <c r="C8" s="325">
        <f>65000*7</f>
        <v>455000</v>
      </c>
      <c r="D8" s="326"/>
      <c r="E8" s="325">
        <v>50000</v>
      </c>
      <c r="F8" s="327"/>
      <c r="J8" t="s">
        <v>165</v>
      </c>
    </row>
    <row r="9" spans="2:10" ht="14.4" thickBot="1" x14ac:dyDescent="0.3">
      <c r="B9" s="308" t="s">
        <v>119</v>
      </c>
      <c r="C9" s="309"/>
      <c r="D9" s="309"/>
      <c r="E9" s="309"/>
      <c r="F9" s="310"/>
      <c r="J9" t="s">
        <v>166</v>
      </c>
    </row>
    <row r="10" spans="2:10" ht="16.2" thickBot="1" x14ac:dyDescent="0.3">
      <c r="B10" s="152" t="s">
        <v>114</v>
      </c>
      <c r="C10" s="153" t="s">
        <v>112</v>
      </c>
      <c r="D10" s="154" t="s">
        <v>109</v>
      </c>
      <c r="E10" s="155" t="s">
        <v>110</v>
      </c>
      <c r="F10" s="156" t="s">
        <v>111</v>
      </c>
    </row>
    <row r="11" spans="2:10" x14ac:dyDescent="0.25">
      <c r="B11" s="166" t="s">
        <v>103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25">
      <c r="B12" s="171" t="s">
        <v>104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25">
      <c r="B13" s="180" t="s">
        <v>107</v>
      </c>
      <c r="C13" s="317" t="s">
        <v>113</v>
      </c>
      <c r="D13" s="317"/>
      <c r="E13" s="317"/>
      <c r="F13" s="318"/>
    </row>
    <row r="14" spans="2:10" x14ac:dyDescent="0.25">
      <c r="B14" s="181" t="s">
        <v>105</v>
      </c>
      <c r="C14" s="317" t="s">
        <v>115</v>
      </c>
      <c r="D14" s="317"/>
      <c r="E14" s="317"/>
      <c r="F14" s="318"/>
    </row>
    <row r="15" spans="2:10" ht="14.4" thickBot="1" x14ac:dyDescent="0.3">
      <c r="B15" s="157" t="s">
        <v>106</v>
      </c>
      <c r="C15" s="319" t="s">
        <v>117</v>
      </c>
      <c r="D15" s="320"/>
      <c r="E15" s="320"/>
      <c r="F15" s="321"/>
    </row>
    <row r="16" spans="2:10" ht="14.4" thickBot="1" x14ac:dyDescent="0.3"/>
    <row r="17" spans="2:6" ht="14.4" thickBot="1" x14ac:dyDescent="0.3">
      <c r="B17" s="308" t="s">
        <v>101</v>
      </c>
      <c r="C17" s="309"/>
      <c r="D17" s="309"/>
      <c r="E17" s="309"/>
      <c r="F17" s="310"/>
    </row>
    <row r="18" spans="2:6" ht="14.4" thickBot="1" x14ac:dyDescent="0.3">
      <c r="B18" s="151" t="s">
        <v>108</v>
      </c>
      <c r="C18" s="311" t="s">
        <v>44</v>
      </c>
      <c r="D18" s="312"/>
      <c r="E18" s="311" t="s">
        <v>102</v>
      </c>
      <c r="F18" s="313"/>
    </row>
    <row r="19" spans="2:6" x14ac:dyDescent="0.25">
      <c r="B19" s="166" t="s">
        <v>103</v>
      </c>
      <c r="C19" s="322">
        <v>0</v>
      </c>
      <c r="D19" s="323"/>
      <c r="E19" s="322">
        <v>0</v>
      </c>
      <c r="F19" s="324"/>
    </row>
    <row r="20" spans="2:6" x14ac:dyDescent="0.25">
      <c r="B20" s="171" t="s">
        <v>104</v>
      </c>
      <c r="C20" s="339">
        <v>70000</v>
      </c>
      <c r="D20" s="340"/>
      <c r="E20" s="341">
        <f>6000*7</f>
        <v>42000</v>
      </c>
      <c r="F20" s="342"/>
    </row>
    <row r="21" spans="2:6" x14ac:dyDescent="0.25">
      <c r="B21" s="175" t="s">
        <v>107</v>
      </c>
      <c r="C21" s="339">
        <f>46500*7</f>
        <v>325500</v>
      </c>
      <c r="D21" s="340"/>
      <c r="E21" s="339">
        <v>0</v>
      </c>
      <c r="F21" s="343"/>
    </row>
    <row r="22" spans="2:6" x14ac:dyDescent="0.25">
      <c r="B22" s="171" t="s">
        <v>105</v>
      </c>
      <c r="C22" s="339">
        <f>13000*7</f>
        <v>91000</v>
      </c>
      <c r="D22" s="340"/>
      <c r="E22" s="339">
        <f>4000*7</f>
        <v>28000</v>
      </c>
      <c r="F22" s="343"/>
    </row>
    <row r="23" spans="2:6" ht="14.4" thickBot="1" x14ac:dyDescent="0.3">
      <c r="B23" s="157" t="s">
        <v>106</v>
      </c>
      <c r="C23" s="314">
        <f>65000*7</f>
        <v>455000</v>
      </c>
      <c r="D23" s="315"/>
      <c r="E23" s="314">
        <f>7000*7</f>
        <v>49000</v>
      </c>
      <c r="F23" s="316"/>
    </row>
    <row r="24" spans="2:6" ht="14.4" thickBot="1" x14ac:dyDescent="0.3">
      <c r="B24" s="162"/>
      <c r="C24" s="163"/>
      <c r="D24" s="164"/>
      <c r="E24" s="164"/>
      <c r="F24" s="165"/>
    </row>
    <row r="25" spans="2:6" ht="16.2" thickBot="1" x14ac:dyDescent="0.3">
      <c r="B25" s="152" t="s">
        <v>114</v>
      </c>
      <c r="C25" s="153" t="s">
        <v>112</v>
      </c>
      <c r="D25" s="154" t="s">
        <v>109</v>
      </c>
      <c r="E25" s="155" t="s">
        <v>110</v>
      </c>
      <c r="F25" s="156" t="s">
        <v>111</v>
      </c>
    </row>
    <row r="26" spans="2:6" x14ac:dyDescent="0.25">
      <c r="B26" s="166" t="s">
        <v>103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25">
      <c r="B27" s="171" t="s">
        <v>104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25">
      <c r="B28" s="175" t="s">
        <v>107</v>
      </c>
      <c r="C28" s="337" t="s">
        <v>113</v>
      </c>
      <c r="D28" s="337"/>
      <c r="E28" s="337"/>
      <c r="F28" s="338"/>
    </row>
    <row r="29" spans="2:6" x14ac:dyDescent="0.25">
      <c r="B29" s="171" t="s">
        <v>105</v>
      </c>
      <c r="C29" s="172">
        <v>0</v>
      </c>
      <c r="D29" s="173">
        <v>0</v>
      </c>
      <c r="E29" s="172">
        <v>0</v>
      </c>
      <c r="F29" s="174">
        <v>0</v>
      </c>
    </row>
    <row r="30" spans="2:6" ht="14.4" thickBot="1" x14ac:dyDescent="0.3">
      <c r="B30" s="157" t="s">
        <v>106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4" thickBot="1" x14ac:dyDescent="0.3"/>
    <row r="35" spans="2:6" ht="14.4" thickBot="1" x14ac:dyDescent="0.3">
      <c r="B35" s="308" t="s">
        <v>118</v>
      </c>
      <c r="C35" s="309"/>
      <c r="D35" s="309"/>
      <c r="E35" s="309"/>
      <c r="F35" s="310"/>
    </row>
    <row r="36" spans="2:6" ht="14.4" thickBot="1" x14ac:dyDescent="0.3">
      <c r="B36" s="151" t="s">
        <v>121</v>
      </c>
      <c r="C36" s="311" t="s">
        <v>44</v>
      </c>
      <c r="D36" s="312"/>
      <c r="E36" s="311" t="s">
        <v>102</v>
      </c>
      <c r="F36" s="313"/>
    </row>
    <row r="37" spans="2:6" x14ac:dyDescent="0.25">
      <c r="B37" s="166" t="s">
        <v>122</v>
      </c>
      <c r="C37" s="328" t="s">
        <v>125</v>
      </c>
      <c r="D37" s="329"/>
      <c r="E37" s="329"/>
      <c r="F37" s="330"/>
    </row>
    <row r="38" spans="2:6" x14ac:dyDescent="0.25">
      <c r="B38" s="171" t="s">
        <v>123</v>
      </c>
      <c r="C38" s="331" t="s">
        <v>124</v>
      </c>
      <c r="D38" s="332"/>
      <c r="E38" s="332"/>
      <c r="F38" s="333"/>
    </row>
    <row r="39" spans="2:6" x14ac:dyDescent="0.25">
      <c r="B39" s="171" t="s">
        <v>126</v>
      </c>
      <c r="C39" s="331" t="s">
        <v>127</v>
      </c>
      <c r="D39" s="332"/>
      <c r="E39" s="332"/>
      <c r="F39" s="333"/>
    </row>
    <row r="40" spans="2:6" ht="14.4" thickBot="1" x14ac:dyDescent="0.3">
      <c r="B40" s="157" t="s">
        <v>128</v>
      </c>
      <c r="C40" s="334" t="s">
        <v>129</v>
      </c>
      <c r="D40" s="335"/>
      <c r="E40" s="335"/>
      <c r="F40" s="336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173</v>
      </c>
      <c r="B2" t="s">
        <v>174</v>
      </c>
    </row>
    <row r="3" spans="1:14" x14ac:dyDescent="0.25">
      <c r="B3" t="s">
        <v>44</v>
      </c>
    </row>
    <row r="7" spans="1:14" x14ac:dyDescent="0.25">
      <c r="N7" t="s">
        <v>175</v>
      </c>
    </row>
    <row r="8" spans="1:14" x14ac:dyDescent="0.25">
      <c r="A8" t="s">
        <v>176</v>
      </c>
      <c r="N8" t="s">
        <v>177</v>
      </c>
    </row>
    <row r="9" spans="1:14" x14ac:dyDescent="0.25">
      <c r="A9" t="s">
        <v>178</v>
      </c>
      <c r="D9" s="212" t="s">
        <v>179</v>
      </c>
      <c r="E9" s="212"/>
      <c r="N9" t="s">
        <v>180</v>
      </c>
    </row>
    <row r="10" spans="1:14" x14ac:dyDescent="0.25">
      <c r="N10" t="s">
        <v>181</v>
      </c>
    </row>
    <row r="15" spans="1:14" x14ac:dyDescent="0.25">
      <c r="A15" t="s">
        <v>182</v>
      </c>
      <c r="B15" t="s">
        <v>183</v>
      </c>
    </row>
    <row r="19" spans="1:12" x14ac:dyDescent="0.25">
      <c r="A19" s="39" t="s">
        <v>184</v>
      </c>
      <c r="B19" s="39" t="s">
        <v>175</v>
      </c>
      <c r="C19" s="39" t="s">
        <v>80</v>
      </c>
      <c r="D19" s="39" t="s">
        <v>185</v>
      </c>
      <c r="E19" s="39" t="s">
        <v>186</v>
      </c>
      <c r="F19" s="39" t="s">
        <v>187</v>
      </c>
      <c r="G19" s="39" t="s">
        <v>21</v>
      </c>
      <c r="H19" s="39" t="s">
        <v>188</v>
      </c>
      <c r="I19" s="39" t="s">
        <v>189</v>
      </c>
      <c r="J19" s="39" t="s">
        <v>190</v>
      </c>
      <c r="K19" s="39" t="s">
        <v>191</v>
      </c>
      <c r="L19" s="39" t="s">
        <v>192</v>
      </c>
    </row>
    <row r="20" spans="1:12" x14ac:dyDescent="0.25">
      <c r="A20" t="s">
        <v>193</v>
      </c>
      <c r="H20" s="148">
        <f>'תחשיב לפי שווי שומה (2)'!B8</f>
        <v>7000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25">
      <c r="A21" t="s">
        <v>194</v>
      </c>
      <c r="H21" s="149">
        <f>H20</f>
        <v>7000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25">
      <c r="A22" t="s">
        <v>195</v>
      </c>
      <c r="H22" s="149">
        <f>H21</f>
        <v>7000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25">
      <c r="A23" t="s">
        <v>196</v>
      </c>
      <c r="H23" s="149">
        <f>H22</f>
        <v>7000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25">
      <c r="A24" t="s">
        <v>197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2025-10-16T09:17:15Z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