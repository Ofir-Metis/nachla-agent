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חודרה - בית עזרא/פרוייקט בדיקת התכנות/בדיקת התכנות/"/>
    </mc:Choice>
  </mc:AlternateContent>
  <xr:revisionPtr revIDLastSave="338" documentId="8_{E9A5D54E-385F-4F6C-AF2C-D62B03C85759}" xr6:coauthVersionLast="47" xr6:coauthVersionMax="47" xr10:uidLastSave="{0AEBC3EF-4C6E-485D-8C13-F83B1BAE16E0}"/>
  <bookViews>
    <workbookView xWindow="-110" yWindow="-110" windowWidth="34620" windowHeight="13900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תחשיבי הסדרה" sheetId="11" r:id="rId4"/>
    <sheet name="ניתוח איזור לעסקאות דמה" sheetId="5" r:id="rId5"/>
    <sheet name="חישוב גדלי בתים" sheetId="4" r:id="rId6"/>
    <sheet name="תבעות" sheetId="8" r:id="rId7"/>
    <sheet name="גיליון1" sheetId="7" r:id="rId8"/>
    <sheet name="בקרה" sheetId="9" r:id="rId9"/>
  </sheets>
  <externalReferences>
    <externalReference r:id="rId10"/>
  </externalReferences>
  <definedNames>
    <definedName name="_xlnm._FilterDatabase" localSheetId="6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4" l="1"/>
  <c r="K30" i="4"/>
  <c r="J28" i="4"/>
  <c r="K6" i="4"/>
  <c r="I30" i="4"/>
  <c r="I29" i="4"/>
  <c r="I28" i="4"/>
  <c r="B11" i="3"/>
  <c r="C7" i="5"/>
  <c r="B8" i="6" s="1"/>
  <c r="H20" i="9" s="1"/>
  <c r="H21" i="9" s="1"/>
  <c r="G62" i="5"/>
  <c r="G60" i="5"/>
  <c r="D24" i="4"/>
  <c r="D16" i="4"/>
  <c r="M7" i="4"/>
  <c r="G4" i="4"/>
  <c r="G13" i="4" s="1"/>
  <c r="I26" i="11"/>
  <c r="J26" i="11"/>
  <c r="H26" i="11"/>
  <c r="S56" i="3"/>
  <c r="W54" i="3"/>
  <c r="U54" i="3"/>
  <c r="Y54" i="3" s="1"/>
  <c r="U52" i="3"/>
  <c r="Y52" i="3" s="1"/>
  <c r="S51" i="3"/>
  <c r="S53" i="3" s="1"/>
  <c r="S55" i="3" s="1"/>
  <c r="S57" i="3" s="1"/>
  <c r="U50" i="3"/>
  <c r="S50" i="3"/>
  <c r="S49" i="3"/>
  <c r="U49" i="3" s="1"/>
  <c r="S48" i="3"/>
  <c r="U48" i="3" s="1"/>
  <c r="S47" i="3"/>
  <c r="W47" i="3" s="1"/>
  <c r="W58" i="3" s="1"/>
  <c r="G49" i="3"/>
  <c r="N16" i="10"/>
  <c r="N20" i="10" s="1"/>
  <c r="J14" i="10"/>
  <c r="L12" i="10"/>
  <c r="J12" i="10"/>
  <c r="D36" i="3"/>
  <c r="D33" i="3"/>
  <c r="L24" i="9"/>
  <c r="J24" i="9"/>
  <c r="L23" i="9"/>
  <c r="L22" i="9"/>
  <c r="L21" i="9"/>
  <c r="L20" i="9"/>
  <c r="C42" i="6"/>
  <c r="Y58" i="3" l="1"/>
  <c r="U47" i="3"/>
  <c r="U51" i="3" s="1"/>
  <c r="U58" i="3" s="1"/>
  <c r="J16" i="10"/>
  <c r="J20" i="10" s="1"/>
  <c r="L16" i="10"/>
  <c r="L20" i="10" s="1"/>
  <c r="B5" i="6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E13" i="4"/>
  <c r="H13" i="4"/>
  <c r="I13" i="4"/>
  <c r="E24" i="4"/>
  <c r="G24" i="4"/>
  <c r="H24" i="4"/>
  <c r="I24" i="4"/>
  <c r="J13" i="4"/>
  <c r="J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H23" i="9" l="1"/>
  <c r="J23" i="9" s="1"/>
  <c r="J22" i="9"/>
  <c r="D42" i="6"/>
  <c r="C35" i="6"/>
  <c r="D35" i="6" s="1"/>
  <c r="H25" i="4"/>
  <c r="J25" i="4"/>
  <c r="I25" i="4"/>
  <c r="D25" i="4"/>
  <c r="G25" i="4"/>
  <c r="E25" i="4"/>
  <c r="C15" i="6" l="1"/>
  <c r="D9" i="6" l="1"/>
  <c r="T24" i="4" l="1"/>
  <c r="S24" i="4"/>
  <c r="R24" i="4"/>
  <c r="Q24" i="4"/>
  <c r="P24" i="4"/>
  <c r="O24" i="4"/>
  <c r="N24" i="4"/>
  <c r="M24" i="4"/>
  <c r="L24" i="4"/>
  <c r="K24" i="4"/>
  <c r="D22" i="3" l="1"/>
  <c r="D10" i="3"/>
  <c r="D7" i="3"/>
  <c r="D6" i="3"/>
  <c r="D5" i="3"/>
  <c r="D4" i="3"/>
  <c r="B8" i="3" l="1"/>
  <c r="B9" i="3" s="1"/>
  <c r="D11" i="3" s="1"/>
  <c r="D13" i="3" s="1"/>
  <c r="T13" i="4" l="1"/>
  <c r="S13" i="4"/>
  <c r="R13" i="4"/>
  <c r="P13" i="4"/>
  <c r="N13" i="4"/>
  <c r="M13" i="4"/>
  <c r="L13" i="4"/>
  <c r="K13" i="4"/>
  <c r="Q13" i="4"/>
  <c r="O13" i="4"/>
  <c r="H24" i="3"/>
  <c r="H25" i="3" s="1"/>
  <c r="T25" i="4" l="1"/>
  <c r="S25" i="4"/>
  <c r="P25" i="4"/>
  <c r="Q25" i="4"/>
  <c r="O25" i="4"/>
  <c r="R25" i="4"/>
  <c r="N25" i="4"/>
  <c r="M25" i="4"/>
  <c r="L25" i="4"/>
  <c r="K25" i="4"/>
  <c r="E52" i="4"/>
  <c r="G51" i="4"/>
  <c r="G50" i="4"/>
  <c r="G46" i="4"/>
  <c r="E47" i="4"/>
  <c r="D47" i="4"/>
  <c r="G47" i="4" l="1"/>
  <c r="E54" i="4"/>
  <c r="G45" i="4"/>
  <c r="D52" i="4"/>
  <c r="G52" i="4" s="1"/>
  <c r="G12" i="6"/>
  <c r="G13" i="6" s="1"/>
  <c r="G54" i="4" l="1"/>
  <c r="D54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I49" i="3"/>
  <c r="F48" i="3"/>
  <c r="B54" i="3"/>
  <c r="B55" i="3" s="1"/>
  <c r="D56" i="3" s="1"/>
  <c r="D49" i="3"/>
  <c r="D52" i="3"/>
  <c r="D51" i="3"/>
  <c r="D50" i="3"/>
  <c r="F18" i="6"/>
  <c r="B4" i="6" l="1"/>
  <c r="I7" i="3"/>
  <c r="I4" i="3"/>
  <c r="G8" i="3"/>
  <c r="G9" i="3" s="1"/>
  <c r="I6" i="3"/>
  <c r="J50" i="3"/>
  <c r="J51" i="3" s="1"/>
  <c r="I69" i="3"/>
  <c r="I70" i="3" s="1"/>
  <c r="G69" i="3"/>
  <c r="I50" i="3"/>
  <c r="I5" i="3"/>
  <c r="D53" i="3"/>
  <c r="D48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<sst xmlns="http://schemas.openxmlformats.org/spreadsheetml/2006/main" count="389" uniqueCount="274">
  <si>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</si>
  <si>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</si>
  <si>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</si>
  <si>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</si>
  <si>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</si>
  <si>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</si>
  <si>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</si>
  <si>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</si>
  <si>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</si>
  <si>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</si>
  <si>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</si>
  <si>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</si>
  <si>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</si>
  <si>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</si>
  <si>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</si>
  <si>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</si>
  <si>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</si>
  <si>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</si>
  <si>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</si>
  <si>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</si>
  <si>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</si>
  <si>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</si>
  <si>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</si>
  <si>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</si>
  <si>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</si>
  <si>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</si>
  <si>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</si>
  <si>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</si>
  <si>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</si>
  <si>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</si>
  <si>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</si>
  <si>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</si>
  <si>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</si>
  <si>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</si>
  <si>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</si>
  <si>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</si>
  <si>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</si>
  <si>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</si>
  <si>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</si>
  <si>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</si>
  <si>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</si>
  <si>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</si>
  <si>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</si>
  <si>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</si>
  <si>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</si>
  <si>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</si>
  <si>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</si>
  <si>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</si>
  <si>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</si>
  <si>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</si>
  <si>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</si>
  <si>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</si>
  <si>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</si>
  <si>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</si>
  <si>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</si>
  <si>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</si>
  <si>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</si>
  <si>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</si>
  <si>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</si>
  <si>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</si>
  <si>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</si>
  <si>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</si>
  <si>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</si>
  <si>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</si>
  <si>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</si>
  <si>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</si>
  <si>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</si>
  <si>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</si>
  <si>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</si>
  <si>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</si>
  <si>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</si>
  <si>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</si>
  <si>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</si>
  <si>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</si>
  <si>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</si>
  <si>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</si>
  <si>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</si>
  <si>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</si>
  <si>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</si>
  <si>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</si>
  <si>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</si>
  <si>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</si>
  <si>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</si>
  <si>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</si>
  <si>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</si>
  <si>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</si>
  <si>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</si>
  <si>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</si>
  <si>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</si>
  <si>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</si>
  <si>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</si>
  <si>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</si>
  <si>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</si>
  <si>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</si>
  <si>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</si>
  <si>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</si>
  <si>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</si>
  <si>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</si>
  <si>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</si>
  <si>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</si>
  <si>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</si>
  <si>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</si>
  <si>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</si>
  <si>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</si>
  <si>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</si>
  <si>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</si>
  <si>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</si>
  <si>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</si>
  <si>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</si>
  <si>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</si>
  <si>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</si>
  <si>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</si>
  <si>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</si>
  <si>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</si>
  <si>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</si>
  <si>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</si>
  <si>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</si>
  <si>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</si>
  <si>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</si>
  <si>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</si>
  <si>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</si>
  <si>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</si>
  <si>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</si>
  <si>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</si>
  <si>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</si>
  <si>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</si>
  <si>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</si>
  <si>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</si>
  <si>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</si>
  <si>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</si>
  <si>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</si>
  <si>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</si>
  <si>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</si>
  <si>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</si>
  <si>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</si>
  <si>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</si>
  <si>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</si>
  <si>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</si>
  <si>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</si>
  <si>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</si>
  <si>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</si>
  <si>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</si>
  <si>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</si>
  <si>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</si>
  <si>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</si>
  <si>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</si>
  <si>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</si>
  <si>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</si>
  <si>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</si>
  <si>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</si>
  <si>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</si>
  <si>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</si>
  <si>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</si>
  <si>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</si>
  <si>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</si>
  <si>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</si>
  <si>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</si>
  <si>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</si>
  <si>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</si>
  <si>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</si>
  <si>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</si>
  <si>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</si>
  <si>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</si>
  <si>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</si>
  <si>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</si>
  <si>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</si>
  <si>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</si>
  <si>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</si>
  <si>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</si>
  <si>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</si>
  <si>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פל"ח</t>
  </si>
  <si>
    <t>גובמאפ</t>
  </si>
  <si>
    <t>בתים</t>
  </si>
  <si>
    <t>פיצול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</si>
  <si>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</si>
  <si>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</si>
  <si>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</si>
  <si>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</si>
  <si>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</si>
  <si>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</si>
  <si>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</si>
  <si>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</si>
  <si>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</si>
  <si>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</si>
  <si>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</si>
  <si>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</si>
  <si>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</si>
  <si>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</si>
  <si>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</si>
  <si>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</si>
  <si>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</si>
  <si>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</si>
  <si>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</si>
  <si>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</si>
  <si>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</si>
  <si>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</si>
  <si>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</si>
  <si>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</si>
  <si>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</si>
  <si>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99</t>
  </si>
  <si>
    <t>היתר שנת 01- חקלאי</t>
  </si>
  <si>
    <t>היתר שנת 2000 - חקלאי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</si>
  <si>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</si>
  <si>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</si>
  <si>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</si>
  <si>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</si>
  <si>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</si>
  <si>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</si>
  <si>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</si>
  <si>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</si>
  <si>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</si>
  <si>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</si>
  <si>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פיצול מגרש ריק +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</si>
  <si>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</si>
  <si>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</si>
  <si>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</si>
  <si>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</si>
  <si>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</si>
  <si>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</si>
  <si>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</si>
  <si>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תחשיבי פיצול</t>
  </si>
  <si>
    <t>סעיף</t>
  </si>
  <si>
    <t>מ"ר בנוי</t>
  </si>
  <si>
    <t>פטור</t>
  </si>
  <si>
    <t>זכויות חוזיות</t>
  </si>
  <si>
    <t>עלות לרמ"י ליח'</t>
  </si>
  <si>
    <t>סה"כ רמ"י</t>
  </si>
  <si>
    <t>עלות ליח'</t>
  </si>
  <si>
    <t>היטל השבחה</t>
  </si>
  <si>
    <t>הסדרה</t>
  </si>
  <si>
    <t xml:space="preserve">בית שלישי </t>
  </si>
  <si>
    <t>יח"ד הורים</t>
  </si>
  <si>
    <t>היוון</t>
  </si>
  <si>
    <t>חוזה חכירה לאחר הסדרה והיוון</t>
  </si>
  <si>
    <t>פיצול בית 1</t>
  </si>
  <si>
    <t>חוזה חכירה לאחר פיצול</t>
  </si>
  <si>
    <t>רכישת דמי היתר בעקבות פיצול</t>
  </si>
  <si>
    <t>מצב בנוי לאחר פיצול</t>
  </si>
  <si>
    <t>יתרת זכויות / רכישת דמי היתר</t>
  </si>
  <si>
    <t>סה"כ היטל השבחה</t>
  </si>
  <si>
    <t>סה"כ מס רכישה</t>
  </si>
  <si>
    <t>מס' מבנה</t>
  </si>
  <si>
    <t>סיווג המבנה</t>
  </si>
  <si>
    <t>שטח במ"ר</t>
  </si>
  <si>
    <t>עלות הסדרה</t>
  </si>
  <si>
    <t>ד/682</t>
  </si>
  <si>
    <t>אתר הוועדה</t>
  </si>
  <si>
    <t>59-</t>
  </si>
  <si>
    <t>בריכה</t>
  </si>
  <si>
    <t>616-0861997</t>
  </si>
  <si>
    <t>616-0770735</t>
  </si>
  <si>
    <t>מבנה 1.1 - חניה</t>
  </si>
  <si>
    <t>מבנה 2.2 - בריכה</t>
  </si>
  <si>
    <t>מבנה 2.1 - פרגולה</t>
  </si>
  <si>
    <t>מבנה 3 - בית מגורים חמישי</t>
  </si>
  <si>
    <t>מבנה 4 - משרד פלח</t>
  </si>
  <si>
    <t>מבנה 1.2 - מחסן ביתי</t>
  </si>
  <si>
    <t>מבנה 5 - בית מגורים שישי</t>
  </si>
  <si>
    <t>מבנה 6 - בית מגורים שביעי</t>
  </si>
  <si>
    <t>חניה / מחסן</t>
  </si>
  <si>
    <t>מבנה 7 - אחסנה פלח</t>
  </si>
  <si>
    <t>מבנה 1 - בית מגורים שני + רביעי</t>
  </si>
  <si>
    <t>מבנה 2 -בית מגורים ראשון + שלישי</t>
  </si>
  <si>
    <t xml:space="preserve">היתר שנת 93 - </t>
  </si>
  <si>
    <t>שומת דמי רכישה במושב גבעתי - ממועד 02-25</t>
  </si>
  <si>
    <t>שווי מ"ר מבונה הרחבה</t>
  </si>
  <si>
    <t>מועד קובע</t>
  </si>
  <si>
    <t>מס' שנים</t>
  </si>
  <si>
    <t>מקדם לשנה</t>
  </si>
  <si>
    <t>מקדם משוקלל</t>
  </si>
  <si>
    <t>סה"כ שווי בהרחבה</t>
  </si>
  <si>
    <t>מקדם נחלה</t>
  </si>
  <si>
    <t>סה"כ שווי בנחלה</t>
  </si>
  <si>
    <t>לשומה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</si>
</sst>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  <numFmt numFmtId="167" formatCode="_ * #,##0.000_ ;_ * \-#,##0.000_ ;_ * &quot;-&quot;??_ ;_ @_ "/>
  </numFmts>
  <fonts count="2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  <font>
      <u/>
      <sz val="11"/>
      <color theme="8"/>
      <name val="Arial"/>
      <family val="2"/>
      <charset val="177"/>
      <scheme val="minor"/>
    </font>
    <font>
      <sz val="26"/>
      <color theme="1"/>
      <name val="Arial"/>
      <family val="2"/>
      <charset val="177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7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16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164" fontId="0" fillId="0" borderId="49" xfId="2" applyNumberFormat="1" applyFont="1" applyBorder="1"/>
    <xf numFmtId="164" fontId="0" fillId="0" borderId="52" xfId="2" applyNumberFormat="1" applyFont="1" applyBorder="1"/>
    <xf numFmtId="9" fontId="0" fillId="0" borderId="49" xfId="3" applyFont="1" applyBorder="1"/>
    <xf numFmtId="0" fontId="0" fillId="0" borderId="22" xfId="0" applyBorder="1"/>
    <xf numFmtId="0" fontId="0" fillId="0" borderId="69" xfId="0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9" fontId="0" fillId="0" borderId="46" xfId="3" applyFont="1" applyBorder="1"/>
    <xf numFmtId="0" fontId="0" fillId="0" borderId="26" xfId="0" applyBorder="1"/>
    <xf numFmtId="0" fontId="0" fillId="0" borderId="76" xfId="0" applyBorder="1"/>
    <xf numFmtId="164" fontId="0" fillId="0" borderId="77" xfId="2" applyNumberFormat="1" applyFont="1" applyBorder="1"/>
    <xf numFmtId="164" fontId="0" fillId="0" borderId="28" xfId="2" applyNumberFormat="1" applyFont="1" applyBorder="1"/>
    <xf numFmtId="9" fontId="0" fillId="0" borderId="77" xfId="3" applyFont="1" applyBorder="1"/>
    <xf numFmtId="0" fontId="6" fillId="0" borderId="78" xfId="0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9" fontId="6" fillId="0" borderId="47" xfId="3" applyFont="1" applyBorder="1"/>
    <xf numFmtId="10" fontId="0" fillId="0" borderId="58" xfId="0" applyNumberFormat="1" applyBorder="1"/>
    <xf numFmtId="0" fontId="0" fillId="0" borderId="51" xfId="0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0" fontId="0" fillId="0" borderId="30" xfId="0" applyBorder="1"/>
    <xf numFmtId="0" fontId="0" fillId="0" borderId="71" xfId="0" applyBorder="1"/>
    <xf numFmtId="164" fontId="0" fillId="0" borderId="70" xfId="2" applyNumberFormat="1" applyFont="1" applyBorder="1"/>
    <xf numFmtId="164" fontId="0" fillId="0" borderId="16" xfId="2" applyNumberFormat="1" applyFont="1" applyBorder="1"/>
    <xf numFmtId="9" fontId="0" fillId="0" borderId="70" xfId="3" applyFont="1" applyBorder="1"/>
    <xf numFmtId="0" fontId="0" fillId="0" borderId="58" xfId="0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165" fontId="19" fillId="3" borderId="17" xfId="1" applyNumberFormat="1" applyFont="1" applyFill="1" applyBorder="1" applyAlignment="1">
      <alignment horizontal="center" vertical="center" wrapText="1"/>
    </xf>
    <xf numFmtId="165" fontId="19" fillId="3" borderId="18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Border="1"/>
    <xf numFmtId="0" fontId="20" fillId="3" borderId="18" xfId="0" applyFont="1" applyFill="1" applyBorder="1" applyAlignment="1">
      <alignment horizontal="center" vertical="center" wrapText="1"/>
    </xf>
    <xf numFmtId="0" fontId="5" fillId="0" borderId="7" xfId="0" applyFont="1" applyBorder="1"/>
    <xf numFmtId="164" fontId="0" fillId="0" borderId="0" xfId="2" applyNumberFormat="1" applyFont="1" applyBorder="1"/>
    <xf numFmtId="0" fontId="0" fillId="0" borderId="33" xfId="0" applyBorder="1"/>
    <xf numFmtId="0" fontId="0" fillId="0" borderId="34" xfId="0" applyBorder="1"/>
    <xf numFmtId="165" fontId="0" fillId="0" borderId="34" xfId="1" applyNumberFormat="1" applyFont="1" applyBorder="1"/>
    <xf numFmtId="0" fontId="0" fillId="0" borderId="35" xfId="0" applyBorder="1"/>
    <xf numFmtId="167" fontId="0" fillId="0" borderId="0" xfId="1" applyNumberFormat="1" applyFont="1"/>
    <xf numFmtId="167" fontId="0" fillId="0" borderId="0" xfId="0" applyNumberFormat="1"/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56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69" xfId="0" applyBorder="1" applyAlignment="1">
      <alignment horizontal="center"/>
    </xf>
    <xf numFmtId="0" fontId="6" fillId="0" borderId="5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5" fontId="6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165" fontId="21" fillId="0" borderId="60" xfId="1" applyNumberFormat="1" applyFont="1" applyBorder="1" applyAlignment="1">
      <alignment horizontal="center"/>
    </xf>
    <xf numFmtId="165" fontId="21" fillId="0" borderId="48" xfId="1" applyNumberFormat="1" applyFont="1" applyBorder="1" applyAlignment="1">
      <alignment horizontal="center"/>
    </xf>
    <xf numFmtId="165" fontId="21" fillId="0" borderId="19" xfId="1" applyNumberFormat="1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18947</xdr:colOff>
      <xdr:row>14</xdr:row>
      <xdr:rowOff>120152</xdr:rowOff>
    </xdr:from>
    <xdr:to>
      <xdr:col>8</xdr:col>
      <xdr:colOff>746441</xdr:colOff>
      <xdr:row>34</xdr:row>
      <xdr:rowOff>54156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E6BCCD48-B4BF-F541-4EBE-7D344C26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8469622" y="3045688"/>
          <a:ext cx="6523145" cy="3462336"/>
        </a:xfrm>
        <a:prstGeom prst="rect">
          <a:avLst/>
        </a:prstGeom>
      </xdr:spPr>
    </xdr:pic>
    <xdr:clientData/>
  </xdr:twoCellAnchor>
  <xdr:twoCellAnchor editAs="oneCell">
    <xdr:from>
      <xdr:col>8</xdr:col>
      <xdr:colOff>839185</xdr:colOff>
      <xdr:row>14</xdr:row>
      <xdr:rowOff>169034</xdr:rowOff>
    </xdr:from>
    <xdr:to>
      <xdr:col>17</xdr:col>
      <xdr:colOff>360365</xdr:colOff>
      <xdr:row>34</xdr:row>
      <xdr:rowOff>40821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A6AE7D98-37DC-694E-F281-6B49CF06F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2336885" y="3094570"/>
          <a:ext cx="6229501" cy="3409644"/>
        </a:xfrm>
        <a:prstGeom prst="rect">
          <a:avLst/>
        </a:prstGeom>
      </xdr:spPr>
    </xdr:pic>
    <xdr:clientData/>
  </xdr:twoCellAnchor>
  <xdr:twoCellAnchor editAs="oneCell">
    <xdr:from>
      <xdr:col>17</xdr:col>
      <xdr:colOff>437333</xdr:colOff>
      <xdr:row>14</xdr:row>
      <xdr:rowOff>145867</xdr:rowOff>
    </xdr:from>
    <xdr:to>
      <xdr:col>26</xdr:col>
      <xdr:colOff>493560</xdr:colOff>
      <xdr:row>33</xdr:row>
      <xdr:rowOff>136071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7265A2B3-43C3-02DA-C304-B2DE2B83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202939" y="3071403"/>
          <a:ext cx="6056978" cy="3351168"/>
        </a:xfrm>
        <a:prstGeom prst="rect">
          <a:avLst/>
        </a:prstGeom>
      </xdr:spPr>
    </xdr:pic>
    <xdr:clientData/>
  </xdr:twoCellAnchor>
  <xdr:twoCellAnchor editAs="oneCell">
    <xdr:from>
      <xdr:col>2</xdr:col>
      <xdr:colOff>627529</xdr:colOff>
      <xdr:row>37</xdr:row>
      <xdr:rowOff>145676</xdr:rowOff>
    </xdr:from>
    <xdr:to>
      <xdr:col>11</xdr:col>
      <xdr:colOff>587743</xdr:colOff>
      <xdr:row>51</xdr:row>
      <xdr:rowOff>136151</xdr:rowOff>
    </xdr:to>
    <xdr:pic>
      <xdr:nvPicPr>
        <xdr:cNvPr id="6" name="תמונה 5">
          <a:extLst>
            <a:ext uri="{FF2B5EF4-FFF2-40B4-BE49-F238E27FC236}">
              <a16:creationId xmlns:a16="http://schemas.microsoft.com/office/drawing/2014/main" id="{670AA340-5C06-C697-CCCA-2F9088E69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07667669" y="6846794"/>
          <a:ext cx="7512978" cy="23532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tabSelected="1" zoomScale="70" zoomScaleNormal="70" workbookViewId="0">
      <selection activeCell="H16" sqref="H16"/>
    </sheetView>
  </sheetViews>
  <sheetFormatPr defaultColWidth="8.6640625" defaultRowHeight="20" x14ac:dyDescent="0.4"/>
  <cols>
    <col min="1" max="1" width="35.83203125" style="1" bestFit="1" customWidth="1"/>
    <col min="2" max="2" width="21.83203125" style="1" bestFit="1" customWidth="1"/>
    <col min="3" max="3" width="21.6640625" style="1" bestFit="1" customWidth="1"/>
    <col min="4" max="4" width="23.4140625" style="1" customWidth="1"/>
    <col min="5" max="5" width="21.6640625" style="1" bestFit="1" customWidth="1"/>
    <col min="6" max="6" width="21.33203125" style="1" customWidth="1"/>
    <col min="7" max="7" width="19.33203125" style="1" bestFit="1" customWidth="1"/>
    <col min="8" max="8" width="23.08203125" style="1" customWidth="1"/>
    <col min="9" max="9" width="35.1640625" style="1" customWidth="1"/>
    <col min="10" max="10" width="21.83203125" style="1" bestFit="1" customWidth="1"/>
    <col min="11" max="11" width="21.6640625" style="75" bestFit="1" customWidth="1"/>
    <col min="12" max="12" width="20" style="1" bestFit="1" customWidth="1"/>
    <col min="13" max="13" width="18.5" style="1" bestFit="1" customWidth="1"/>
    <col min="14" max="14" width="10.83203125" style="1" bestFit="1" customWidth="1"/>
    <col min="15" max="16384" width="8.6640625" style="1"/>
  </cols>
  <sheetData>
    <row r="2" spans="1:11" x14ac:dyDescent="0.4">
      <c r="A2" s="1" t="s">
        <v>45</v>
      </c>
      <c r="B2" s="76">
        <f>'מ"ר אקו'' נחלה'!I14</f>
        <v>1166.5</v>
      </c>
      <c r="K2" s="1"/>
    </row>
    <row r="3" spans="1:11" x14ac:dyDescent="0.4">
      <c r="A3" s="1" t="s">
        <v>17</v>
      </c>
      <c r="B3" s="76">
        <f>'מ"ר אקו'' נחלה'!D14</f>
        <v>1116.5</v>
      </c>
      <c r="K3" s="1"/>
    </row>
    <row r="4" spans="1:11" x14ac:dyDescent="0.4">
      <c r="A4" s="1" t="s">
        <v>92</v>
      </c>
      <c r="B4" s="76">
        <f>'מ"ר אקו'' נחלה'!D28</f>
        <v>0</v>
      </c>
      <c r="K4" s="1"/>
    </row>
    <row r="5" spans="1:11" x14ac:dyDescent="0.4">
      <c r="A5" s="1" t="s">
        <v>202</v>
      </c>
      <c r="B5" s="76">
        <f>'מ"ר אקו'' נחלה'!D38</f>
        <v>0</v>
      </c>
      <c r="K5" s="1"/>
    </row>
    <row r="6" spans="1:11" x14ac:dyDescent="0.4">
      <c r="A6" s="1" t="s">
        <v>3</v>
      </c>
      <c r="B6" s="1">
        <f>'מ"ר אקו'' נחלה'!D70</f>
        <v>806.25</v>
      </c>
      <c r="F6" s="7"/>
      <c r="K6" s="1"/>
    </row>
    <row r="7" spans="1:11" x14ac:dyDescent="0.4">
      <c r="A7" s="1" t="s">
        <v>57</v>
      </c>
      <c r="B7" s="1">
        <f>'מ"ר אקו'' נחלה'!D57</f>
        <v>286.8</v>
      </c>
      <c r="C7" s="1" t="s">
        <v>58</v>
      </c>
      <c r="D7" s="75">
        <f>'מ"ר אקו'' נחלה'!I50</f>
        <v>207.5</v>
      </c>
      <c r="F7" s="75"/>
      <c r="K7" s="1"/>
    </row>
    <row r="8" spans="1:11" x14ac:dyDescent="0.4">
      <c r="A8" s="1" t="s">
        <v>12</v>
      </c>
      <c r="B8" s="128">
        <f>'ניתוח איזור לעסקאות דמה'!C7</f>
        <v>9000</v>
      </c>
      <c r="C8" s="1" t="s">
        <v>85</v>
      </c>
      <c r="D8" s="5">
        <v>2500</v>
      </c>
      <c r="F8" s="75"/>
      <c r="K8" s="1"/>
    </row>
    <row r="9" spans="1:11" x14ac:dyDescent="0.4">
      <c r="A9" s="3"/>
      <c r="B9" s="5"/>
      <c r="C9" s="1" t="s">
        <v>93</v>
      </c>
      <c r="D9" s="1" t="e">
        <f>'ניתוח איזור לעסקאות דמה'!#REF!</f>
        <v>#REF!</v>
      </c>
      <c r="E9" s="8">
        <v>1.17</v>
      </c>
    </row>
    <row r="10" spans="1:11" x14ac:dyDescent="0.4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67</v>
      </c>
      <c r="J10" s="2"/>
    </row>
    <row r="11" spans="1:1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272109.375</v>
      </c>
      <c r="G11" s="75">
        <f>'מ"ר אקו'' נחלה'!D71*-3.75%</f>
        <v>-6562.5</v>
      </c>
      <c r="H11" s="88">
        <f>SUM(F11:G11)</f>
        <v>265546.875</v>
      </c>
      <c r="I11" s="9"/>
      <c r="J11" s="75"/>
    </row>
    <row r="12" spans="1:11" x14ac:dyDescent="0.4">
      <c r="A12" s="82" t="s">
        <v>63</v>
      </c>
      <c r="B12" s="113">
        <f>D7</f>
        <v>207.5</v>
      </c>
      <c r="C12" s="114">
        <v>0.29249999999999998</v>
      </c>
      <c r="D12" s="82">
        <f t="shared" si="0"/>
        <v>60.693749999999994</v>
      </c>
      <c r="E12" s="82">
        <v>1</v>
      </c>
      <c r="F12" s="84">
        <f>D12*$B$8*E12</f>
        <v>546243.75</v>
      </c>
      <c r="G12" s="75">
        <f>-'מ"ר אקו'' נחלה'!D58*C12</f>
        <v>-29250</v>
      </c>
      <c r="H12" s="6">
        <f>SUM(F12:G12)</f>
        <v>516993.75</v>
      </c>
      <c r="J12" s="87"/>
    </row>
    <row r="13" spans="1:11" x14ac:dyDescent="0.4">
      <c r="A13" s="82" t="s">
        <v>64</v>
      </c>
      <c r="B13" s="113">
        <f>B7-B12</f>
        <v>79.300000000000011</v>
      </c>
      <c r="C13" s="114">
        <v>0.33</v>
      </c>
      <c r="D13" s="82">
        <f t="shared" si="0"/>
        <v>26.169000000000004</v>
      </c>
      <c r="E13" s="82">
        <v>1</v>
      </c>
      <c r="F13" s="84">
        <f>D13*$B$8*E13</f>
        <v>235521.00000000003</v>
      </c>
      <c r="G13" s="87">
        <f>G12*53/245</f>
        <v>-6327.5510204081629</v>
      </c>
      <c r="H13" s="6">
        <f>SUM(F13:G13)</f>
        <v>229193.44897959186</v>
      </c>
      <c r="I13" s="9"/>
      <c r="J13" s="75"/>
    </row>
    <row r="14" spans="1:11" x14ac:dyDescent="0.4">
      <c r="A14" s="110" t="s">
        <v>65</v>
      </c>
      <c r="B14" s="111">
        <f>SUM(B12:B13)</f>
        <v>286.8</v>
      </c>
      <c r="C14" s="112"/>
      <c r="D14" s="112"/>
      <c r="E14" s="112"/>
      <c r="F14" s="112">
        <f>SUM(F12:F13)</f>
        <v>781764.75</v>
      </c>
      <c r="G14" s="115"/>
      <c r="H14" s="89">
        <f>SUM(H12:H13)</f>
        <v>746187.19897959183</v>
      </c>
      <c r="J14" s="75"/>
    </row>
    <row r="15" spans="1:1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793687.5</v>
      </c>
      <c r="G15" s="9"/>
      <c r="J15" s="86"/>
    </row>
    <row r="16" spans="1:11" x14ac:dyDescent="0.4">
      <c r="A16" s="77" t="s">
        <v>5</v>
      </c>
      <c r="B16" s="81">
        <f>B3+B4-B5</f>
        <v>1116.5</v>
      </c>
      <c r="C16" s="80">
        <v>0.33</v>
      </c>
      <c r="D16" s="77">
        <f t="shared" si="0"/>
        <v>368.44499999999999</v>
      </c>
      <c r="E16" s="77">
        <v>1</v>
      </c>
      <c r="F16" s="79">
        <f>D16*$B$8*E16</f>
        <v>3316005</v>
      </c>
      <c r="G16" s="75">
        <f>-'מ"ר אקו'' נחלה'!D15*C16</f>
        <v>-81510</v>
      </c>
      <c r="H16" s="88">
        <f>SUM(F16:G16)</f>
        <v>3234495</v>
      </c>
      <c r="J16" s="136"/>
    </row>
    <row r="17" spans="1:10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5733</v>
      </c>
      <c r="I19" s="75"/>
      <c r="J19" s="6"/>
    </row>
    <row r="20" spans="1:10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614.25</v>
      </c>
      <c r="G20" s="9"/>
      <c r="I20" s="6"/>
      <c r="J20" s="9"/>
    </row>
    <row r="21" spans="1:10" x14ac:dyDescent="0.4">
      <c r="A21" s="1" t="s">
        <v>71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x14ac:dyDescent="0.4">
      <c r="A22" s="1" t="s">
        <v>46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2457</v>
      </c>
    </row>
    <row r="23" spans="1:10" x14ac:dyDescent="0.4">
      <c r="A23" s="82" t="s">
        <v>86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x14ac:dyDescent="0.4">
      <c r="A24" s="1" t="s">
        <v>47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450</v>
      </c>
      <c r="I24" s="9"/>
    </row>
    <row r="25" spans="1:10" x14ac:dyDescent="0.4">
      <c r="C25" s="7"/>
      <c r="F25" s="5"/>
      <c r="J25" s="9"/>
    </row>
    <row r="26" spans="1:10" x14ac:dyDescent="0.4">
      <c r="C26" s="7"/>
      <c r="F26" s="5"/>
    </row>
    <row r="27" spans="1:10" x14ac:dyDescent="0.4">
      <c r="A27" s="1" t="s">
        <v>48</v>
      </c>
      <c r="B27" s="85"/>
      <c r="C27" s="8"/>
      <c r="D27" s="185"/>
      <c r="E27" s="185"/>
      <c r="F27" s="5"/>
      <c r="I27" s="75"/>
    </row>
    <row r="29" spans="1:10" x14ac:dyDescent="0.4">
      <c r="A29" s="2" t="s">
        <v>157</v>
      </c>
      <c r="C29" s="75"/>
    </row>
    <row r="30" spans="1:10" x14ac:dyDescent="0.4">
      <c r="A30" s="2"/>
      <c r="B30" s="2" t="s">
        <v>159</v>
      </c>
      <c r="C30" s="2" t="s">
        <v>21</v>
      </c>
      <c r="D30" s="2" t="s">
        <v>158</v>
      </c>
    </row>
    <row r="31" spans="1:10" x14ac:dyDescent="0.4">
      <c r="A31" s="1" t="s">
        <v>155</v>
      </c>
      <c r="B31" s="5">
        <f>'מ"ר אקו'' נחלה'!D57*'תחשיב לפי שווי שומה (2)'!$B$8</f>
        <v>2581200</v>
      </c>
      <c r="C31" s="190">
        <v>1</v>
      </c>
      <c r="D31" s="6">
        <f>C31*$B$8</f>
        <v>9000</v>
      </c>
    </row>
    <row r="32" spans="1:10" x14ac:dyDescent="0.4">
      <c r="A32" s="1" t="s">
        <v>154</v>
      </c>
      <c r="B32" s="6">
        <f>350*$B$8*C32</f>
        <v>472500</v>
      </c>
      <c r="C32" s="190">
        <v>0.15</v>
      </c>
      <c r="D32" s="6">
        <f>C32*$B$8</f>
        <v>1350</v>
      </c>
    </row>
    <row r="33" spans="1:6" x14ac:dyDescent="0.4">
      <c r="C33" s="75"/>
    </row>
    <row r="34" spans="1:6" x14ac:dyDescent="0.4">
      <c r="A34" s="1" t="s">
        <v>152</v>
      </c>
      <c r="B34" s="6">
        <f>B31-B32</f>
        <v>2108700</v>
      </c>
      <c r="C34" s="190">
        <f>C31-C32</f>
        <v>0.85</v>
      </c>
      <c r="D34" s="6">
        <f>C34*$B$8</f>
        <v>7650</v>
      </c>
    </row>
    <row r="35" spans="1:6" x14ac:dyDescent="0.4">
      <c r="A35" s="1" t="s">
        <v>153</v>
      </c>
      <c r="B35" s="6">
        <f>B34*50%</f>
        <v>1054350</v>
      </c>
      <c r="C35" s="190">
        <f>C34*50%</f>
        <v>0.42499999999999999</v>
      </c>
      <c r="D35" s="6">
        <f>C35*$B$8</f>
        <v>3825</v>
      </c>
    </row>
    <row r="37" spans="1:6" x14ac:dyDescent="0.4">
      <c r="A37" s="2" t="s">
        <v>161</v>
      </c>
      <c r="C37" s="75"/>
    </row>
    <row r="38" spans="1:6" x14ac:dyDescent="0.4">
      <c r="A38" s="2"/>
      <c r="B38" s="2" t="s">
        <v>159</v>
      </c>
      <c r="C38" s="2" t="s">
        <v>21</v>
      </c>
      <c r="D38" s="2" t="s">
        <v>158</v>
      </c>
    </row>
    <row r="39" spans="1:6" x14ac:dyDescent="0.4">
      <c r="A39" s="1" t="s">
        <v>155</v>
      </c>
      <c r="B39" s="5">
        <f>'מ"ר אקו'' נחלה'!D57*'תחשיב לפי שווי שומה (2)'!$B$8</f>
        <v>2581200</v>
      </c>
      <c r="C39" s="190">
        <v>1</v>
      </c>
      <c r="D39" s="6">
        <f>C39*$B$8</f>
        <v>9000</v>
      </c>
    </row>
    <row r="40" spans="1:6" x14ac:dyDescent="0.4">
      <c r="A40" s="1" t="s">
        <v>162</v>
      </c>
      <c r="B40" s="6">
        <f>B39*70%</f>
        <v>1806840</v>
      </c>
      <c r="C40" s="190">
        <v>0.7</v>
      </c>
      <c r="D40" s="6">
        <f>C40*$B$8</f>
        <v>6300</v>
      </c>
    </row>
    <row r="41" spans="1:6" x14ac:dyDescent="0.4">
      <c r="C41" s="75"/>
    </row>
    <row r="42" spans="1:6" x14ac:dyDescent="0.4">
      <c r="A42" s="1" t="s">
        <v>152</v>
      </c>
      <c r="B42" s="6">
        <f>B39-B40</f>
        <v>774360</v>
      </c>
      <c r="C42" s="190">
        <f>C39-C40</f>
        <v>0.30000000000000004</v>
      </c>
      <c r="D42" s="6">
        <f>C42*$B$8</f>
        <v>2700.0000000000005</v>
      </c>
      <c r="F42" s="6"/>
    </row>
    <row r="43" spans="1:6" x14ac:dyDescent="0.4">
      <c r="A43" s="1" t="s">
        <v>153</v>
      </c>
      <c r="B43" s="6">
        <f>B42*50%</f>
        <v>387180</v>
      </c>
      <c r="C43" s="190">
        <f>C42*50%</f>
        <v>0.15000000000000002</v>
      </c>
      <c r="D43" s="6">
        <f>C43*$B$8</f>
        <v>1350.0000000000002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O23"/>
  <sheetViews>
    <sheetView rightToLeft="1" workbookViewId="0">
      <selection activeCell="H29" sqref="H28:H29"/>
    </sheetView>
  </sheetViews>
  <sheetFormatPr defaultRowHeight="14" x14ac:dyDescent="0.3"/>
  <sheetData>
    <row r="8" spans="8:15" ht="14.5" thickBot="1" x14ac:dyDescent="0.35"/>
    <row r="9" spans="8:15" ht="14.5" thickBot="1" x14ac:dyDescent="0.35">
      <c r="H9" s="286" t="s">
        <v>209</v>
      </c>
      <c r="I9" s="287"/>
      <c r="J9" s="287"/>
      <c r="K9" s="287"/>
      <c r="L9" s="287"/>
      <c r="M9" s="287"/>
      <c r="N9" s="287"/>
      <c r="O9" s="288"/>
    </row>
    <row r="10" spans="8:15" x14ac:dyDescent="0.3">
      <c r="H10" s="289" t="s">
        <v>210</v>
      </c>
      <c r="I10" s="290"/>
      <c r="J10" s="289" t="s">
        <v>211</v>
      </c>
      <c r="K10" s="290"/>
      <c r="L10" s="293" t="s">
        <v>212</v>
      </c>
      <c r="M10" s="294"/>
      <c r="N10" s="289" t="s">
        <v>5</v>
      </c>
      <c r="O10" s="290"/>
    </row>
    <row r="11" spans="8:15" ht="14.5" thickBot="1" x14ac:dyDescent="0.35">
      <c r="H11" s="291"/>
      <c r="I11" s="292"/>
      <c r="J11" s="291"/>
      <c r="K11" s="292"/>
      <c r="L11" s="295"/>
      <c r="M11" s="296"/>
      <c r="N11" s="291"/>
      <c r="O11" s="292"/>
    </row>
    <row r="12" spans="8:15" x14ac:dyDescent="0.3">
      <c r="H12" s="281" t="s">
        <v>213</v>
      </c>
      <c r="I12" s="282"/>
      <c r="J12" s="283">
        <f>240000</f>
        <v>240000</v>
      </c>
      <c r="K12" s="283"/>
      <c r="L12" s="283">
        <f>240000</f>
        <v>240000</v>
      </c>
      <c r="M12" s="283"/>
      <c r="N12" s="283">
        <v>2700000</v>
      </c>
      <c r="O12" s="284"/>
    </row>
    <row r="13" spans="8:15" x14ac:dyDescent="0.3">
      <c r="H13" s="268"/>
      <c r="I13" s="269"/>
      <c r="J13" s="279"/>
      <c r="K13" s="279"/>
      <c r="L13" s="279"/>
      <c r="M13" s="279"/>
      <c r="N13" s="279"/>
      <c r="O13" s="285"/>
    </row>
    <row r="14" spans="8:15" x14ac:dyDescent="0.3">
      <c r="H14" s="268" t="s">
        <v>214</v>
      </c>
      <c r="I14" s="269"/>
      <c r="J14" s="279">
        <f>1000000</f>
        <v>1000000</v>
      </c>
      <c r="K14" s="279"/>
      <c r="L14" s="279">
        <v>1730000</v>
      </c>
      <c r="M14" s="279"/>
      <c r="N14" s="269" t="s">
        <v>215</v>
      </c>
      <c r="O14" s="273"/>
    </row>
    <row r="15" spans="8:15" x14ac:dyDescent="0.3">
      <c r="H15" s="268"/>
      <c r="I15" s="269"/>
      <c r="J15" s="279"/>
      <c r="K15" s="279"/>
      <c r="L15" s="279"/>
      <c r="M15" s="279"/>
      <c r="N15" s="269"/>
      <c r="O15" s="273"/>
    </row>
    <row r="16" spans="8:15" x14ac:dyDescent="0.3">
      <c r="H16" s="268" t="s">
        <v>216</v>
      </c>
      <c r="I16" s="269"/>
      <c r="J16" s="272">
        <f>(J14+J12)*0.06</f>
        <v>74400</v>
      </c>
      <c r="K16" s="272"/>
      <c r="L16" s="272">
        <f>(L14+L12)*0.06</f>
        <v>118200</v>
      </c>
      <c r="M16" s="272"/>
      <c r="N16" s="272">
        <f>N12*0.06</f>
        <v>162000</v>
      </c>
      <c r="O16" s="280"/>
    </row>
    <row r="17" spans="8:15" x14ac:dyDescent="0.3">
      <c r="H17" s="268"/>
      <c r="I17" s="269"/>
      <c r="J17" s="272"/>
      <c r="K17" s="272"/>
      <c r="L17" s="272"/>
      <c r="M17" s="272"/>
      <c r="N17" s="272"/>
      <c r="O17" s="280"/>
    </row>
    <row r="18" spans="8:15" x14ac:dyDescent="0.3">
      <c r="H18" s="268" t="s">
        <v>217</v>
      </c>
      <c r="I18" s="269"/>
      <c r="J18" s="269" t="s">
        <v>215</v>
      </c>
      <c r="K18" s="269"/>
      <c r="L18" s="272">
        <v>144000</v>
      </c>
      <c r="M18" s="272"/>
      <c r="N18" s="269" t="s">
        <v>215</v>
      </c>
      <c r="O18" s="273"/>
    </row>
    <row r="19" spans="8:15" x14ac:dyDescent="0.3">
      <c r="H19" s="268"/>
      <c r="I19" s="269"/>
      <c r="J19" s="269"/>
      <c r="K19" s="269"/>
      <c r="L19" s="272"/>
      <c r="M19" s="272"/>
      <c r="N19" s="269"/>
      <c r="O19" s="273"/>
    </row>
    <row r="20" spans="8:15" x14ac:dyDescent="0.3">
      <c r="H20" s="275" t="s">
        <v>8</v>
      </c>
      <c r="I20" s="276"/>
      <c r="J20" s="277">
        <f>SUM(J12:K19)</f>
        <v>1314400</v>
      </c>
      <c r="K20" s="276"/>
      <c r="L20" s="277">
        <f>SUM(L12:M19)</f>
        <v>2232200</v>
      </c>
      <c r="M20" s="276"/>
      <c r="N20" s="277">
        <f>SUM(N12:O19)</f>
        <v>2862000</v>
      </c>
      <c r="O20" s="278"/>
    </row>
    <row r="21" spans="8:15" x14ac:dyDescent="0.3">
      <c r="H21" s="275"/>
      <c r="I21" s="276"/>
      <c r="J21" s="276"/>
      <c r="K21" s="276"/>
      <c r="L21" s="276"/>
      <c r="M21" s="276"/>
      <c r="N21" s="276"/>
      <c r="O21" s="278"/>
    </row>
    <row r="22" spans="8:15" x14ac:dyDescent="0.3">
      <c r="H22" s="268" t="s">
        <v>218</v>
      </c>
      <c r="I22" s="269"/>
      <c r="J22" s="272">
        <v>500000</v>
      </c>
      <c r="K22" s="269"/>
      <c r="L22" s="272">
        <v>1500000</v>
      </c>
      <c r="M22" s="269"/>
      <c r="N22" s="269" t="s">
        <v>219</v>
      </c>
      <c r="O22" s="273"/>
    </row>
    <row r="23" spans="8:15" ht="14.5" thickBot="1" x14ac:dyDescent="0.35">
      <c r="H23" s="270"/>
      <c r="I23" s="271"/>
      <c r="J23" s="271"/>
      <c r="K23" s="271"/>
      <c r="L23" s="271"/>
      <c r="M23" s="271"/>
      <c r="N23" s="271"/>
      <c r="O23" s="274"/>
    </row>
  </sheetData>
  <mergeCells count="29">
    <mergeCell ref="H12:I13"/>
    <mergeCell ref="J12:K13"/>
    <mergeCell ref="L12:M13"/>
    <mergeCell ref="N12:O13"/>
    <mergeCell ref="H9:O9"/>
    <mergeCell ref="H10:I11"/>
    <mergeCell ref="J10:K11"/>
    <mergeCell ref="L10:M11"/>
    <mergeCell ref="N10:O11"/>
    <mergeCell ref="H14:I15"/>
    <mergeCell ref="J14:K15"/>
    <mergeCell ref="L14:M15"/>
    <mergeCell ref="N14:O15"/>
    <mergeCell ref="H16:I17"/>
    <mergeCell ref="J16:K17"/>
    <mergeCell ref="L16:M17"/>
    <mergeCell ref="N16:O17"/>
    <mergeCell ref="H22:I23"/>
    <mergeCell ref="J22:K23"/>
    <mergeCell ref="L22:M23"/>
    <mergeCell ref="N22:O23"/>
    <mergeCell ref="H18:I19"/>
    <mergeCell ref="J18:K19"/>
    <mergeCell ref="L18:M19"/>
    <mergeCell ref="N18:O19"/>
    <mergeCell ref="H20:I21"/>
    <mergeCell ref="J20:K21"/>
    <mergeCell ref="L20:M21"/>
    <mergeCell ref="N20:O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Y71"/>
  <sheetViews>
    <sheetView rightToLeft="1" workbookViewId="0">
      <selection activeCell="F33" sqref="F33"/>
    </sheetView>
  </sheetViews>
  <sheetFormatPr defaultRowHeight="14" x14ac:dyDescent="0.3"/>
  <cols>
    <col min="1" max="1" width="20.08203125" customWidth="1"/>
    <col min="2" max="2" width="9.83203125" bestFit="1" customWidth="1"/>
    <col min="3" max="3" width="6.58203125" customWidth="1"/>
    <col min="4" max="4" width="11.5" customWidth="1"/>
    <col min="6" max="6" width="19.4140625" bestFit="1" customWidth="1"/>
    <col min="7" max="7" width="12.4140625" bestFit="1" customWidth="1"/>
    <col min="10" max="10" width="9.83203125" bestFit="1" customWidth="1"/>
    <col min="11" max="11" width="12.1640625" bestFit="1" customWidth="1"/>
    <col min="13" max="13" width="10.6640625" bestFit="1" customWidth="1"/>
    <col min="14" max="14" width="8.83203125" customWidth="1"/>
    <col min="15" max="15" width="12.9140625" customWidth="1"/>
    <col min="18" max="18" width="8.83203125" customWidth="1"/>
    <col min="19" max="19" width="9.83203125" customWidth="1"/>
    <col min="20" max="20" width="13" bestFit="1" customWidth="1"/>
    <col min="21" max="21" width="12" customWidth="1"/>
    <col min="22" max="22" width="15.58203125" customWidth="1"/>
    <col min="23" max="23" width="11" customWidth="1"/>
    <col min="24" max="24" width="13.1640625" bestFit="1" customWidth="1"/>
    <col min="25" max="25" width="9.5" bestFit="1" customWidth="1"/>
  </cols>
  <sheetData>
    <row r="1" spans="1:10" ht="14.5" thickBot="1" x14ac:dyDescent="0.35"/>
    <row r="2" spans="1:10" x14ac:dyDescent="0.3">
      <c r="A2" s="10" t="s">
        <v>19</v>
      </c>
      <c r="B2" s="11">
        <v>2500</v>
      </c>
      <c r="C2" s="12" t="s">
        <v>130</v>
      </c>
      <c r="D2" s="13"/>
      <c r="F2" s="10" t="s">
        <v>19</v>
      </c>
      <c r="G2" s="11">
        <v>3000</v>
      </c>
      <c r="H2" s="12"/>
      <c r="I2" s="13"/>
    </row>
    <row r="3" spans="1:10" x14ac:dyDescent="0.3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3">
      <c r="A4" s="18" t="s">
        <v>55</v>
      </c>
      <c r="B4" s="19">
        <v>655</v>
      </c>
      <c r="C4" s="20">
        <v>1</v>
      </c>
      <c r="D4" s="21">
        <f>C4*B4</f>
        <v>655</v>
      </c>
      <c r="F4" s="18" t="str">
        <f t="shared" ref="F4:H7" si="0">A4</f>
        <v>עיקרי</v>
      </c>
      <c r="G4" s="19">
        <f t="shared" si="0"/>
        <v>655</v>
      </c>
      <c r="H4" s="20">
        <f t="shared" si="0"/>
        <v>1</v>
      </c>
      <c r="I4" s="21">
        <f>H4*G4</f>
        <v>655</v>
      </c>
    </row>
    <row r="5" spans="1:10" x14ac:dyDescent="0.3">
      <c r="A5" s="18" t="s">
        <v>23</v>
      </c>
      <c r="B5" s="19">
        <v>25</v>
      </c>
      <c r="C5" s="20">
        <v>0.9</v>
      </c>
      <c r="D5" s="21">
        <f>C5*B5</f>
        <v>22.5</v>
      </c>
      <c r="F5" s="18" t="str">
        <f t="shared" si="0"/>
        <v>מרחבים מוגנים</v>
      </c>
      <c r="G5" s="19">
        <f t="shared" si="0"/>
        <v>25</v>
      </c>
      <c r="H5" s="20">
        <f t="shared" si="0"/>
        <v>0.9</v>
      </c>
      <c r="I5" s="21">
        <f>H5*G5</f>
        <v>22.5</v>
      </c>
    </row>
    <row r="6" spans="1:10" x14ac:dyDescent="0.3">
      <c r="A6" s="18" t="s">
        <v>97</v>
      </c>
      <c r="B6" s="19">
        <v>125</v>
      </c>
      <c r="C6" s="20">
        <v>0.4</v>
      </c>
      <c r="D6" s="21">
        <f>C6*B6</f>
        <v>50</v>
      </c>
      <c r="F6" s="18" t="str">
        <f t="shared" si="0"/>
        <v>יתרת ש"ש</v>
      </c>
      <c r="G6" s="19">
        <f t="shared" si="0"/>
        <v>125</v>
      </c>
      <c r="H6" s="20">
        <f t="shared" si="0"/>
        <v>0.4</v>
      </c>
      <c r="I6" s="21">
        <f>H6*G6</f>
        <v>50</v>
      </c>
    </row>
    <row r="7" spans="1:10" x14ac:dyDescent="0.3">
      <c r="A7" s="18" t="s">
        <v>26</v>
      </c>
      <c r="B7" s="19"/>
      <c r="C7" s="20">
        <v>0.5</v>
      </c>
      <c r="D7" s="21">
        <f>C7*B7</f>
        <v>0</v>
      </c>
      <c r="F7" s="18" t="str">
        <f t="shared" si="0"/>
        <v>מבנה עזר - יתרת שטח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3">
      <c r="A8" s="22" t="s">
        <v>27</v>
      </c>
      <c r="B8" s="23">
        <f>SUM(B4:B7)</f>
        <v>805</v>
      </c>
      <c r="C8" s="24"/>
      <c r="D8" s="25"/>
      <c r="E8" s="91"/>
      <c r="F8" s="22" t="s">
        <v>27</v>
      </c>
      <c r="G8" s="23">
        <f>SUM(G4:G7)</f>
        <v>805</v>
      </c>
      <c r="H8" s="24"/>
      <c r="I8" s="25"/>
    </row>
    <row r="9" spans="1:10" x14ac:dyDescent="0.3">
      <c r="A9" s="26" t="s">
        <v>28</v>
      </c>
      <c r="B9" s="27">
        <f>B2-B8</f>
        <v>1695</v>
      </c>
      <c r="C9" s="28"/>
      <c r="D9" s="29"/>
      <c r="F9" s="26" t="s">
        <v>28</v>
      </c>
      <c r="G9" s="27">
        <f>G2-G8</f>
        <v>2195</v>
      </c>
      <c r="H9" s="28"/>
      <c r="I9" s="29"/>
    </row>
    <row r="10" spans="1:10" x14ac:dyDescent="0.3">
      <c r="A10" s="22" t="s">
        <v>29</v>
      </c>
      <c r="B10" s="23">
        <v>1000</v>
      </c>
      <c r="C10" s="24">
        <v>0.25</v>
      </c>
      <c r="D10" s="25">
        <f>C10*B10</f>
        <v>250</v>
      </c>
      <c r="F10" s="22" t="s">
        <v>29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3">
      <c r="A11" s="18" t="s">
        <v>30</v>
      </c>
      <c r="B11" s="19">
        <f>B9-B10</f>
        <v>695</v>
      </c>
      <c r="C11" s="20">
        <v>0.2</v>
      </c>
      <c r="D11" s="21">
        <f>C11*B11</f>
        <v>139</v>
      </c>
      <c r="F11" s="18" t="s">
        <v>30</v>
      </c>
      <c r="G11" s="19">
        <f>B11</f>
        <v>695</v>
      </c>
      <c r="H11" s="20">
        <v>0.2</v>
      </c>
      <c r="I11" s="21">
        <f>H11*G11</f>
        <v>139</v>
      </c>
    </row>
    <row r="12" spans="1:10" x14ac:dyDescent="0.3">
      <c r="A12" s="18"/>
      <c r="B12" s="19"/>
      <c r="C12" s="20"/>
      <c r="D12" s="21"/>
      <c r="F12" s="18" t="s">
        <v>72</v>
      </c>
      <c r="G12" s="19">
        <v>500</v>
      </c>
      <c r="H12" s="20">
        <v>0.1</v>
      </c>
      <c r="I12" s="21">
        <f>G12*H12</f>
        <v>50</v>
      </c>
    </row>
    <row r="13" spans="1:10" x14ac:dyDescent="0.3">
      <c r="A13" s="30" t="s">
        <v>31</v>
      </c>
      <c r="B13" s="31">
        <f>SUM(B4:B11)</f>
        <v>5000</v>
      </c>
      <c r="C13" s="32"/>
      <c r="D13" s="33">
        <f>SUM(D4:D12)</f>
        <v>1116.5</v>
      </c>
      <c r="F13" s="30" t="s">
        <v>31</v>
      </c>
      <c r="G13" s="31">
        <f>SUM(G4:G11)</f>
        <v>5500</v>
      </c>
      <c r="H13" s="32"/>
      <c r="I13" s="33">
        <f>SUM(I4:I12)</f>
        <v>1166.5</v>
      </c>
      <c r="J13" s="74"/>
    </row>
    <row r="14" spans="1:10" ht="14.5" thickBot="1" x14ac:dyDescent="0.35">
      <c r="A14" s="34" t="s">
        <v>32</v>
      </c>
      <c r="B14" s="35"/>
      <c r="C14" s="36"/>
      <c r="D14" s="37">
        <f>D13</f>
        <v>1116.5</v>
      </c>
      <c r="E14" s="72"/>
      <c r="F14" s="34" t="s">
        <v>32</v>
      </c>
      <c r="G14" s="35"/>
      <c r="H14" s="36"/>
      <c r="I14" s="37">
        <f>I13</f>
        <v>1166.5</v>
      </c>
    </row>
    <row r="15" spans="1:10" x14ac:dyDescent="0.3">
      <c r="A15" t="s">
        <v>66</v>
      </c>
      <c r="D15" s="17">
        <v>247000</v>
      </c>
      <c r="F15" t="s">
        <v>66</v>
      </c>
      <c r="I15" s="17">
        <v>263000</v>
      </c>
    </row>
    <row r="16" spans="1:10" ht="14.5" thickBot="1" x14ac:dyDescent="0.35">
      <c r="D16" s="17"/>
      <c r="I16" s="17"/>
    </row>
    <row r="17" spans="1:9" x14ac:dyDescent="0.3">
      <c r="A17" s="10" t="s">
        <v>69</v>
      </c>
      <c r="B17" s="11">
        <v>2500</v>
      </c>
      <c r="C17" s="12" t="s">
        <v>98</v>
      </c>
      <c r="D17" s="13"/>
      <c r="I17" s="17"/>
    </row>
    <row r="18" spans="1:9" x14ac:dyDescent="0.3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3">
      <c r="A19" s="18" t="s">
        <v>55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3">
      <c r="A20" s="18" t="s">
        <v>68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3">
      <c r="A21" s="18" t="s">
        <v>99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3">
      <c r="A22" s="18" t="s">
        <v>100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3">
      <c r="A23" s="18"/>
      <c r="B23" s="19"/>
      <c r="C23" s="20"/>
      <c r="D23" s="21"/>
      <c r="I23" s="17"/>
    </row>
    <row r="24" spans="1:9" x14ac:dyDescent="0.3">
      <c r="A24" s="18"/>
      <c r="B24" s="19"/>
      <c r="C24" s="20"/>
      <c r="D24" s="21"/>
      <c r="H24">
        <f>876+73</f>
        <v>949</v>
      </c>
      <c r="I24" s="17"/>
    </row>
    <row r="25" spans="1:9" x14ac:dyDescent="0.3">
      <c r="A25" s="22" t="s">
        <v>70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3">
      <c r="A26" s="18"/>
      <c r="B26" s="19"/>
      <c r="C26" s="20"/>
      <c r="D26" s="21"/>
      <c r="I26" s="17"/>
    </row>
    <row r="27" spans="1:9" x14ac:dyDescent="0.3">
      <c r="A27" s="30" t="s">
        <v>89</v>
      </c>
      <c r="B27" s="31"/>
      <c r="C27" s="32"/>
      <c r="D27" s="33"/>
      <c r="I27" s="17"/>
    </row>
    <row r="28" spans="1:9" ht="14.5" thickBot="1" x14ac:dyDescent="0.35">
      <c r="A28" s="34" t="s">
        <v>32</v>
      </c>
      <c r="B28" s="35"/>
      <c r="C28" s="36"/>
      <c r="D28" s="37"/>
      <c r="I28" s="17"/>
    </row>
    <row r="29" spans="1:9" ht="14.5" thickBot="1" x14ac:dyDescent="0.35">
      <c r="D29" s="17"/>
      <c r="I29" s="17"/>
    </row>
    <row r="30" spans="1:9" ht="14.5" thickBot="1" x14ac:dyDescent="0.35">
      <c r="A30" s="297" t="s">
        <v>202</v>
      </c>
      <c r="B30" s="298"/>
      <c r="C30" s="298"/>
      <c r="D30" s="299"/>
      <c r="I30" s="17"/>
    </row>
    <row r="31" spans="1:9" x14ac:dyDescent="0.3">
      <c r="A31" s="213" t="s">
        <v>203</v>
      </c>
      <c r="B31" s="12"/>
      <c r="C31" s="12"/>
      <c r="D31" s="214">
        <v>186</v>
      </c>
      <c r="I31" s="17"/>
    </row>
    <row r="32" spans="1:9" x14ac:dyDescent="0.3">
      <c r="A32" s="18" t="s">
        <v>204</v>
      </c>
      <c r="D32" s="215">
        <v>160</v>
      </c>
      <c r="I32" s="17"/>
    </row>
    <row r="33" spans="1:25" ht="14.5" thickBot="1" x14ac:dyDescent="0.35">
      <c r="A33" s="100" t="s">
        <v>205</v>
      </c>
      <c r="B33" s="102"/>
      <c r="C33" s="102"/>
      <c r="D33" s="216">
        <f>D31-D32</f>
        <v>26</v>
      </c>
      <c r="I33" s="17"/>
    </row>
    <row r="34" spans="1:25" x14ac:dyDescent="0.3">
      <c r="A34" s="10" t="s">
        <v>206</v>
      </c>
      <c r="B34" s="12"/>
      <c r="C34" s="12"/>
      <c r="D34" s="214">
        <v>240</v>
      </c>
      <c r="I34" s="17"/>
    </row>
    <row r="35" spans="1:25" x14ac:dyDescent="0.3">
      <c r="A35" s="18" t="s">
        <v>204</v>
      </c>
      <c r="D35" s="215">
        <v>160</v>
      </c>
      <c r="I35" s="17"/>
    </row>
    <row r="36" spans="1:25" ht="14.5" thickBot="1" x14ac:dyDescent="0.35">
      <c r="A36" s="100" t="s">
        <v>205</v>
      </c>
      <c r="B36" s="102"/>
      <c r="C36" s="102"/>
      <c r="D36" s="216">
        <f>D34-D35</f>
        <v>80</v>
      </c>
      <c r="I36" s="17"/>
    </row>
    <row r="37" spans="1:25" ht="14.5" thickBot="1" x14ac:dyDescent="0.35">
      <c r="A37" s="18"/>
      <c r="D37" s="215"/>
      <c r="I37" s="17"/>
    </row>
    <row r="38" spans="1:25" ht="14.5" thickBot="1" x14ac:dyDescent="0.35">
      <c r="A38" s="217" t="s">
        <v>207</v>
      </c>
      <c r="B38" s="218"/>
      <c r="C38" s="218"/>
      <c r="D38" s="219"/>
      <c r="I38" s="17"/>
    </row>
    <row r="39" spans="1:25" x14ac:dyDescent="0.3">
      <c r="D39" s="17"/>
      <c r="I39" s="17"/>
    </row>
    <row r="40" spans="1:25" x14ac:dyDescent="0.3">
      <c r="D40" s="17"/>
      <c r="I40" s="17"/>
    </row>
    <row r="41" spans="1:25" x14ac:dyDescent="0.3">
      <c r="A41" t="s">
        <v>208</v>
      </c>
      <c r="D41" s="17">
        <f>D14+D28-D38</f>
        <v>1116.5</v>
      </c>
      <c r="I41" s="17"/>
    </row>
    <row r="42" spans="1:25" x14ac:dyDescent="0.3">
      <c r="D42" s="17"/>
      <c r="I42" s="17"/>
    </row>
    <row r="43" spans="1:25" x14ac:dyDescent="0.3">
      <c r="D43" s="17"/>
      <c r="I43" s="17"/>
    </row>
    <row r="44" spans="1:25" x14ac:dyDescent="0.3">
      <c r="D44" s="17"/>
      <c r="I44" s="17"/>
    </row>
    <row r="45" spans="1:25" ht="14.5" thickBot="1" x14ac:dyDescent="0.35">
      <c r="D45" s="17"/>
      <c r="I45" s="17"/>
    </row>
    <row r="46" spans="1:25" ht="14.5" thickBot="1" x14ac:dyDescent="0.35">
      <c r="A46" s="39" t="s">
        <v>160</v>
      </c>
      <c r="O46" s="220" t="s">
        <v>220</v>
      </c>
      <c r="P46" s="221" t="s">
        <v>221</v>
      </c>
      <c r="Q46" s="221" t="s">
        <v>222</v>
      </c>
      <c r="R46" s="221" t="s">
        <v>223</v>
      </c>
      <c r="S46" s="222" t="s">
        <v>224</v>
      </c>
      <c r="T46" s="220" t="s">
        <v>225</v>
      </c>
      <c r="U46" s="223" t="s">
        <v>226</v>
      </c>
      <c r="V46" s="220" t="s">
        <v>227</v>
      </c>
      <c r="W46" s="223" t="s">
        <v>228</v>
      </c>
      <c r="X46" s="220" t="s">
        <v>227</v>
      </c>
      <c r="Y46" s="223" t="s">
        <v>216</v>
      </c>
    </row>
    <row r="47" spans="1:25" x14ac:dyDescent="0.3">
      <c r="A47" s="10" t="s">
        <v>51</v>
      </c>
      <c r="B47" s="98">
        <v>350</v>
      </c>
      <c r="C47" s="12" t="s">
        <v>74</v>
      </c>
      <c r="D47" s="13"/>
      <c r="F47" s="10" t="s">
        <v>59</v>
      </c>
      <c r="G47" s="12"/>
      <c r="H47" s="12"/>
      <c r="I47" s="13"/>
      <c r="J47" t="s">
        <v>62</v>
      </c>
      <c r="O47" s="300" t="s">
        <v>229</v>
      </c>
      <c r="P47" s="224" t="s">
        <v>14</v>
      </c>
      <c r="Q47" s="224">
        <v>300</v>
      </c>
      <c r="R47" s="224">
        <v>160</v>
      </c>
      <c r="S47" s="225">
        <f>Q47-R47</f>
        <v>140</v>
      </c>
      <c r="T47" s="226">
        <v>3000</v>
      </c>
      <c r="U47" s="227">
        <f>S47*T47</f>
        <v>420000</v>
      </c>
      <c r="V47" s="226">
        <v>0</v>
      </c>
      <c r="W47" s="227">
        <f>S47*V47</f>
        <v>0</v>
      </c>
      <c r="X47" s="228">
        <v>0</v>
      </c>
      <c r="Y47" s="227">
        <v>0</v>
      </c>
    </row>
    <row r="48" spans="1:25" x14ac:dyDescent="0.3">
      <c r="A48" s="22" t="s">
        <v>52</v>
      </c>
      <c r="B48" s="40">
        <v>220</v>
      </c>
      <c r="C48" s="24">
        <v>1</v>
      </c>
      <c r="D48" s="25">
        <f t="shared" ref="D48:D53" si="1">B48*C48</f>
        <v>220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  <c r="O48" s="302"/>
      <c r="P48" s="229" t="s">
        <v>15</v>
      </c>
      <c r="Q48" s="229">
        <v>197</v>
      </c>
      <c r="R48" s="229">
        <v>160</v>
      </c>
      <c r="S48" s="230">
        <f>Q48-R48</f>
        <v>37</v>
      </c>
      <c r="T48" s="231">
        <v>3000</v>
      </c>
      <c r="U48" s="232">
        <f>S48*T48</f>
        <v>111000</v>
      </c>
      <c r="V48" s="231">
        <v>0</v>
      </c>
      <c r="W48" s="232">
        <v>0</v>
      </c>
      <c r="X48" s="233">
        <v>0</v>
      </c>
      <c r="Y48" s="232">
        <v>0</v>
      </c>
    </row>
    <row r="49" spans="1:25" x14ac:dyDescent="0.3">
      <c r="A49" s="18" t="s">
        <v>56</v>
      </c>
      <c r="B49" s="19">
        <v>40</v>
      </c>
      <c r="C49" s="20">
        <v>0.5</v>
      </c>
      <c r="D49" s="21">
        <f t="shared" si="1"/>
        <v>20</v>
      </c>
      <c r="F49" s="18" t="s">
        <v>53</v>
      </c>
      <c r="G49" s="91">
        <f>B47-G48</f>
        <v>190</v>
      </c>
      <c r="H49">
        <v>0.25</v>
      </c>
      <c r="I49" s="21">
        <f>G49*H49</f>
        <v>47.5</v>
      </c>
      <c r="J49" s="17"/>
      <c r="K49" s="17"/>
      <c r="O49" s="302"/>
      <c r="P49" s="229" t="s">
        <v>230</v>
      </c>
      <c r="Q49" s="229">
        <v>130</v>
      </c>
      <c r="R49" s="229">
        <v>0</v>
      </c>
      <c r="S49" s="230">
        <f>Q49-R49</f>
        <v>130</v>
      </c>
      <c r="T49" s="231">
        <v>3000</v>
      </c>
      <c r="U49" s="232">
        <f>S49*T49</f>
        <v>390000</v>
      </c>
      <c r="V49" s="231">
        <v>0</v>
      </c>
      <c r="W49" s="232">
        <v>0</v>
      </c>
      <c r="X49" s="233">
        <v>0</v>
      </c>
      <c r="Y49" s="232">
        <v>0</v>
      </c>
    </row>
    <row r="50" spans="1:25" ht="14.5" thickBot="1" x14ac:dyDescent="0.35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60</v>
      </c>
      <c r="G50" s="107"/>
      <c r="H50" s="107"/>
      <c r="I50" s="108">
        <f>I48+I49</f>
        <v>207.5</v>
      </c>
      <c r="J50" s="17">
        <f>'תחשיב לפי שווי שומה (2)'!B8</f>
        <v>9000</v>
      </c>
      <c r="K50" s="17">
        <f>I50*J50</f>
        <v>1867500</v>
      </c>
      <c r="L50" s="109">
        <v>0.29249999999999998</v>
      </c>
      <c r="M50" s="91">
        <f>K50*L50</f>
        <v>546243.75</v>
      </c>
      <c r="O50" s="302"/>
      <c r="P50" s="234" t="s">
        <v>231</v>
      </c>
      <c r="Q50" s="234">
        <v>55</v>
      </c>
      <c r="R50" s="234">
        <v>0</v>
      </c>
      <c r="S50" s="235">
        <f>Q50-R50</f>
        <v>55</v>
      </c>
      <c r="T50" s="236">
        <v>3000</v>
      </c>
      <c r="U50" s="237">
        <f>S50*T50</f>
        <v>165000</v>
      </c>
      <c r="V50" s="236">
        <v>0</v>
      </c>
      <c r="W50" s="237">
        <v>0</v>
      </c>
      <c r="X50" s="238">
        <v>0</v>
      </c>
      <c r="Y50" s="237">
        <v>0</v>
      </c>
    </row>
    <row r="51" spans="1:25" ht="15" thickTop="1" thickBot="1" x14ac:dyDescent="0.35">
      <c r="A51" s="18" t="s">
        <v>24</v>
      </c>
      <c r="B51" s="19">
        <v>11</v>
      </c>
      <c r="C51" s="20">
        <v>0.5</v>
      </c>
      <c r="D51" s="21">
        <f t="shared" si="1"/>
        <v>5.5</v>
      </c>
      <c r="F51" s="100" t="s">
        <v>61</v>
      </c>
      <c r="G51" s="102"/>
      <c r="H51" s="102"/>
      <c r="I51" s="103">
        <f>D57-I50</f>
        <v>79.300000000000011</v>
      </c>
      <c r="J51" s="17">
        <f>J50</f>
        <v>9000</v>
      </c>
      <c r="K51" s="17">
        <f>I51*J51</f>
        <v>713700.00000000012</v>
      </c>
      <c r="L51" s="109">
        <v>0.33</v>
      </c>
      <c r="M51" s="91">
        <f>K51*L51</f>
        <v>235521.00000000006</v>
      </c>
      <c r="O51" s="301"/>
      <c r="P51" s="303" t="s">
        <v>8</v>
      </c>
      <c r="Q51" s="304"/>
      <c r="R51" s="305"/>
      <c r="S51" s="239">
        <f>SUM(S47:S50)</f>
        <v>362</v>
      </c>
      <c r="T51" s="240">
        <v>3000</v>
      </c>
      <c r="U51" s="241">
        <f>SUM(U47:U50)</f>
        <v>1086000</v>
      </c>
      <c r="V51" s="240">
        <v>0</v>
      </c>
      <c r="W51" s="241">
        <v>0</v>
      </c>
      <c r="X51" s="242">
        <v>0</v>
      </c>
      <c r="Y51" s="241">
        <v>0</v>
      </c>
    </row>
    <row r="52" spans="1:25" x14ac:dyDescent="0.3">
      <c r="A52" s="18" t="s">
        <v>25</v>
      </c>
      <c r="B52" s="19">
        <v>30</v>
      </c>
      <c r="C52" s="20">
        <v>0.35</v>
      </c>
      <c r="D52" s="21">
        <f t="shared" si="1"/>
        <v>10.5</v>
      </c>
      <c r="M52" s="91">
        <f>SUM(M50:M51)</f>
        <v>781764.75</v>
      </c>
      <c r="O52" s="281" t="s">
        <v>232</v>
      </c>
      <c r="P52" s="224" t="s">
        <v>232</v>
      </c>
      <c r="Q52" s="243">
        <v>3.7499999999999999E-2</v>
      </c>
      <c r="R52" s="244"/>
      <c r="S52" s="225">
        <v>375</v>
      </c>
      <c r="T52" s="245">
        <v>240000</v>
      </c>
      <c r="U52" s="246">
        <f>T52</f>
        <v>240000</v>
      </c>
      <c r="V52" s="245">
        <v>0</v>
      </c>
      <c r="W52" s="246">
        <v>0</v>
      </c>
      <c r="X52" s="247">
        <v>0.06</v>
      </c>
      <c r="Y52" s="246">
        <f>U52*6%</f>
        <v>14400</v>
      </c>
    </row>
    <row r="53" spans="1:25" ht="14.5" thickBot="1" x14ac:dyDescent="0.35">
      <c r="A53" s="99" t="s">
        <v>26</v>
      </c>
      <c r="B53" s="71"/>
      <c r="C53" s="28">
        <v>0.5</v>
      </c>
      <c r="D53" s="29">
        <f t="shared" si="1"/>
        <v>0</v>
      </c>
      <c r="O53" s="270"/>
      <c r="P53" s="248" t="s">
        <v>233</v>
      </c>
      <c r="Q53" s="248"/>
      <c r="R53" s="248"/>
      <c r="S53" s="249">
        <f>SUM(S51:S52)</f>
        <v>737</v>
      </c>
      <c r="T53" s="250"/>
      <c r="U53" s="251"/>
      <c r="V53" s="250"/>
      <c r="W53" s="251"/>
      <c r="X53" s="252"/>
      <c r="Y53" s="251">
        <v>0</v>
      </c>
    </row>
    <row r="54" spans="1:25" x14ac:dyDescent="0.3">
      <c r="A54" s="22" t="s">
        <v>27</v>
      </c>
      <c r="B54" s="23">
        <f>SUM(B48:B53)-B49</f>
        <v>273</v>
      </c>
      <c r="C54" s="24"/>
      <c r="D54" s="25"/>
      <c r="O54" s="300" t="s">
        <v>173</v>
      </c>
      <c r="P54" s="224" t="s">
        <v>234</v>
      </c>
      <c r="Q54" s="253"/>
      <c r="R54" s="244"/>
      <c r="S54" s="225">
        <v>-160</v>
      </c>
      <c r="T54" s="226">
        <v>950000</v>
      </c>
      <c r="U54" s="227">
        <f>T54</f>
        <v>950000</v>
      </c>
      <c r="V54" s="226">
        <v>450000</v>
      </c>
      <c r="W54" s="227">
        <f>V54</f>
        <v>450000</v>
      </c>
      <c r="X54" s="228">
        <v>0.06</v>
      </c>
      <c r="Y54" s="227">
        <f>U54*6%</f>
        <v>57000</v>
      </c>
    </row>
    <row r="55" spans="1:25" ht="14.5" thickBot="1" x14ac:dyDescent="0.35">
      <c r="A55" s="18" t="s">
        <v>28</v>
      </c>
      <c r="B55" s="19">
        <f>B47-B54</f>
        <v>77</v>
      </c>
      <c r="C55" s="20"/>
      <c r="D55" s="21"/>
      <c r="O55" s="301"/>
      <c r="P55" s="248" t="s">
        <v>235</v>
      </c>
      <c r="Q55" s="248"/>
      <c r="R55" s="248"/>
      <c r="S55" s="249">
        <f>SUM(S53:S54)</f>
        <v>577</v>
      </c>
      <c r="T55" s="250"/>
      <c r="U55" s="251"/>
      <c r="V55" s="250"/>
      <c r="W55" s="251"/>
      <c r="X55" s="252"/>
      <c r="Y55" s="251"/>
    </row>
    <row r="56" spans="1:25" x14ac:dyDescent="0.3">
      <c r="A56" s="26" t="s">
        <v>29</v>
      </c>
      <c r="B56" s="104">
        <v>80</v>
      </c>
      <c r="C56" s="105">
        <v>0.25</v>
      </c>
      <c r="D56" s="106">
        <f>B56*C56</f>
        <v>20</v>
      </c>
      <c r="O56" s="300" t="s">
        <v>236</v>
      </c>
      <c r="P56" s="224" t="s">
        <v>237</v>
      </c>
      <c r="Q56" s="224"/>
      <c r="R56" s="224"/>
      <c r="S56" s="225">
        <f>-Q48-Q49-Q50</f>
        <v>-382</v>
      </c>
      <c r="T56" s="226"/>
      <c r="U56" s="227"/>
      <c r="V56" s="226"/>
      <c r="W56" s="227">
        <v>0</v>
      </c>
      <c r="X56" s="228">
        <v>0</v>
      </c>
      <c r="Y56" s="227">
        <v>0</v>
      </c>
    </row>
    <row r="57" spans="1:25" ht="14.5" thickBot="1" x14ac:dyDescent="0.35">
      <c r="A57" s="100" t="s">
        <v>31</v>
      </c>
      <c r="B57" s="101"/>
      <c r="C57" s="102"/>
      <c r="D57" s="103">
        <f>SUM(D48:D56)</f>
        <v>286.8</v>
      </c>
      <c r="F57" s="91"/>
      <c r="O57" s="301"/>
      <c r="P57" s="248" t="s">
        <v>238</v>
      </c>
      <c r="Q57" s="248"/>
      <c r="R57" s="248"/>
      <c r="S57" s="249">
        <f>SUM(S55:S56)</f>
        <v>195</v>
      </c>
      <c r="T57" s="250">
        <v>0</v>
      </c>
      <c r="U57" s="251">
        <v>0</v>
      </c>
      <c r="V57" s="250"/>
      <c r="W57" s="251">
        <v>0</v>
      </c>
      <c r="X57" s="252">
        <v>0</v>
      </c>
      <c r="Y57" s="251">
        <v>0</v>
      </c>
    </row>
    <row r="58" spans="1:25" ht="14.5" thickBot="1" x14ac:dyDescent="0.35">
      <c r="A58" s="18" t="s">
        <v>75</v>
      </c>
      <c r="B58" s="19"/>
      <c r="D58" s="91">
        <v>100000</v>
      </c>
      <c r="T58" s="217" t="s">
        <v>226</v>
      </c>
      <c r="U58" s="254">
        <f>SUM(U51:U57)</f>
        <v>2276000</v>
      </c>
      <c r="V58" s="218" t="s">
        <v>239</v>
      </c>
      <c r="W58" s="254">
        <f>SUM(W47:W57)</f>
        <v>450000</v>
      </c>
      <c r="X58" s="218" t="s">
        <v>240</v>
      </c>
      <c r="Y58" s="255">
        <f>SUM(Y51:Y57)</f>
        <v>71400</v>
      </c>
    </row>
    <row r="60" spans="1:25" ht="14.5" thickBot="1" x14ac:dyDescent="0.35">
      <c r="A60" t="s">
        <v>96</v>
      </c>
      <c r="B60">
        <v>2500</v>
      </c>
      <c r="F60" t="str">
        <f>A60</f>
        <v>לפי שומת הררי 2021</v>
      </c>
      <c r="G60">
        <v>3000</v>
      </c>
    </row>
    <row r="61" spans="1:25" x14ac:dyDescent="0.3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25" x14ac:dyDescent="0.3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25" x14ac:dyDescent="0.3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25" x14ac:dyDescent="0.3">
      <c r="A64" s="18" t="s">
        <v>33</v>
      </c>
      <c r="B64">
        <v>55</v>
      </c>
      <c r="C64">
        <v>1</v>
      </c>
      <c r="D64" s="21">
        <f t="shared" si="2"/>
        <v>55</v>
      </c>
      <c r="F64" s="18" t="s">
        <v>33</v>
      </c>
      <c r="G64">
        <v>55</v>
      </c>
      <c r="H64">
        <v>1</v>
      </c>
      <c r="I64" s="21">
        <f>H64*G64</f>
        <v>55</v>
      </c>
    </row>
    <row r="65" spans="1:9" x14ac:dyDescent="0.3">
      <c r="A65" s="18" t="s">
        <v>27</v>
      </c>
      <c r="B65" s="40">
        <f>SUM(B62:B64)</f>
        <v>375</v>
      </c>
      <c r="D65" s="21"/>
      <c r="F65" s="18" t="s">
        <v>27</v>
      </c>
      <c r="G65" s="40">
        <f>SUM(G62:G64)</f>
        <v>375</v>
      </c>
      <c r="I65" s="21"/>
    </row>
    <row r="66" spans="1:9" x14ac:dyDescent="0.3">
      <c r="A66" s="18" t="s">
        <v>34</v>
      </c>
      <c r="B66">
        <v>1125</v>
      </c>
      <c r="C66" s="20">
        <v>0.25</v>
      </c>
      <c r="D66" s="21">
        <f t="shared" si="2"/>
        <v>281.25</v>
      </c>
      <c r="F66" s="18" t="s">
        <v>34</v>
      </c>
      <c r="G66">
        <v>1125</v>
      </c>
      <c r="H66" s="20">
        <v>0.25</v>
      </c>
      <c r="I66" s="21">
        <f>H66*G66</f>
        <v>281.25</v>
      </c>
    </row>
    <row r="67" spans="1:9" x14ac:dyDescent="0.3">
      <c r="A67" s="18" t="s">
        <v>54</v>
      </c>
      <c r="B67">
        <f>B60-B65-B66</f>
        <v>1000</v>
      </c>
      <c r="C67" s="20">
        <v>0.15</v>
      </c>
      <c r="D67" s="21">
        <f t="shared" si="2"/>
        <v>150</v>
      </c>
      <c r="F67" s="18" t="s">
        <v>54</v>
      </c>
      <c r="G67">
        <v>1000</v>
      </c>
      <c r="H67" s="20">
        <v>0.15</v>
      </c>
      <c r="I67" s="21">
        <f>H67*G67</f>
        <v>150</v>
      </c>
    </row>
    <row r="68" spans="1:9" x14ac:dyDescent="0.3">
      <c r="A68" s="18"/>
      <c r="C68" s="20"/>
      <c r="D68" s="21"/>
      <c r="F68" s="18" t="s">
        <v>73</v>
      </c>
      <c r="G68">
        <v>500</v>
      </c>
      <c r="H68" s="20">
        <v>0.1</v>
      </c>
      <c r="I68" s="127">
        <f>G68*H68</f>
        <v>50</v>
      </c>
    </row>
    <row r="69" spans="1:9" x14ac:dyDescent="0.3">
      <c r="A69" s="43" t="s">
        <v>31</v>
      </c>
      <c r="B69" s="40">
        <f>SUM(B62:B67)</f>
        <v>2875</v>
      </c>
      <c r="C69" s="40"/>
      <c r="D69" s="44">
        <f>SUM(D62:D67)</f>
        <v>806.25</v>
      </c>
      <c r="F69" s="43" t="s">
        <v>31</v>
      </c>
      <c r="G69" s="40">
        <f>SUM(G62:G68)</f>
        <v>3375</v>
      </c>
      <c r="H69" s="40"/>
      <c r="I69" s="44">
        <f>SUM(I62:I68)</f>
        <v>856.25</v>
      </c>
    </row>
    <row r="70" spans="1:9" ht="14.5" thickBot="1" x14ac:dyDescent="0.35">
      <c r="A70" s="34" t="s">
        <v>32</v>
      </c>
      <c r="B70" s="45"/>
      <c r="C70" s="45"/>
      <c r="D70" s="46">
        <f>D69</f>
        <v>806.25</v>
      </c>
      <c r="E70" s="72"/>
      <c r="F70" s="34" t="s">
        <v>32</v>
      </c>
      <c r="G70" s="45"/>
      <c r="H70" s="45"/>
      <c r="I70" s="46">
        <f>I69</f>
        <v>856.25</v>
      </c>
    </row>
    <row r="71" spans="1:9" x14ac:dyDescent="0.3">
      <c r="A71" t="s">
        <v>66</v>
      </c>
      <c r="D71" s="17">
        <v>175000</v>
      </c>
      <c r="F71" t="s">
        <v>66</v>
      </c>
      <c r="I71" s="17">
        <v>190000</v>
      </c>
    </row>
  </sheetData>
  <mergeCells count="6">
    <mergeCell ref="A30:D30"/>
    <mergeCell ref="O56:O57"/>
    <mergeCell ref="O54:O55"/>
    <mergeCell ref="O47:O51"/>
    <mergeCell ref="P51:R51"/>
    <mergeCell ref="O52:O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F41E-AD07-4ECE-B78D-396261D7684A}">
  <dimension ref="D1:J27"/>
  <sheetViews>
    <sheetView rightToLeft="1" workbookViewId="0">
      <selection activeCell="J31" sqref="J31"/>
    </sheetView>
  </sheetViews>
  <sheetFormatPr defaultRowHeight="14" x14ac:dyDescent="0.3"/>
  <cols>
    <col min="5" max="5" width="10.9140625" customWidth="1"/>
    <col min="6" max="7" width="10.58203125" customWidth="1"/>
    <col min="8" max="8" width="9.33203125" customWidth="1"/>
    <col min="9" max="9" width="10.5" bestFit="1" customWidth="1"/>
    <col min="10" max="10" width="11" customWidth="1"/>
  </cols>
  <sheetData>
    <row r="1" spans="4:10" ht="14.5" thickBot="1" x14ac:dyDescent="0.35"/>
    <row r="2" spans="4:10" x14ac:dyDescent="0.3">
      <c r="D2" s="316" t="s">
        <v>241</v>
      </c>
      <c r="E2" s="314" t="s">
        <v>242</v>
      </c>
      <c r="F2" s="314" t="s">
        <v>243</v>
      </c>
      <c r="G2" s="314" t="s">
        <v>244</v>
      </c>
      <c r="H2" s="314" t="s">
        <v>8</v>
      </c>
      <c r="I2" s="314" t="s">
        <v>49</v>
      </c>
      <c r="J2" s="306" t="s">
        <v>228</v>
      </c>
    </row>
    <row r="3" spans="4:10" ht="14.5" thickBot="1" x14ac:dyDescent="0.35">
      <c r="D3" s="317"/>
      <c r="E3" s="315"/>
      <c r="F3" s="315"/>
      <c r="G3" s="315"/>
      <c r="H3" s="315"/>
      <c r="I3" s="315"/>
      <c r="J3" s="307"/>
    </row>
    <row r="4" spans="4:10" x14ac:dyDescent="0.3">
      <c r="D4" s="308">
        <v>1</v>
      </c>
      <c r="E4" s="310"/>
      <c r="F4" s="310"/>
      <c r="G4" s="310"/>
      <c r="H4" s="310"/>
      <c r="I4" s="310"/>
      <c r="J4" s="312"/>
    </row>
    <row r="5" spans="4:10" x14ac:dyDescent="0.3">
      <c r="D5" s="309"/>
      <c r="E5" s="311"/>
      <c r="F5" s="311"/>
      <c r="G5" s="311"/>
      <c r="H5" s="311"/>
      <c r="I5" s="311"/>
      <c r="J5" s="313"/>
    </row>
    <row r="6" spans="4:10" x14ac:dyDescent="0.3">
      <c r="D6" s="309">
        <v>2</v>
      </c>
      <c r="E6" s="311"/>
      <c r="F6" s="311"/>
      <c r="G6" s="311"/>
      <c r="H6" s="311"/>
      <c r="I6" s="311"/>
      <c r="J6" s="313"/>
    </row>
    <row r="7" spans="4:10" x14ac:dyDescent="0.3">
      <c r="D7" s="309"/>
      <c r="E7" s="311"/>
      <c r="F7" s="311"/>
      <c r="G7" s="311"/>
      <c r="H7" s="311"/>
      <c r="I7" s="311"/>
      <c r="J7" s="313"/>
    </row>
    <row r="8" spans="4:10" x14ac:dyDescent="0.3">
      <c r="D8" s="309">
        <v>3</v>
      </c>
      <c r="E8" s="311"/>
      <c r="F8" s="311"/>
      <c r="G8" s="311"/>
      <c r="H8" s="311"/>
      <c r="I8" s="311"/>
      <c r="J8" s="313"/>
    </row>
    <row r="9" spans="4:10" x14ac:dyDescent="0.3">
      <c r="D9" s="309"/>
      <c r="E9" s="311"/>
      <c r="F9" s="311"/>
      <c r="G9" s="311"/>
      <c r="H9" s="311"/>
      <c r="I9" s="311"/>
      <c r="J9" s="313"/>
    </row>
    <row r="10" spans="4:10" x14ac:dyDescent="0.3">
      <c r="D10" s="309">
        <v>4</v>
      </c>
      <c r="E10" s="311"/>
      <c r="F10" s="311"/>
      <c r="G10" s="311"/>
      <c r="H10" s="311"/>
      <c r="I10" s="311"/>
      <c r="J10" s="313"/>
    </row>
    <row r="11" spans="4:10" x14ac:dyDescent="0.3">
      <c r="D11" s="309"/>
      <c r="E11" s="311"/>
      <c r="F11" s="311"/>
      <c r="G11" s="311"/>
      <c r="H11" s="311"/>
      <c r="I11" s="311"/>
      <c r="J11" s="313"/>
    </row>
    <row r="12" spans="4:10" x14ac:dyDescent="0.3">
      <c r="D12" s="309">
        <v>5</v>
      </c>
      <c r="E12" s="311"/>
      <c r="F12" s="311"/>
      <c r="G12" s="311"/>
      <c r="H12" s="311"/>
      <c r="I12" s="311"/>
      <c r="J12" s="313"/>
    </row>
    <row r="13" spans="4:10" x14ac:dyDescent="0.3">
      <c r="D13" s="309"/>
      <c r="E13" s="311"/>
      <c r="F13" s="311"/>
      <c r="G13" s="311"/>
      <c r="H13" s="311"/>
      <c r="I13" s="311"/>
      <c r="J13" s="313"/>
    </row>
    <row r="14" spans="4:10" x14ac:dyDescent="0.3">
      <c r="D14" s="309">
        <v>6</v>
      </c>
      <c r="E14" s="311"/>
      <c r="F14" s="311"/>
      <c r="G14" s="311"/>
      <c r="H14" s="311"/>
      <c r="I14" s="311"/>
      <c r="J14" s="313"/>
    </row>
    <row r="15" spans="4:10" x14ac:dyDescent="0.3">
      <c r="D15" s="309"/>
      <c r="E15" s="311"/>
      <c r="F15" s="311"/>
      <c r="G15" s="311"/>
      <c r="H15" s="311"/>
      <c r="I15" s="311"/>
      <c r="J15" s="313"/>
    </row>
    <row r="16" spans="4:10" x14ac:dyDescent="0.3">
      <c r="D16" s="309">
        <v>7</v>
      </c>
      <c r="E16" s="311"/>
      <c r="F16" s="311"/>
      <c r="G16" s="311"/>
      <c r="H16" s="311"/>
      <c r="I16" s="311"/>
      <c r="J16" s="313"/>
    </row>
    <row r="17" spans="4:10" x14ac:dyDescent="0.3">
      <c r="D17" s="309"/>
      <c r="E17" s="311"/>
      <c r="F17" s="311"/>
      <c r="G17" s="311"/>
      <c r="H17" s="311"/>
      <c r="I17" s="311"/>
      <c r="J17" s="313"/>
    </row>
    <row r="18" spans="4:10" x14ac:dyDescent="0.3">
      <c r="D18" s="309">
        <v>8</v>
      </c>
      <c r="E18" s="311"/>
      <c r="F18" s="311"/>
      <c r="G18" s="311"/>
      <c r="H18" s="311"/>
      <c r="I18" s="311"/>
      <c r="J18" s="313"/>
    </row>
    <row r="19" spans="4:10" x14ac:dyDescent="0.3">
      <c r="D19" s="309"/>
      <c r="E19" s="311"/>
      <c r="F19" s="311"/>
      <c r="G19" s="311"/>
      <c r="H19" s="311"/>
      <c r="I19" s="311"/>
      <c r="J19" s="313"/>
    </row>
    <row r="20" spans="4:10" x14ac:dyDescent="0.3">
      <c r="D20" s="309">
        <v>9</v>
      </c>
      <c r="E20" s="311"/>
      <c r="F20" s="311"/>
      <c r="G20" s="311"/>
      <c r="H20" s="311"/>
      <c r="I20" s="311"/>
      <c r="J20" s="313"/>
    </row>
    <row r="21" spans="4:10" x14ac:dyDescent="0.3">
      <c r="D21" s="309"/>
      <c r="E21" s="311"/>
      <c r="F21" s="311"/>
      <c r="G21" s="311"/>
      <c r="H21" s="311"/>
      <c r="I21" s="311"/>
      <c r="J21" s="313"/>
    </row>
    <row r="22" spans="4:10" x14ac:dyDescent="0.3">
      <c r="D22" s="309">
        <v>10</v>
      </c>
      <c r="E22" s="311"/>
      <c r="F22" s="311"/>
      <c r="G22" s="311"/>
      <c r="H22" s="311"/>
      <c r="I22" s="311"/>
      <c r="J22" s="313"/>
    </row>
    <row r="23" spans="4:10" x14ac:dyDescent="0.3">
      <c r="D23" s="309"/>
      <c r="E23" s="311"/>
      <c r="F23" s="311"/>
      <c r="G23" s="311"/>
      <c r="H23" s="311"/>
      <c r="I23" s="311"/>
      <c r="J23" s="313"/>
    </row>
    <row r="24" spans="4:10" x14ac:dyDescent="0.3">
      <c r="D24" s="309">
        <v>11</v>
      </c>
      <c r="E24" s="311"/>
      <c r="F24" s="311"/>
      <c r="G24" s="311"/>
      <c r="H24" s="311"/>
      <c r="I24" s="311"/>
      <c r="J24" s="313"/>
    </row>
    <row r="25" spans="4:10" x14ac:dyDescent="0.3">
      <c r="D25" s="309"/>
      <c r="E25" s="311"/>
      <c r="F25" s="311"/>
      <c r="G25" s="311"/>
      <c r="H25" s="311"/>
      <c r="I25" s="311"/>
      <c r="J25" s="313"/>
    </row>
    <row r="26" spans="4:10" x14ac:dyDescent="0.3">
      <c r="D26" s="318" t="s">
        <v>8</v>
      </c>
      <c r="E26" s="319"/>
      <c r="F26" s="319"/>
      <c r="G26" s="320"/>
      <c r="H26" s="311">
        <f>SUM(H4:H25)</f>
        <v>0</v>
      </c>
      <c r="I26" s="311">
        <f t="shared" ref="I26:J26" si="0">SUM(I4:I25)</f>
        <v>0</v>
      </c>
      <c r="J26" s="311">
        <f t="shared" si="0"/>
        <v>0</v>
      </c>
    </row>
    <row r="27" spans="4:10" ht="14.5" thickBot="1" x14ac:dyDescent="0.35">
      <c r="D27" s="321"/>
      <c r="E27" s="322"/>
      <c r="F27" s="322"/>
      <c r="G27" s="323"/>
      <c r="H27" s="324"/>
      <c r="I27" s="324"/>
      <c r="J27" s="324"/>
    </row>
  </sheetData>
  <mergeCells count="88">
    <mergeCell ref="D26:G27"/>
    <mergeCell ref="H26:H27"/>
    <mergeCell ref="I26:I27"/>
    <mergeCell ref="J26:J27"/>
    <mergeCell ref="J22:J23"/>
    <mergeCell ref="D24:D25"/>
    <mergeCell ref="E24:E25"/>
    <mergeCell ref="F24:F25"/>
    <mergeCell ref="G24:G25"/>
    <mergeCell ref="H24:H25"/>
    <mergeCell ref="I24:I25"/>
    <mergeCell ref="J24:J25"/>
    <mergeCell ref="D22:D23"/>
    <mergeCell ref="E22:E23"/>
    <mergeCell ref="F22:F23"/>
    <mergeCell ref="G22:G23"/>
    <mergeCell ref="H22:H23"/>
    <mergeCell ref="I22:I23"/>
    <mergeCell ref="J18:J19"/>
    <mergeCell ref="D20:D21"/>
    <mergeCell ref="E20:E21"/>
    <mergeCell ref="F20:F21"/>
    <mergeCell ref="G20:G21"/>
    <mergeCell ref="H20:H21"/>
    <mergeCell ref="I20:I21"/>
    <mergeCell ref="J20:J21"/>
    <mergeCell ref="D18:D19"/>
    <mergeCell ref="E18:E19"/>
    <mergeCell ref="F18:F19"/>
    <mergeCell ref="G18:G19"/>
    <mergeCell ref="H18:H19"/>
    <mergeCell ref="I18:I19"/>
    <mergeCell ref="J14:J15"/>
    <mergeCell ref="D16:D17"/>
    <mergeCell ref="E16:E17"/>
    <mergeCell ref="F16:F17"/>
    <mergeCell ref="G16:G17"/>
    <mergeCell ref="H16:H17"/>
    <mergeCell ref="I16:I17"/>
    <mergeCell ref="J16:J17"/>
    <mergeCell ref="D14:D15"/>
    <mergeCell ref="E14:E15"/>
    <mergeCell ref="F14:F15"/>
    <mergeCell ref="G14:G15"/>
    <mergeCell ref="H14:H15"/>
    <mergeCell ref="I14:I15"/>
    <mergeCell ref="J10:J11"/>
    <mergeCell ref="D12:D13"/>
    <mergeCell ref="E12:E13"/>
    <mergeCell ref="F12:F13"/>
    <mergeCell ref="G12:G13"/>
    <mergeCell ref="H12:H13"/>
    <mergeCell ref="I12:I13"/>
    <mergeCell ref="J12:J13"/>
    <mergeCell ref="D10:D11"/>
    <mergeCell ref="E10:E11"/>
    <mergeCell ref="F10:F11"/>
    <mergeCell ref="G10:G11"/>
    <mergeCell ref="H10:H11"/>
    <mergeCell ref="I10:I11"/>
    <mergeCell ref="J6:J7"/>
    <mergeCell ref="D8:D9"/>
    <mergeCell ref="E8:E9"/>
    <mergeCell ref="F8:F9"/>
    <mergeCell ref="G8:G9"/>
    <mergeCell ref="H8:H9"/>
    <mergeCell ref="I8:I9"/>
    <mergeCell ref="J8:J9"/>
    <mergeCell ref="D6:D7"/>
    <mergeCell ref="E6:E7"/>
    <mergeCell ref="F6:F7"/>
    <mergeCell ref="G6:G7"/>
    <mergeCell ref="H6:H7"/>
    <mergeCell ref="I6:I7"/>
    <mergeCell ref="J2:J3"/>
    <mergeCell ref="D4:D5"/>
    <mergeCell ref="E4:E5"/>
    <mergeCell ref="F4:F5"/>
    <mergeCell ref="G4:G5"/>
    <mergeCell ref="H4:H5"/>
    <mergeCell ref="I4:I5"/>
    <mergeCell ref="J4:J5"/>
    <mergeCell ref="H2:H3"/>
    <mergeCell ref="D2:D3"/>
    <mergeCell ref="E2:E3"/>
    <mergeCell ref="F2:F3"/>
    <mergeCell ref="G2:G3"/>
    <mergeCell ref="I2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AA63"/>
  <sheetViews>
    <sheetView rightToLeft="1" zoomScale="85" zoomScaleNormal="85" workbookViewId="0">
      <selection activeCell="D7" sqref="D7"/>
    </sheetView>
  </sheetViews>
  <sheetFormatPr defaultRowHeight="14" x14ac:dyDescent="0.3"/>
  <cols>
    <col min="1" max="1" width="5.33203125" customWidth="1"/>
    <col min="2" max="2" width="12.5" customWidth="1"/>
    <col min="3" max="3" width="8.6640625" bestFit="1" customWidth="1"/>
    <col min="4" max="4" width="10.33203125" style="17" customWidth="1"/>
    <col min="5" max="5" width="10.83203125" style="17" bestFit="1" customWidth="1"/>
    <col min="6" max="6" width="8.33203125" style="17" bestFit="1" customWidth="1"/>
    <col min="7" max="7" width="11" bestFit="1" customWidth="1"/>
    <col min="8" max="8" width="14.58203125" bestFit="1" customWidth="1"/>
    <col min="9" max="9" width="12.08203125" bestFit="1" customWidth="1"/>
    <col min="10" max="10" width="14.58203125" bestFit="1" customWidth="1"/>
  </cols>
  <sheetData>
    <row r="2" spans="2:27" ht="17" x14ac:dyDescent="0.6">
      <c r="B2" s="39" t="s">
        <v>156</v>
      </c>
      <c r="C2" s="39"/>
      <c r="D2" s="130"/>
    </row>
    <row r="3" spans="2:27" x14ac:dyDescent="0.3">
      <c r="B3" t="s">
        <v>95</v>
      </c>
      <c r="C3" s="148"/>
      <c r="D3" s="148"/>
      <c r="G3" s="189"/>
      <c r="H3" s="148"/>
      <c r="I3" s="149"/>
      <c r="J3" s="149"/>
    </row>
    <row r="4" spans="2:27" x14ac:dyDescent="0.3">
      <c r="B4" t="s">
        <v>131</v>
      </c>
      <c r="C4" s="186"/>
      <c r="D4" s="38"/>
      <c r="G4" s="189"/>
      <c r="J4" s="149"/>
    </row>
    <row r="5" spans="2:27" x14ac:dyDescent="0.3">
      <c r="B5" t="s">
        <v>132</v>
      </c>
    </row>
    <row r="6" spans="2:27" x14ac:dyDescent="0.3">
      <c r="B6" t="s">
        <v>133</v>
      </c>
      <c r="C6" s="149"/>
      <c r="D6" s="148"/>
    </row>
    <row r="7" spans="2:27" x14ac:dyDescent="0.3">
      <c r="B7" t="s">
        <v>147</v>
      </c>
      <c r="C7" s="149">
        <f>G63</f>
        <v>9000</v>
      </c>
    </row>
    <row r="8" spans="2:27" x14ac:dyDescent="0.3">
      <c r="C8" s="149"/>
    </row>
    <row r="9" spans="2:27" x14ac:dyDescent="0.3">
      <c r="B9" s="39" t="s">
        <v>134</v>
      </c>
      <c r="C9" s="150"/>
    </row>
    <row r="10" spans="2:27" ht="28" x14ac:dyDescent="0.6">
      <c r="B10" s="39" t="s">
        <v>136</v>
      </c>
      <c r="C10" s="39" t="s">
        <v>135</v>
      </c>
      <c r="D10" s="130" t="s">
        <v>137</v>
      </c>
      <c r="E10" s="130" t="s">
        <v>138</v>
      </c>
      <c r="F10" s="130" t="s">
        <v>139</v>
      </c>
      <c r="G10" s="130" t="s">
        <v>140</v>
      </c>
      <c r="H10" s="188" t="s">
        <v>141</v>
      </c>
      <c r="I10" s="130" t="s">
        <v>142</v>
      </c>
      <c r="J10" s="130" t="s">
        <v>143</v>
      </c>
      <c r="K10" s="130" t="s">
        <v>144</v>
      </c>
      <c r="L10" s="130" t="s">
        <v>145</v>
      </c>
      <c r="M10" s="130" t="s">
        <v>146</v>
      </c>
    </row>
    <row r="11" spans="2:27" x14ac:dyDescent="0.3">
      <c r="B11" s="187"/>
    </row>
    <row r="13" spans="2:27" ht="14.5" thickBot="1" x14ac:dyDescent="0.35">
      <c r="C13" s="149"/>
    </row>
    <row r="14" spans="2:27" ht="33" thickBot="1" x14ac:dyDescent="0.7">
      <c r="B14" s="332" t="s">
        <v>264</v>
      </c>
      <c r="C14" s="333"/>
      <c r="D14" s="333"/>
      <c r="E14" s="333"/>
      <c r="F14" s="333"/>
      <c r="G14" s="333"/>
      <c r="H14" s="333"/>
      <c r="I14" s="333"/>
      <c r="J14" s="333"/>
      <c r="K14" s="333"/>
      <c r="L14" s="333"/>
      <c r="M14" s="333"/>
      <c r="N14" s="333"/>
      <c r="O14" s="333"/>
      <c r="P14" s="333"/>
      <c r="Q14" s="333"/>
      <c r="R14" s="333"/>
      <c r="S14" s="333"/>
      <c r="T14" s="333"/>
      <c r="U14" s="333"/>
      <c r="V14" s="333"/>
      <c r="W14" s="333"/>
      <c r="X14" s="333"/>
      <c r="Y14" s="333"/>
      <c r="Z14" s="333"/>
      <c r="AA14" s="334"/>
    </row>
    <row r="15" spans="2:27" x14ac:dyDescent="0.3">
      <c r="B15" s="260"/>
      <c r="D15" s="19"/>
      <c r="E15" s="19"/>
      <c r="F15" s="19"/>
      <c r="AA15" s="21"/>
    </row>
    <row r="16" spans="2:27" x14ac:dyDescent="0.3">
      <c r="B16" s="18"/>
      <c r="C16" s="261"/>
      <c r="D16" s="19"/>
      <c r="E16" s="19"/>
      <c r="F16" s="19"/>
      <c r="AA16" s="21"/>
    </row>
    <row r="17" spans="2:27" x14ac:dyDescent="0.3">
      <c r="B17" s="18"/>
      <c r="C17" s="19"/>
      <c r="D17" s="19"/>
      <c r="E17" s="19"/>
      <c r="F17" s="19"/>
      <c r="AA17" s="21"/>
    </row>
    <row r="18" spans="2:27" x14ac:dyDescent="0.3">
      <c r="B18" s="18"/>
      <c r="D18" s="19"/>
      <c r="E18" s="19"/>
      <c r="F18" s="19"/>
      <c r="AA18" s="21"/>
    </row>
    <row r="19" spans="2:27" x14ac:dyDescent="0.3">
      <c r="B19" s="18"/>
      <c r="C19" s="149"/>
      <c r="D19" s="19"/>
      <c r="E19" s="19"/>
      <c r="F19" s="19"/>
      <c r="AA19" s="21"/>
    </row>
    <row r="20" spans="2:27" x14ac:dyDescent="0.3">
      <c r="B20" s="18"/>
      <c r="C20" s="149"/>
      <c r="D20" s="19"/>
      <c r="E20" s="19"/>
      <c r="F20" s="19"/>
      <c r="AA20" s="21"/>
    </row>
    <row r="21" spans="2:27" x14ac:dyDescent="0.3">
      <c r="B21" s="18"/>
      <c r="C21" s="149"/>
      <c r="D21" s="19"/>
      <c r="E21" s="19"/>
      <c r="F21" s="19"/>
      <c r="AA21" s="21"/>
    </row>
    <row r="22" spans="2:27" x14ac:dyDescent="0.3">
      <c r="B22" s="18"/>
      <c r="D22" s="19"/>
      <c r="E22" s="19"/>
      <c r="F22" s="19"/>
      <c r="AA22" s="21"/>
    </row>
    <row r="23" spans="2:27" x14ac:dyDescent="0.3">
      <c r="B23" s="18"/>
      <c r="D23" s="19"/>
      <c r="E23" s="19"/>
      <c r="F23" s="19"/>
      <c r="AA23" s="21"/>
    </row>
    <row r="24" spans="2:27" x14ac:dyDescent="0.3">
      <c r="B24" s="18"/>
      <c r="D24" s="19"/>
      <c r="E24" s="19"/>
      <c r="F24" s="19"/>
      <c r="AA24" s="21"/>
    </row>
    <row r="25" spans="2:27" x14ac:dyDescent="0.3">
      <c r="B25" s="18"/>
      <c r="D25" s="19"/>
      <c r="E25" s="19"/>
      <c r="F25" s="19"/>
      <c r="AA25" s="21"/>
    </row>
    <row r="26" spans="2:27" x14ac:dyDescent="0.3">
      <c r="B26" s="18"/>
      <c r="D26" s="19"/>
      <c r="E26" s="19"/>
      <c r="F26" s="19"/>
      <c r="AA26" s="21"/>
    </row>
    <row r="27" spans="2:27" x14ac:dyDescent="0.3">
      <c r="B27" s="18"/>
      <c r="D27" s="19"/>
      <c r="E27" s="19"/>
      <c r="F27" s="19"/>
      <c r="AA27" s="21"/>
    </row>
    <row r="28" spans="2:27" x14ac:dyDescent="0.3">
      <c r="B28" s="18"/>
      <c r="D28" s="19"/>
      <c r="E28" s="19"/>
      <c r="F28" s="19"/>
      <c r="AA28" s="21"/>
    </row>
    <row r="29" spans="2:27" x14ac:dyDescent="0.3">
      <c r="B29" s="18"/>
      <c r="D29" s="19"/>
      <c r="E29" s="19"/>
      <c r="F29" s="19"/>
      <c r="AA29" s="21"/>
    </row>
    <row r="30" spans="2:27" x14ac:dyDescent="0.3">
      <c r="B30" s="18"/>
      <c r="D30" s="19"/>
      <c r="E30" s="19"/>
      <c r="F30" s="19"/>
      <c r="AA30" s="21"/>
    </row>
    <row r="31" spans="2:27" x14ac:dyDescent="0.3">
      <c r="B31" s="18"/>
      <c r="D31" s="19"/>
      <c r="E31" s="19"/>
      <c r="F31" s="19"/>
      <c r="AA31" s="21"/>
    </row>
    <row r="32" spans="2:27" x14ac:dyDescent="0.3">
      <c r="B32" s="18"/>
      <c r="D32" s="19"/>
      <c r="E32" s="19"/>
      <c r="F32" s="19"/>
      <c r="AA32" s="21"/>
    </row>
    <row r="33" spans="2:27" x14ac:dyDescent="0.3">
      <c r="B33" s="18"/>
      <c r="D33" s="19"/>
      <c r="E33" s="19"/>
      <c r="F33" s="19"/>
      <c r="AA33" s="21"/>
    </row>
    <row r="34" spans="2:27" x14ac:dyDescent="0.3">
      <c r="B34" s="18"/>
      <c r="D34" s="19"/>
      <c r="E34" s="19"/>
      <c r="F34" s="19"/>
      <c r="AA34" s="21"/>
    </row>
    <row r="35" spans="2:27" ht="14.5" thickBot="1" x14ac:dyDescent="0.35">
      <c r="B35" s="262"/>
      <c r="C35" s="263"/>
      <c r="D35" s="264"/>
      <c r="E35" s="264"/>
      <c r="F35" s="264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5"/>
    </row>
    <row r="55" spans="4:8" x14ac:dyDescent="0.3">
      <c r="D55" s="325" t="s">
        <v>265</v>
      </c>
      <c r="E55" s="325"/>
      <c r="F55" s="325"/>
      <c r="G55" s="331">
        <v>9500</v>
      </c>
      <c r="H55" s="331"/>
    </row>
    <row r="56" spans="4:8" x14ac:dyDescent="0.3">
      <c r="D56" s="325" t="s">
        <v>266</v>
      </c>
      <c r="E56" s="325"/>
      <c r="F56" s="325"/>
      <c r="G56" s="330">
        <v>45689</v>
      </c>
      <c r="H56" s="326"/>
    </row>
    <row r="57" spans="4:8" x14ac:dyDescent="0.3">
      <c r="D57" s="325" t="s">
        <v>267</v>
      </c>
      <c r="E57" s="325"/>
      <c r="F57" s="325"/>
      <c r="G57" s="326">
        <v>1</v>
      </c>
      <c r="H57" s="326"/>
    </row>
    <row r="58" spans="4:8" x14ac:dyDescent="0.3">
      <c r="D58" s="325" t="s">
        <v>268</v>
      </c>
      <c r="E58" s="325"/>
      <c r="F58" s="325"/>
      <c r="G58" s="326">
        <v>1.06</v>
      </c>
      <c r="H58" s="326"/>
    </row>
    <row r="59" spans="4:8" x14ac:dyDescent="0.3">
      <c r="D59" s="325" t="s">
        <v>269</v>
      </c>
      <c r="E59" s="325"/>
      <c r="F59" s="325"/>
      <c r="G59" s="326">
        <v>1.06</v>
      </c>
      <c r="H59" s="326"/>
    </row>
    <row r="60" spans="4:8" x14ac:dyDescent="0.3">
      <c r="D60" s="325" t="s">
        <v>270</v>
      </c>
      <c r="E60" s="325"/>
      <c r="F60" s="325"/>
      <c r="G60" s="331">
        <f>G55*G59</f>
        <v>10070</v>
      </c>
      <c r="H60" s="331"/>
    </row>
    <row r="61" spans="4:8" x14ac:dyDescent="0.3">
      <c r="D61" s="325" t="s">
        <v>271</v>
      </c>
      <c r="E61" s="325"/>
      <c r="F61" s="325"/>
      <c r="G61" s="326">
        <v>0.85</v>
      </c>
      <c r="H61" s="326"/>
    </row>
    <row r="62" spans="4:8" x14ac:dyDescent="0.3">
      <c r="D62" s="325" t="s">
        <v>272</v>
      </c>
      <c r="E62" s="325"/>
      <c r="F62" s="325"/>
      <c r="G62" s="328">
        <f>G61*G60</f>
        <v>8559.5</v>
      </c>
      <c r="H62" s="328"/>
    </row>
    <row r="63" spans="4:8" x14ac:dyDescent="0.3">
      <c r="D63" s="327" t="s">
        <v>273</v>
      </c>
      <c r="E63" s="327"/>
      <c r="F63" s="327"/>
      <c r="G63" s="329">
        <v>9000</v>
      </c>
      <c r="H63" s="329"/>
    </row>
  </sheetData>
  <mergeCells count="19">
    <mergeCell ref="B14:AA14"/>
    <mergeCell ref="D55:F55"/>
    <mergeCell ref="G55:H55"/>
    <mergeCell ref="D56:F56"/>
    <mergeCell ref="D57:F57"/>
    <mergeCell ref="D58:F58"/>
    <mergeCell ref="D59:F59"/>
    <mergeCell ref="D60:F60"/>
    <mergeCell ref="G56:H56"/>
    <mergeCell ref="G57:H57"/>
    <mergeCell ref="G58:H58"/>
    <mergeCell ref="G59:H59"/>
    <mergeCell ref="G60:H60"/>
    <mergeCell ref="D61:F61"/>
    <mergeCell ref="D62:F62"/>
    <mergeCell ref="G61:H61"/>
    <mergeCell ref="D63:F63"/>
    <mergeCell ref="G62:H62"/>
    <mergeCell ref="G63:H6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T60"/>
  <sheetViews>
    <sheetView rightToLeft="1" zoomScale="130" zoomScaleNormal="130" workbookViewId="0">
      <selection activeCell="M7" sqref="A7:M7"/>
    </sheetView>
  </sheetViews>
  <sheetFormatPr defaultRowHeight="14" x14ac:dyDescent="0.3"/>
  <cols>
    <col min="1" max="1" width="19.83203125" customWidth="1"/>
    <col min="2" max="3" width="6" customWidth="1"/>
    <col min="4" max="4" width="17.5" customWidth="1"/>
    <col min="5" max="6" width="14.08203125" style="17" customWidth="1"/>
    <col min="7" max="7" width="14.6640625" customWidth="1"/>
    <col min="8" max="8" width="12.6640625" customWidth="1"/>
    <col min="9" max="9" width="13.4140625" customWidth="1"/>
    <col min="10" max="10" width="11.1640625" customWidth="1"/>
    <col min="11" max="11" width="11.58203125" customWidth="1"/>
    <col min="12" max="12" width="11.1640625" customWidth="1"/>
    <col min="13" max="13" width="10.33203125" customWidth="1"/>
    <col min="14" max="14" width="9.1640625" customWidth="1"/>
    <col min="15" max="21" width="9.58203125" customWidth="1"/>
  </cols>
  <sheetData>
    <row r="1" spans="1:20" ht="16.5" customHeight="1" thickBot="1" x14ac:dyDescent="0.35">
      <c r="D1" s="66"/>
      <c r="E1"/>
      <c r="F1"/>
    </row>
    <row r="2" spans="1:20" ht="42.5" thickBot="1" x14ac:dyDescent="0.35">
      <c r="A2" s="119" t="s">
        <v>35</v>
      </c>
      <c r="B2" s="191" t="s">
        <v>163</v>
      </c>
      <c r="C2" s="119" t="s">
        <v>164</v>
      </c>
      <c r="D2" s="92" t="s">
        <v>261</v>
      </c>
      <c r="E2" s="256" t="s">
        <v>251</v>
      </c>
      <c r="F2" s="257" t="s">
        <v>256</v>
      </c>
      <c r="G2" s="92" t="s">
        <v>262</v>
      </c>
      <c r="H2" s="92" t="s">
        <v>253</v>
      </c>
      <c r="I2" s="47" t="s">
        <v>252</v>
      </c>
      <c r="J2" s="47" t="s">
        <v>254</v>
      </c>
      <c r="K2" s="116" t="s">
        <v>255</v>
      </c>
      <c r="L2" s="259" t="s">
        <v>257</v>
      </c>
      <c r="M2" s="116" t="s">
        <v>258</v>
      </c>
      <c r="N2" s="116" t="s">
        <v>260</v>
      </c>
      <c r="O2" s="47"/>
      <c r="P2" s="47"/>
      <c r="Q2" s="47"/>
      <c r="R2" s="116"/>
      <c r="S2" s="116"/>
      <c r="T2" s="117"/>
    </row>
    <row r="3" spans="1:20" x14ac:dyDescent="0.3">
      <c r="A3" s="120" t="s">
        <v>151</v>
      </c>
      <c r="B3" s="192"/>
      <c r="C3" s="120"/>
      <c r="D3" s="93">
        <v>220</v>
      </c>
      <c r="E3" s="143">
        <v>77</v>
      </c>
      <c r="F3" s="93">
        <v>23</v>
      </c>
      <c r="G3" s="93">
        <v>300</v>
      </c>
      <c r="H3" s="64">
        <v>46</v>
      </c>
      <c r="I3" s="64">
        <v>62</v>
      </c>
      <c r="J3" s="64">
        <v>123</v>
      </c>
      <c r="K3" s="49">
        <v>42</v>
      </c>
      <c r="L3" s="49">
        <v>16</v>
      </c>
      <c r="M3" s="49">
        <v>77</v>
      </c>
      <c r="N3" s="49">
        <v>219</v>
      </c>
      <c r="O3" s="48"/>
      <c r="P3" s="48"/>
      <c r="Q3" s="48"/>
      <c r="R3" s="49"/>
      <c r="S3" s="49"/>
      <c r="T3" s="50"/>
    </row>
    <row r="4" spans="1:20" x14ac:dyDescent="0.3">
      <c r="A4" s="120" t="s">
        <v>94</v>
      </c>
      <c r="B4" s="192"/>
      <c r="C4" s="120"/>
      <c r="D4" s="93">
        <v>114</v>
      </c>
      <c r="E4" s="143"/>
      <c r="F4" s="93"/>
      <c r="G4" s="93">
        <f>140+20</f>
        <v>160</v>
      </c>
      <c r="H4" s="64"/>
      <c r="I4" s="64"/>
      <c r="J4" s="64"/>
      <c r="K4" s="49"/>
      <c r="L4" s="49"/>
      <c r="M4" s="49"/>
      <c r="N4" s="49"/>
      <c r="O4" s="48"/>
      <c r="P4" s="48"/>
      <c r="Q4" s="48"/>
      <c r="R4" s="49"/>
      <c r="S4" s="49"/>
      <c r="T4" s="50"/>
    </row>
    <row r="5" spans="1:20" x14ac:dyDescent="0.3">
      <c r="A5" s="120" t="s">
        <v>76</v>
      </c>
      <c r="B5" s="192"/>
      <c r="C5" s="120"/>
      <c r="D5" s="93">
        <v>106</v>
      </c>
      <c r="E5" s="143"/>
      <c r="F5" s="93"/>
      <c r="G5" s="93">
        <v>140</v>
      </c>
      <c r="H5" s="64"/>
      <c r="I5" s="64"/>
      <c r="J5" s="64"/>
      <c r="K5" s="49"/>
      <c r="L5" s="49"/>
      <c r="M5" s="49"/>
      <c r="N5" s="49"/>
      <c r="O5" s="48"/>
      <c r="P5" s="48"/>
      <c r="Q5" s="48"/>
      <c r="R5" s="49"/>
      <c r="S5" s="49"/>
      <c r="T5" s="50"/>
    </row>
    <row r="6" spans="1:20" x14ac:dyDescent="0.3">
      <c r="A6" s="120" t="s">
        <v>148</v>
      </c>
      <c r="B6" s="192"/>
      <c r="C6" s="120"/>
      <c r="D6" s="93"/>
      <c r="E6" s="143"/>
      <c r="F6" s="93"/>
      <c r="G6" s="93">
        <v>10</v>
      </c>
      <c r="H6" s="64"/>
      <c r="I6" s="64"/>
      <c r="J6" s="64">
        <f>23.23+15.63+5.82+2.25</f>
        <v>46.93</v>
      </c>
      <c r="K6" s="49">
        <f>83-K3</f>
        <v>41</v>
      </c>
      <c r="L6" s="49"/>
      <c r="M6" s="49"/>
      <c r="N6" s="49"/>
      <c r="O6" s="48"/>
      <c r="P6" s="48"/>
      <c r="Q6" s="48"/>
      <c r="R6" s="49"/>
      <c r="S6" s="49"/>
      <c r="T6" s="50"/>
    </row>
    <row r="7" spans="1:20" x14ac:dyDescent="0.3">
      <c r="A7" s="120" t="s">
        <v>149</v>
      </c>
      <c r="B7" s="192"/>
      <c r="C7" s="120"/>
      <c r="D7" s="93"/>
      <c r="E7" s="64"/>
      <c r="F7" s="93"/>
      <c r="G7" s="93"/>
      <c r="H7" s="64"/>
      <c r="I7" s="64"/>
      <c r="J7" s="64"/>
      <c r="K7" s="49"/>
      <c r="L7" s="49"/>
      <c r="M7" s="49">
        <f>152-M3</f>
        <v>75</v>
      </c>
      <c r="N7" s="49"/>
      <c r="O7" s="48"/>
      <c r="P7" s="48"/>
      <c r="Q7" s="48"/>
      <c r="R7" s="49"/>
      <c r="S7" s="49"/>
      <c r="T7" s="50"/>
    </row>
    <row r="8" spans="1:20" x14ac:dyDescent="0.3">
      <c r="A8" s="120" t="s">
        <v>259</v>
      </c>
      <c r="B8" s="192"/>
      <c r="C8" s="120"/>
      <c r="D8" s="94"/>
      <c r="E8" s="54"/>
      <c r="F8" s="94"/>
      <c r="G8" s="94"/>
      <c r="H8" s="54"/>
      <c r="I8" s="54"/>
      <c r="J8" s="54"/>
      <c r="K8" s="52"/>
      <c r="L8" s="52"/>
      <c r="M8" s="52">
        <v>59</v>
      </c>
      <c r="N8" s="52"/>
      <c r="O8" s="51"/>
      <c r="P8" s="51"/>
      <c r="Q8" s="51"/>
      <c r="R8" s="52"/>
      <c r="S8" s="52"/>
      <c r="T8" s="53"/>
    </row>
    <row r="9" spans="1:20" x14ac:dyDescent="0.3">
      <c r="A9" s="120" t="s">
        <v>150</v>
      </c>
      <c r="B9" s="193"/>
      <c r="C9" s="208"/>
      <c r="D9" s="95"/>
      <c r="E9" s="56"/>
      <c r="F9" s="95"/>
      <c r="G9" s="94"/>
      <c r="H9" s="54"/>
      <c r="I9" s="54"/>
      <c r="J9" s="54"/>
      <c r="K9" s="52"/>
      <c r="L9" s="52"/>
      <c r="M9" s="52"/>
      <c r="N9" s="52"/>
      <c r="O9" s="51"/>
      <c r="P9" s="51"/>
      <c r="Q9" s="51"/>
      <c r="R9" s="52"/>
      <c r="S9" s="52"/>
      <c r="T9" s="53"/>
    </row>
    <row r="10" spans="1:20" x14ac:dyDescent="0.3">
      <c r="A10" s="121" t="s">
        <v>50</v>
      </c>
      <c r="B10" s="194"/>
      <c r="C10" s="122"/>
      <c r="D10" s="95"/>
      <c r="E10" s="56"/>
      <c r="F10" s="95"/>
      <c r="G10" s="94"/>
      <c r="H10" s="54"/>
      <c r="I10" s="54"/>
      <c r="J10" s="54"/>
      <c r="K10" s="52"/>
      <c r="L10" s="52"/>
      <c r="M10" s="52"/>
      <c r="N10" s="52"/>
      <c r="O10" s="51"/>
      <c r="P10" s="51"/>
      <c r="Q10" s="51"/>
      <c r="R10" s="52"/>
      <c r="S10" s="52"/>
      <c r="T10" s="53"/>
    </row>
    <row r="11" spans="1:20" x14ac:dyDescent="0.3">
      <c r="A11" s="122" t="s">
        <v>91</v>
      </c>
      <c r="B11" s="194"/>
      <c r="C11" s="122"/>
      <c r="D11" s="95"/>
      <c r="E11" s="56"/>
      <c r="F11" s="95"/>
      <c r="G11" s="95"/>
      <c r="H11" s="56"/>
      <c r="I11" s="56"/>
      <c r="J11" s="56"/>
      <c r="K11" s="57"/>
      <c r="L11" s="57"/>
      <c r="M11" s="57"/>
      <c r="N11" s="57"/>
      <c r="O11" s="55"/>
      <c r="P11" s="55"/>
      <c r="Q11" s="55"/>
      <c r="R11" s="57"/>
      <c r="S11" s="57"/>
      <c r="T11" s="58"/>
    </row>
    <row r="12" spans="1:20" ht="14.5" thickBot="1" x14ac:dyDescent="0.35">
      <c r="A12" s="123" t="s">
        <v>87</v>
      </c>
      <c r="B12" s="195"/>
      <c r="C12" s="123"/>
      <c r="D12" s="96"/>
      <c r="E12" s="90"/>
      <c r="F12" s="96"/>
      <c r="G12" s="96"/>
      <c r="H12" s="90"/>
      <c r="I12" s="90"/>
      <c r="J12" s="90"/>
      <c r="K12" s="60"/>
      <c r="L12" s="60"/>
      <c r="M12" s="60"/>
      <c r="N12" s="60"/>
      <c r="O12" s="59"/>
      <c r="P12" s="59"/>
      <c r="Q12" s="59"/>
      <c r="R12" s="60"/>
      <c r="S12" s="60"/>
      <c r="T12" s="61"/>
    </row>
    <row r="13" spans="1:20" ht="15" thickTop="1" thickBot="1" x14ac:dyDescent="0.35">
      <c r="A13" s="199" t="s">
        <v>36</v>
      </c>
      <c r="B13" s="210"/>
      <c r="C13" s="209"/>
      <c r="D13" s="206">
        <f>SUM(D4:D12)</f>
        <v>220</v>
      </c>
      <c r="E13" s="200">
        <f>SUM(E4:E12)</f>
        <v>0</v>
      </c>
      <c r="F13" s="200"/>
      <c r="G13" s="200">
        <f>SUM(G4:G12)</f>
        <v>310</v>
      </c>
      <c r="H13" s="200">
        <f>SUM(H3:H12)</f>
        <v>46</v>
      </c>
      <c r="I13" s="200">
        <f>SUM(I3:I12)</f>
        <v>62</v>
      </c>
      <c r="J13" s="201">
        <f t="shared" ref="J13:T13" si="0">SUM(J3:J12)</f>
        <v>169.93</v>
      </c>
      <c r="K13" s="201">
        <f t="shared" si="0"/>
        <v>83</v>
      </c>
      <c r="L13" s="201">
        <f t="shared" si="0"/>
        <v>16</v>
      </c>
      <c r="M13" s="201">
        <f t="shared" si="0"/>
        <v>211</v>
      </c>
      <c r="N13" s="201">
        <f t="shared" si="0"/>
        <v>219</v>
      </c>
      <c r="O13" s="202">
        <f t="shared" si="0"/>
        <v>0</v>
      </c>
      <c r="P13" s="202">
        <f t="shared" si="0"/>
        <v>0</v>
      </c>
      <c r="Q13" s="202">
        <f t="shared" si="0"/>
        <v>0</v>
      </c>
      <c r="R13" s="201">
        <f t="shared" si="0"/>
        <v>0</v>
      </c>
      <c r="S13" s="201">
        <f t="shared" si="0"/>
        <v>0</v>
      </c>
      <c r="T13" s="203">
        <f t="shared" si="0"/>
        <v>0</v>
      </c>
    </row>
    <row r="14" spans="1:20" ht="28.5" thickBot="1" x14ac:dyDescent="0.35">
      <c r="A14" s="125" t="s">
        <v>37</v>
      </c>
      <c r="B14" s="191" t="s">
        <v>163</v>
      </c>
      <c r="C14" s="119" t="s">
        <v>164</v>
      </c>
      <c r="D14" s="205"/>
      <c r="E14" s="204"/>
      <c r="F14" s="205"/>
      <c r="G14" s="205"/>
      <c r="H14" s="62"/>
      <c r="I14" s="62"/>
      <c r="J14" s="62"/>
      <c r="K14" s="62"/>
      <c r="L14" s="62"/>
      <c r="M14" s="62"/>
      <c r="N14" s="139"/>
      <c r="O14" s="62"/>
      <c r="P14" s="62"/>
      <c r="Q14" s="62"/>
      <c r="R14" s="139"/>
      <c r="S14" s="139"/>
      <c r="T14" s="63"/>
    </row>
    <row r="15" spans="1:20" x14ac:dyDescent="0.3">
      <c r="A15" s="121"/>
      <c r="B15" s="196"/>
      <c r="C15" s="121"/>
      <c r="D15" s="52"/>
      <c r="E15" s="144"/>
      <c r="F15" s="52"/>
      <c r="G15" s="52"/>
      <c r="H15" s="64"/>
      <c r="I15" s="64"/>
      <c r="J15" s="48"/>
      <c r="K15" s="64"/>
      <c r="L15" s="48"/>
      <c r="M15" s="48"/>
      <c r="N15" s="48"/>
      <c r="O15" s="48"/>
      <c r="P15" s="48"/>
      <c r="Q15" s="48"/>
      <c r="R15" s="49"/>
      <c r="S15" s="49"/>
      <c r="T15" s="50"/>
    </row>
    <row r="16" spans="1:20" x14ac:dyDescent="0.3">
      <c r="A16" s="121" t="s">
        <v>263</v>
      </c>
      <c r="B16" s="196"/>
      <c r="C16" s="121"/>
      <c r="D16" s="52">
        <f>139.47+12.87</f>
        <v>152.34</v>
      </c>
      <c r="E16" s="51"/>
      <c r="F16" s="52"/>
      <c r="G16" s="52"/>
      <c r="H16" s="64"/>
      <c r="I16" s="64"/>
      <c r="J16" s="48"/>
      <c r="K16" s="64"/>
      <c r="L16" s="48"/>
      <c r="M16" s="48"/>
      <c r="N16" s="48"/>
      <c r="O16" s="48"/>
      <c r="P16" s="48"/>
      <c r="Q16" s="48"/>
      <c r="R16" s="49"/>
      <c r="S16" s="49"/>
      <c r="T16" s="50"/>
    </row>
    <row r="17" spans="1:20" x14ac:dyDescent="0.3">
      <c r="A17" s="121" t="s">
        <v>199</v>
      </c>
      <c r="B17" s="196"/>
      <c r="C17" s="121"/>
      <c r="D17" s="52"/>
      <c r="E17" s="51"/>
      <c r="F17" s="52"/>
      <c r="G17" s="52"/>
      <c r="H17" s="64"/>
      <c r="I17" s="64"/>
      <c r="J17" s="48"/>
      <c r="K17" s="64"/>
      <c r="L17" s="48"/>
      <c r="M17" s="48"/>
      <c r="N17" s="48"/>
      <c r="O17" s="48"/>
      <c r="P17" s="48"/>
      <c r="Q17" s="48"/>
      <c r="R17" s="49"/>
      <c r="S17" s="49"/>
      <c r="T17" s="50"/>
    </row>
    <row r="18" spans="1:20" x14ac:dyDescent="0.3">
      <c r="A18" s="121" t="s">
        <v>201</v>
      </c>
      <c r="B18" s="196"/>
      <c r="C18" s="121"/>
      <c r="D18" s="52"/>
      <c r="E18" s="51"/>
      <c r="F18" s="52"/>
      <c r="G18" s="52"/>
      <c r="H18" s="64"/>
      <c r="I18" s="64"/>
      <c r="J18" s="48"/>
      <c r="K18" s="64"/>
      <c r="L18" s="48"/>
      <c r="M18" s="48"/>
      <c r="N18" s="48"/>
      <c r="O18" s="48"/>
      <c r="P18" s="48"/>
      <c r="Q18" s="48"/>
      <c r="R18" s="49"/>
      <c r="S18" s="49"/>
      <c r="T18" s="50"/>
    </row>
    <row r="19" spans="1:20" x14ac:dyDescent="0.3">
      <c r="A19" s="121" t="s">
        <v>201</v>
      </c>
      <c r="B19" s="196"/>
      <c r="C19" s="121"/>
      <c r="D19" s="52"/>
      <c r="E19" s="51"/>
      <c r="F19" s="52"/>
      <c r="G19" s="52"/>
      <c r="H19" s="64"/>
      <c r="I19" s="64"/>
      <c r="J19" s="48"/>
      <c r="K19" s="64"/>
      <c r="L19" s="48"/>
      <c r="M19" s="48"/>
      <c r="N19" s="48"/>
      <c r="O19" s="48"/>
      <c r="P19" s="48"/>
      <c r="Q19" s="48"/>
      <c r="R19" s="49"/>
      <c r="S19" s="49"/>
      <c r="T19" s="50"/>
    </row>
    <row r="20" spans="1:20" x14ac:dyDescent="0.3">
      <c r="A20" s="121" t="s">
        <v>200</v>
      </c>
      <c r="B20" s="196"/>
      <c r="C20" s="121"/>
      <c r="D20" s="52"/>
      <c r="E20" s="51"/>
      <c r="F20" s="52"/>
      <c r="G20" s="52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2"/>
      <c r="S20" s="52"/>
      <c r="T20" s="53"/>
    </row>
    <row r="21" spans="1:20" x14ac:dyDescent="0.3">
      <c r="A21" s="121"/>
      <c r="B21" s="196"/>
      <c r="C21" s="121"/>
      <c r="D21" s="49"/>
      <c r="E21" s="51"/>
      <c r="F21" s="52"/>
      <c r="G21" s="52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2"/>
      <c r="S21" s="52"/>
      <c r="T21" s="53"/>
    </row>
    <row r="22" spans="1:20" x14ac:dyDescent="0.3">
      <c r="A22" s="121"/>
      <c r="B22" s="196"/>
      <c r="C22" s="121"/>
      <c r="D22" s="52"/>
      <c r="E22" s="51"/>
      <c r="F22" s="52"/>
      <c r="G22" s="52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2"/>
      <c r="S22" s="52"/>
      <c r="T22" s="53"/>
    </row>
    <row r="23" spans="1:20" ht="14.5" thickBot="1" x14ac:dyDescent="0.35">
      <c r="A23" s="123"/>
      <c r="B23" s="195"/>
      <c r="C23" s="123"/>
      <c r="D23" s="60"/>
      <c r="E23" s="59"/>
      <c r="F23" s="60"/>
      <c r="G23" s="60"/>
      <c r="H23" s="59"/>
      <c r="I23" s="59"/>
      <c r="J23" s="59"/>
      <c r="K23" s="51"/>
      <c r="L23" s="51"/>
      <c r="M23" s="51"/>
      <c r="N23" s="51"/>
      <c r="O23" s="51"/>
      <c r="P23" s="59"/>
      <c r="Q23" s="59"/>
      <c r="R23" s="60"/>
      <c r="S23" s="60"/>
      <c r="T23" s="61"/>
    </row>
    <row r="24" spans="1:20" ht="14.5" thickTop="1" x14ac:dyDescent="0.3">
      <c r="A24" s="126" t="s">
        <v>90</v>
      </c>
      <c r="B24" s="197"/>
      <c r="C24" s="126"/>
      <c r="D24" s="207">
        <f>D16</f>
        <v>152.34</v>
      </c>
      <c r="E24" s="118">
        <f>SUM(E17:E23)</f>
        <v>0</v>
      </c>
      <c r="F24" s="118"/>
      <c r="G24" s="118">
        <f t="shared" ref="G24:T24" si="1">SUM(G15:G23)</f>
        <v>0</v>
      </c>
      <c r="H24" s="118">
        <f t="shared" si="1"/>
        <v>0</v>
      </c>
      <c r="I24" s="118">
        <f t="shared" si="1"/>
        <v>0</v>
      </c>
      <c r="J24" s="118">
        <f t="shared" si="1"/>
        <v>0</v>
      </c>
      <c r="K24" s="118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65">
        <f t="shared" si="1"/>
        <v>0</v>
      </c>
      <c r="R24" s="140">
        <f t="shared" si="1"/>
        <v>0</v>
      </c>
      <c r="S24" s="140">
        <f t="shared" si="1"/>
        <v>0</v>
      </c>
      <c r="T24" s="138">
        <f t="shared" si="1"/>
        <v>0</v>
      </c>
    </row>
    <row r="25" spans="1:20" ht="14.5" thickBot="1" x14ac:dyDescent="0.35">
      <c r="A25" s="124" t="s">
        <v>38</v>
      </c>
      <c r="B25" s="198"/>
      <c r="C25" s="124"/>
      <c r="D25" s="141">
        <f t="shared" ref="D25:T25" si="2">D13-D24</f>
        <v>67.66</v>
      </c>
      <c r="E25" s="137">
        <f t="shared" si="2"/>
        <v>0</v>
      </c>
      <c r="F25" s="137"/>
      <c r="G25" s="137">
        <f t="shared" si="2"/>
        <v>310</v>
      </c>
      <c r="H25" s="137">
        <f t="shared" si="2"/>
        <v>46</v>
      </c>
      <c r="I25" s="137">
        <f t="shared" si="2"/>
        <v>62</v>
      </c>
      <c r="J25" s="137">
        <f t="shared" si="2"/>
        <v>169.93</v>
      </c>
      <c r="K25" s="137">
        <f t="shared" si="2"/>
        <v>83</v>
      </c>
      <c r="L25" s="137">
        <f t="shared" si="2"/>
        <v>16</v>
      </c>
      <c r="M25" s="137">
        <f t="shared" si="2"/>
        <v>211</v>
      </c>
      <c r="N25" s="137">
        <f t="shared" si="2"/>
        <v>219</v>
      </c>
      <c r="O25" s="137">
        <f t="shared" si="2"/>
        <v>0</v>
      </c>
      <c r="P25" s="137">
        <f t="shared" si="2"/>
        <v>0</v>
      </c>
      <c r="Q25" s="137">
        <f t="shared" si="2"/>
        <v>0</v>
      </c>
      <c r="R25" s="142">
        <f t="shared" si="2"/>
        <v>0</v>
      </c>
      <c r="S25" s="141">
        <f t="shared" si="2"/>
        <v>0</v>
      </c>
      <c r="T25" s="145">
        <f t="shared" si="2"/>
        <v>0</v>
      </c>
    </row>
    <row r="26" spans="1:20" x14ac:dyDescent="0.3">
      <c r="D26" s="134"/>
      <c r="E26" s="73"/>
      <c r="F26" s="73"/>
      <c r="G26" s="147"/>
      <c r="I26" s="73"/>
      <c r="J26" s="73"/>
      <c r="K26" s="73"/>
      <c r="L26" s="97"/>
      <c r="M26" s="147"/>
      <c r="N26" s="73"/>
    </row>
    <row r="27" spans="1:20" x14ac:dyDescent="0.3">
      <c r="A27" t="s">
        <v>88</v>
      </c>
      <c r="D27" s="135"/>
      <c r="G27" s="73"/>
    </row>
    <row r="28" spans="1:20" x14ac:dyDescent="0.3">
      <c r="E28" s="91">
        <f>E3*9300*5%*7</f>
        <v>250635</v>
      </c>
      <c r="G28" s="66"/>
      <c r="H28" s="91"/>
      <c r="I28" s="266">
        <f>12.87+74.31</f>
        <v>87.18</v>
      </c>
      <c r="J28">
        <f>10800*5%</f>
        <v>540</v>
      </c>
      <c r="L28" s="91"/>
    </row>
    <row r="29" spans="1:20" x14ac:dyDescent="0.3">
      <c r="E29" s="38">
        <f>375-E24-G24-J24</f>
        <v>375</v>
      </c>
      <c r="F29" s="38"/>
      <c r="G29" s="66"/>
      <c r="H29" s="91"/>
      <c r="I29" s="266">
        <f>152.34-I28</f>
        <v>65.16</v>
      </c>
      <c r="K29">
        <v>55000</v>
      </c>
    </row>
    <row r="30" spans="1:20" x14ac:dyDescent="0.3">
      <c r="I30" s="267">
        <f>SUM(I28:I29)</f>
        <v>152.34</v>
      </c>
      <c r="K30">
        <f>K29*7</f>
        <v>385000</v>
      </c>
      <c r="O30" s="91"/>
      <c r="P30" s="91"/>
    </row>
    <row r="31" spans="1:20" x14ac:dyDescent="0.3">
      <c r="A31" s="67" t="s">
        <v>39</v>
      </c>
      <c r="B31" s="67"/>
      <c r="C31" s="67"/>
      <c r="D31" s="68"/>
      <c r="M31" s="91"/>
      <c r="O31" s="17"/>
    </row>
    <row r="32" spans="1:20" x14ac:dyDescent="0.3">
      <c r="A32" t="s">
        <v>14</v>
      </c>
      <c r="E32" s="69">
        <f>-D13</f>
        <v>-220</v>
      </c>
      <c r="F32" s="69"/>
      <c r="H32" s="72"/>
      <c r="I32" s="72"/>
      <c r="M32" s="91"/>
    </row>
    <row r="33" spans="1:11" x14ac:dyDescent="0.3">
      <c r="A33" t="s">
        <v>15</v>
      </c>
      <c r="E33" s="17">
        <f>-E13</f>
        <v>0</v>
      </c>
      <c r="H33" s="72"/>
    </row>
    <row r="34" spans="1:11" x14ac:dyDescent="0.3">
      <c r="A34" t="s">
        <v>18</v>
      </c>
      <c r="E34" s="17">
        <f>J24</f>
        <v>0</v>
      </c>
    </row>
    <row r="35" spans="1:11" x14ac:dyDescent="0.3">
      <c r="A35" s="40" t="s">
        <v>8</v>
      </c>
      <c r="B35" s="40"/>
      <c r="C35" s="40"/>
      <c r="D35" s="40"/>
      <c r="E35" s="23">
        <f>SUM(E31:E34)</f>
        <v>-220</v>
      </c>
      <c r="F35" s="19"/>
      <c r="K35" s="72"/>
    </row>
    <row r="36" spans="1:11" x14ac:dyDescent="0.3">
      <c r="A36" t="s">
        <v>40</v>
      </c>
      <c r="E36" s="38">
        <v>375</v>
      </c>
      <c r="F36" s="38"/>
      <c r="I36" s="91"/>
    </row>
    <row r="37" spans="1:11" x14ac:dyDescent="0.3">
      <c r="A37" s="40" t="s">
        <v>41</v>
      </c>
      <c r="B37" s="40"/>
      <c r="C37" s="40"/>
      <c r="D37" s="40"/>
      <c r="E37" s="23">
        <f>SUM(E35:E36)</f>
        <v>155</v>
      </c>
      <c r="F37" s="19"/>
    </row>
    <row r="38" spans="1:11" x14ac:dyDescent="0.3">
      <c r="A38" t="s">
        <v>42</v>
      </c>
      <c r="E38" s="17">
        <f>-E24-G24-J24</f>
        <v>0</v>
      </c>
    </row>
    <row r="39" spans="1:11" x14ac:dyDescent="0.3">
      <c r="A39" s="40" t="s">
        <v>43</v>
      </c>
      <c r="B39" s="40"/>
      <c r="C39" s="40"/>
      <c r="D39" s="40"/>
      <c r="E39" s="70">
        <f>SUM(E37:E38)</f>
        <v>155</v>
      </c>
      <c r="F39" s="258"/>
    </row>
    <row r="43" spans="1:11" x14ac:dyDescent="0.3">
      <c r="A43" s="129" t="s">
        <v>77</v>
      </c>
      <c r="B43" s="129"/>
      <c r="C43" s="129"/>
    </row>
    <row r="44" spans="1:11" ht="17" x14ac:dyDescent="0.6">
      <c r="A44" s="39" t="s">
        <v>78</v>
      </c>
      <c r="B44" s="39"/>
      <c r="C44" s="39"/>
      <c r="D44" s="39" t="s">
        <v>80</v>
      </c>
      <c r="E44" s="130" t="s">
        <v>81</v>
      </c>
      <c r="F44" s="130"/>
      <c r="G44" s="39" t="s">
        <v>84</v>
      </c>
      <c r="H44" s="39"/>
      <c r="I44" s="17"/>
      <c r="J44" s="17"/>
    </row>
    <row r="45" spans="1:11" x14ac:dyDescent="0.3">
      <c r="A45" t="s">
        <v>44</v>
      </c>
      <c r="G45" s="91">
        <f>E45-D45</f>
        <v>0</v>
      </c>
    </row>
    <row r="46" spans="1:11" x14ac:dyDescent="0.3">
      <c r="A46" t="s">
        <v>79</v>
      </c>
      <c r="G46" s="91">
        <f>E46-D46</f>
        <v>0</v>
      </c>
    </row>
    <row r="47" spans="1:11" x14ac:dyDescent="0.3">
      <c r="A47" s="107" t="s">
        <v>82</v>
      </c>
      <c r="B47" s="107"/>
      <c r="C47" s="107"/>
      <c r="D47" s="107">
        <f>SUM(D45:D46)</f>
        <v>0</v>
      </c>
      <c r="E47" s="70">
        <f>SUM(E45:E46)</f>
        <v>0</v>
      </c>
      <c r="F47" s="70"/>
      <c r="G47" s="131">
        <f>E47-D47</f>
        <v>0</v>
      </c>
    </row>
    <row r="49" spans="1:11" ht="17" x14ac:dyDescent="0.6">
      <c r="A49" s="39" t="s">
        <v>83</v>
      </c>
      <c r="B49" s="39"/>
      <c r="C49" s="39"/>
      <c r="D49" s="39" t="s">
        <v>80</v>
      </c>
      <c r="E49" s="130" t="s">
        <v>81</v>
      </c>
      <c r="F49" s="130"/>
      <c r="G49" s="39" t="s">
        <v>84</v>
      </c>
    </row>
    <row r="50" spans="1:11" x14ac:dyDescent="0.3">
      <c r="A50" t="s">
        <v>44</v>
      </c>
      <c r="G50" s="91">
        <f>E50-D50</f>
        <v>0</v>
      </c>
      <c r="H50" s="39"/>
      <c r="K50" s="17"/>
    </row>
    <row r="51" spans="1:11" x14ac:dyDescent="0.3">
      <c r="A51" t="s">
        <v>79</v>
      </c>
      <c r="G51" s="91">
        <f>E51-D51</f>
        <v>0</v>
      </c>
    </row>
    <row r="52" spans="1:11" x14ac:dyDescent="0.3">
      <c r="A52" s="107" t="s">
        <v>82</v>
      </c>
      <c r="B52" s="107"/>
      <c r="C52" s="107"/>
      <c r="D52" s="107">
        <f>SUM(D50:D51)</f>
        <v>0</v>
      </c>
      <c r="E52" s="70">
        <f>SUM(E50:E51)</f>
        <v>0</v>
      </c>
      <c r="F52" s="70"/>
      <c r="G52" s="131">
        <f>E52-D52</f>
        <v>0</v>
      </c>
      <c r="K52" s="146"/>
    </row>
    <row r="54" spans="1:11" x14ac:dyDescent="0.3">
      <c r="A54" s="132" t="s">
        <v>8</v>
      </c>
      <c r="B54" s="132"/>
      <c r="C54" s="132"/>
      <c r="D54" s="132">
        <f>D52+D47</f>
        <v>0</v>
      </c>
      <c r="E54" s="132">
        <f>E52+E47</f>
        <v>0</v>
      </c>
      <c r="F54" s="132"/>
      <c r="G54" s="133">
        <f>G52+G47</f>
        <v>0</v>
      </c>
    </row>
    <row r="58" spans="1:11" x14ac:dyDescent="0.3">
      <c r="H58" s="39"/>
      <c r="K58" s="17"/>
    </row>
    <row r="60" spans="1:11" x14ac:dyDescent="0.3">
      <c r="K60" s="14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6"/>
  <sheetViews>
    <sheetView rightToLeft="1" zoomScale="175" zoomScaleNormal="175" workbookViewId="0">
      <selection activeCell="E11" sqref="E11"/>
    </sheetView>
  </sheetViews>
  <sheetFormatPr defaultRowHeight="14" x14ac:dyDescent="0.3"/>
  <cols>
    <col min="2" max="2" width="11.5" bestFit="1" customWidth="1"/>
    <col min="3" max="3" width="9.9140625" bestFit="1" customWidth="1"/>
  </cols>
  <sheetData>
    <row r="2" spans="1:6" x14ac:dyDescent="0.3">
      <c r="A2" s="39" t="s">
        <v>167</v>
      </c>
      <c r="B2" s="39" t="s">
        <v>168</v>
      </c>
      <c r="C2" s="39" t="s">
        <v>136</v>
      </c>
      <c r="D2" s="39" t="s">
        <v>169</v>
      </c>
    </row>
    <row r="3" spans="1:6" x14ac:dyDescent="0.3">
      <c r="A3" t="s">
        <v>171</v>
      </c>
      <c r="B3" t="s">
        <v>249</v>
      </c>
      <c r="C3" s="187">
        <v>45433</v>
      </c>
      <c r="D3">
        <v>3.5</v>
      </c>
      <c r="E3" t="s">
        <v>172</v>
      </c>
      <c r="F3" t="s">
        <v>173</v>
      </c>
    </row>
    <row r="4" spans="1:6" x14ac:dyDescent="0.3">
      <c r="A4" t="s">
        <v>171</v>
      </c>
      <c r="B4" t="s">
        <v>250</v>
      </c>
      <c r="C4" s="187">
        <v>44918</v>
      </c>
      <c r="D4">
        <v>500</v>
      </c>
      <c r="E4" t="s">
        <v>170</v>
      </c>
    </row>
    <row r="5" spans="1:6" x14ac:dyDescent="0.3">
      <c r="A5" t="s">
        <v>246</v>
      </c>
      <c r="B5" t="s">
        <v>247</v>
      </c>
      <c r="C5" s="74">
        <v>2004</v>
      </c>
      <c r="D5" t="s">
        <v>215</v>
      </c>
      <c r="E5" t="s">
        <v>248</v>
      </c>
    </row>
    <row r="6" spans="1:6" x14ac:dyDescent="0.3">
      <c r="A6" t="s">
        <v>171</v>
      </c>
      <c r="B6" t="s">
        <v>245</v>
      </c>
      <c r="C6" s="187">
        <v>25723</v>
      </c>
      <c r="D6" s="211">
        <v>2</v>
      </c>
      <c r="E6" t="s">
        <v>172</v>
      </c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4" x14ac:dyDescent="0.3"/>
  <cols>
    <col min="1" max="1" width="1.6640625" customWidth="1"/>
    <col min="2" max="2" width="18.1640625" customWidth="1"/>
    <col min="3" max="3" width="13" bestFit="1" customWidth="1"/>
    <col min="4" max="4" width="10.58203125" bestFit="1" customWidth="1"/>
    <col min="5" max="5" width="9.5" bestFit="1" customWidth="1"/>
    <col min="6" max="6" width="11.6640625" bestFit="1" customWidth="1"/>
  </cols>
  <sheetData>
    <row r="1" spans="2:10" ht="4.5" customHeight="1" thickBot="1" x14ac:dyDescent="0.35"/>
    <row r="2" spans="2:10" ht="14.5" thickBot="1" x14ac:dyDescent="0.35">
      <c r="B2" s="335" t="s">
        <v>120</v>
      </c>
      <c r="C2" s="336"/>
      <c r="D2" s="336"/>
      <c r="E2" s="336"/>
      <c r="F2" s="337"/>
    </row>
    <row r="3" spans="2:10" ht="14.5" thickBot="1" x14ac:dyDescent="0.35">
      <c r="B3" s="151" t="s">
        <v>49</v>
      </c>
      <c r="C3" s="338" t="s">
        <v>44</v>
      </c>
      <c r="D3" s="339"/>
      <c r="E3" s="338" t="s">
        <v>102</v>
      </c>
      <c r="F3" s="340"/>
    </row>
    <row r="4" spans="2:10" x14ac:dyDescent="0.3">
      <c r="B4" s="166" t="s">
        <v>103</v>
      </c>
      <c r="C4" s="352">
        <v>0</v>
      </c>
      <c r="D4" s="353"/>
      <c r="E4" s="352">
        <v>0</v>
      </c>
      <c r="F4" s="354"/>
    </row>
    <row r="5" spans="2:10" x14ac:dyDescent="0.3">
      <c r="B5" s="171" t="s">
        <v>104</v>
      </c>
      <c r="C5" s="352">
        <v>140000</v>
      </c>
      <c r="D5" s="353"/>
      <c r="E5" s="352">
        <f>6000*2</f>
        <v>12000</v>
      </c>
      <c r="F5" s="354"/>
    </row>
    <row r="6" spans="2:10" ht="28" x14ac:dyDescent="0.3">
      <c r="B6" s="171" t="s">
        <v>116</v>
      </c>
      <c r="C6" s="352">
        <f>46500*7</f>
        <v>325500</v>
      </c>
      <c r="D6" s="353"/>
      <c r="E6" s="352">
        <v>0</v>
      </c>
      <c r="F6" s="354"/>
    </row>
    <row r="7" spans="2:10" x14ac:dyDescent="0.3">
      <c r="B7" s="171" t="s">
        <v>105</v>
      </c>
      <c r="C7" s="352">
        <f>13000*7</f>
        <v>91000</v>
      </c>
      <c r="D7" s="353"/>
      <c r="E7" s="352">
        <f>4000*7</f>
        <v>28000</v>
      </c>
      <c r="F7" s="354"/>
    </row>
    <row r="8" spans="2:10" ht="14.5" thickBot="1" x14ac:dyDescent="0.35">
      <c r="B8" s="157" t="s">
        <v>106</v>
      </c>
      <c r="C8" s="352">
        <f>65000*7</f>
        <v>455000</v>
      </c>
      <c r="D8" s="353"/>
      <c r="E8" s="352">
        <v>50000</v>
      </c>
      <c r="F8" s="354"/>
      <c r="J8" t="s">
        <v>165</v>
      </c>
    </row>
    <row r="9" spans="2:10" ht="14.5" thickBot="1" x14ac:dyDescent="0.35">
      <c r="B9" s="335" t="s">
        <v>119</v>
      </c>
      <c r="C9" s="336"/>
      <c r="D9" s="336"/>
      <c r="E9" s="336"/>
      <c r="F9" s="337"/>
      <c r="J9" t="s">
        <v>166</v>
      </c>
    </row>
    <row r="10" spans="2:10" ht="17.5" thickBot="1" x14ac:dyDescent="0.35">
      <c r="B10" s="152" t="s">
        <v>114</v>
      </c>
      <c r="C10" s="153" t="s">
        <v>112</v>
      </c>
      <c r="D10" s="154" t="s">
        <v>109</v>
      </c>
      <c r="E10" s="155" t="s">
        <v>110</v>
      </c>
      <c r="F10" s="156" t="s">
        <v>111</v>
      </c>
    </row>
    <row r="11" spans="2:10" x14ac:dyDescent="0.3">
      <c r="B11" s="166" t="s">
        <v>103</v>
      </c>
      <c r="C11" s="183">
        <f>197-160</f>
        <v>37</v>
      </c>
      <c r="D11" s="178">
        <f>C11*6605</f>
        <v>244385</v>
      </c>
      <c r="E11" s="183">
        <v>35</v>
      </c>
      <c r="F11" s="179">
        <f>E11*6605/2</f>
        <v>115587.5</v>
      </c>
    </row>
    <row r="12" spans="2:10" x14ac:dyDescent="0.3">
      <c r="B12" s="171" t="s">
        <v>104</v>
      </c>
      <c r="C12" s="184">
        <v>0</v>
      </c>
      <c r="D12" s="182">
        <v>0</v>
      </c>
      <c r="E12" s="184">
        <f>147+24-160</f>
        <v>11</v>
      </c>
      <c r="F12" s="177">
        <f>E12*6605/2</f>
        <v>36327.5</v>
      </c>
    </row>
    <row r="13" spans="2:10" x14ac:dyDescent="0.3">
      <c r="B13" s="180" t="s">
        <v>107</v>
      </c>
      <c r="C13" s="344" t="s">
        <v>113</v>
      </c>
      <c r="D13" s="344"/>
      <c r="E13" s="344"/>
      <c r="F13" s="345"/>
    </row>
    <row r="14" spans="2:10" x14ac:dyDescent="0.3">
      <c r="B14" s="181" t="s">
        <v>105</v>
      </c>
      <c r="C14" s="344" t="s">
        <v>115</v>
      </c>
      <c r="D14" s="344"/>
      <c r="E14" s="344"/>
      <c r="F14" s="345"/>
    </row>
    <row r="15" spans="2:10" ht="14.5" thickBot="1" x14ac:dyDescent="0.35">
      <c r="B15" s="157" t="s">
        <v>106</v>
      </c>
      <c r="C15" s="346" t="s">
        <v>117</v>
      </c>
      <c r="D15" s="347"/>
      <c r="E15" s="347"/>
      <c r="F15" s="348"/>
    </row>
    <row r="16" spans="2:10" ht="14.5" thickBot="1" x14ac:dyDescent="0.35"/>
    <row r="17" spans="2:6" ht="14.5" thickBot="1" x14ac:dyDescent="0.35">
      <c r="B17" s="335" t="s">
        <v>101</v>
      </c>
      <c r="C17" s="336"/>
      <c r="D17" s="336"/>
      <c r="E17" s="336"/>
      <c r="F17" s="337"/>
    </row>
    <row r="18" spans="2:6" ht="14.5" thickBot="1" x14ac:dyDescent="0.35">
      <c r="B18" s="151" t="s">
        <v>108</v>
      </c>
      <c r="C18" s="338" t="s">
        <v>44</v>
      </c>
      <c r="D18" s="339"/>
      <c r="E18" s="338" t="s">
        <v>102</v>
      </c>
      <c r="F18" s="340"/>
    </row>
    <row r="19" spans="2:6" x14ac:dyDescent="0.3">
      <c r="B19" s="166" t="s">
        <v>103</v>
      </c>
      <c r="C19" s="349">
        <v>0</v>
      </c>
      <c r="D19" s="350"/>
      <c r="E19" s="349">
        <v>0</v>
      </c>
      <c r="F19" s="351"/>
    </row>
    <row r="20" spans="2:6" x14ac:dyDescent="0.3">
      <c r="B20" s="171" t="s">
        <v>104</v>
      </c>
      <c r="C20" s="366">
        <v>70000</v>
      </c>
      <c r="D20" s="367"/>
      <c r="E20" s="368">
        <f>6000*7</f>
        <v>42000</v>
      </c>
      <c r="F20" s="369"/>
    </row>
    <row r="21" spans="2:6" x14ac:dyDescent="0.3">
      <c r="B21" s="175" t="s">
        <v>107</v>
      </c>
      <c r="C21" s="366">
        <f>46500*7</f>
        <v>325500</v>
      </c>
      <c r="D21" s="367"/>
      <c r="E21" s="366">
        <v>0</v>
      </c>
      <c r="F21" s="370"/>
    </row>
    <row r="22" spans="2:6" x14ac:dyDescent="0.3">
      <c r="B22" s="171" t="s">
        <v>105</v>
      </c>
      <c r="C22" s="366">
        <f>13000*7</f>
        <v>91000</v>
      </c>
      <c r="D22" s="367"/>
      <c r="E22" s="366">
        <f>4000*7</f>
        <v>28000</v>
      </c>
      <c r="F22" s="370"/>
    </row>
    <row r="23" spans="2:6" ht="14.5" thickBot="1" x14ac:dyDescent="0.35">
      <c r="B23" s="157" t="s">
        <v>106</v>
      </c>
      <c r="C23" s="341">
        <f>65000*7</f>
        <v>455000</v>
      </c>
      <c r="D23" s="342"/>
      <c r="E23" s="341">
        <f>7000*7</f>
        <v>49000</v>
      </c>
      <c r="F23" s="343"/>
    </row>
    <row r="24" spans="2:6" ht="14.5" thickBot="1" x14ac:dyDescent="0.35">
      <c r="B24" s="162"/>
      <c r="C24" s="163"/>
      <c r="D24" s="164"/>
      <c r="E24" s="164"/>
      <c r="F24" s="165"/>
    </row>
    <row r="25" spans="2:6" ht="17.5" thickBot="1" x14ac:dyDescent="0.35">
      <c r="B25" s="152" t="s">
        <v>114</v>
      </c>
      <c r="C25" s="153" t="s">
        <v>112</v>
      </c>
      <c r="D25" s="154" t="s">
        <v>109</v>
      </c>
      <c r="E25" s="155" t="s">
        <v>110</v>
      </c>
      <c r="F25" s="156" t="s">
        <v>111</v>
      </c>
    </row>
    <row r="26" spans="2:6" x14ac:dyDescent="0.3">
      <c r="B26" s="166" t="s">
        <v>103</v>
      </c>
      <c r="C26" s="167">
        <f>197-160</f>
        <v>37</v>
      </c>
      <c r="D26" s="168">
        <f>C26*6605</f>
        <v>244385</v>
      </c>
      <c r="E26" s="169">
        <v>35</v>
      </c>
      <c r="F26" s="170">
        <f>E26*6605/2</f>
        <v>115587.5</v>
      </c>
    </row>
    <row r="27" spans="2:6" x14ac:dyDescent="0.3">
      <c r="B27" s="171" t="s">
        <v>104</v>
      </c>
      <c r="C27" s="172">
        <v>0</v>
      </c>
      <c r="D27" s="173">
        <f>C27*6605</f>
        <v>0</v>
      </c>
      <c r="E27" s="176">
        <f>147+24-160</f>
        <v>11</v>
      </c>
      <c r="F27" s="174">
        <f>E27*6605/2</f>
        <v>36327.5</v>
      </c>
    </row>
    <row r="28" spans="2:6" x14ac:dyDescent="0.3">
      <c r="B28" s="175" t="s">
        <v>107</v>
      </c>
      <c r="C28" s="364" t="s">
        <v>113</v>
      </c>
      <c r="D28" s="364"/>
      <c r="E28" s="364"/>
      <c r="F28" s="365"/>
    </row>
    <row r="29" spans="2:6" x14ac:dyDescent="0.3">
      <c r="B29" s="171" t="s">
        <v>105</v>
      </c>
      <c r="C29" s="172">
        <v>0</v>
      </c>
      <c r="D29" s="173">
        <v>0</v>
      </c>
      <c r="E29" s="172">
        <v>0</v>
      </c>
      <c r="F29" s="174">
        <v>0</v>
      </c>
    </row>
    <row r="30" spans="2:6" ht="14.5" thickBot="1" x14ac:dyDescent="0.35">
      <c r="B30" s="157" t="s">
        <v>106</v>
      </c>
      <c r="C30" s="158">
        <v>0</v>
      </c>
      <c r="D30" s="159">
        <v>0</v>
      </c>
      <c r="E30" s="160">
        <f>139+31-160</f>
        <v>10</v>
      </c>
      <c r="F30" s="161">
        <f>E30*6605/2</f>
        <v>33025</v>
      </c>
    </row>
    <row r="34" spans="2:6" ht="14.5" thickBot="1" x14ac:dyDescent="0.35"/>
    <row r="35" spans="2:6" ht="14.5" thickBot="1" x14ac:dyDescent="0.35">
      <c r="B35" s="335" t="s">
        <v>118</v>
      </c>
      <c r="C35" s="336"/>
      <c r="D35" s="336"/>
      <c r="E35" s="336"/>
      <c r="F35" s="337"/>
    </row>
    <row r="36" spans="2:6" ht="14.5" thickBot="1" x14ac:dyDescent="0.35">
      <c r="B36" s="151" t="s">
        <v>121</v>
      </c>
      <c r="C36" s="338" t="s">
        <v>44</v>
      </c>
      <c r="D36" s="339"/>
      <c r="E36" s="338" t="s">
        <v>102</v>
      </c>
      <c r="F36" s="340"/>
    </row>
    <row r="37" spans="2:6" x14ac:dyDescent="0.3">
      <c r="B37" s="166" t="s">
        <v>122</v>
      </c>
      <c r="C37" s="355" t="s">
        <v>125</v>
      </c>
      <c r="D37" s="356"/>
      <c r="E37" s="356"/>
      <c r="F37" s="357"/>
    </row>
    <row r="38" spans="2:6" x14ac:dyDescent="0.3">
      <c r="B38" s="171" t="s">
        <v>123</v>
      </c>
      <c r="C38" s="358" t="s">
        <v>124</v>
      </c>
      <c r="D38" s="359"/>
      <c r="E38" s="359"/>
      <c r="F38" s="360"/>
    </row>
    <row r="39" spans="2:6" x14ac:dyDescent="0.3">
      <c r="B39" s="171" t="s">
        <v>126</v>
      </c>
      <c r="C39" s="358" t="s">
        <v>127</v>
      </c>
      <c r="D39" s="359"/>
      <c r="E39" s="359"/>
      <c r="F39" s="360"/>
    </row>
    <row r="40" spans="2:6" ht="14.5" thickBot="1" x14ac:dyDescent="0.35">
      <c r="B40" s="157" t="s">
        <v>128</v>
      </c>
      <c r="C40" s="361" t="s">
        <v>129</v>
      </c>
      <c r="D40" s="362"/>
      <c r="E40" s="362"/>
      <c r="F40" s="363"/>
    </row>
  </sheetData>
  <mergeCells count="38"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  <mergeCell ref="B9:F9"/>
    <mergeCell ref="E3:F3"/>
    <mergeCell ref="E4:F4"/>
    <mergeCell ref="E5:F5"/>
    <mergeCell ref="E6:F6"/>
    <mergeCell ref="E7:F7"/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4" x14ac:dyDescent="0.3"/>
  <cols>
    <col min="1" max="1" width="20.58203125" customWidth="1"/>
    <col min="2" max="2" width="10.5" bestFit="1" customWidth="1"/>
    <col min="3" max="3" width="14.58203125" customWidth="1"/>
    <col min="6" max="7" width="14.1640625" customWidth="1"/>
    <col min="8" max="8" width="11.08203125" bestFit="1" customWidth="1"/>
    <col min="9" max="9" width="13.5" bestFit="1" customWidth="1"/>
    <col min="10" max="10" width="13" bestFit="1" customWidth="1"/>
    <col min="11" max="11" width="12.5" bestFit="1" customWidth="1"/>
    <col min="12" max="12" width="11.08203125" bestFit="1" customWidth="1"/>
    <col min="14" max="14" width="9.4140625" customWidth="1"/>
  </cols>
  <sheetData>
    <row r="2" spans="1:14" x14ac:dyDescent="0.3">
      <c r="A2" t="s">
        <v>174</v>
      </c>
      <c r="B2" t="s">
        <v>175</v>
      </c>
    </row>
    <row r="3" spans="1:14" x14ac:dyDescent="0.3">
      <c r="B3" t="s">
        <v>44</v>
      </c>
    </row>
    <row r="7" spans="1:14" x14ac:dyDescent="0.3">
      <c r="N7" t="s">
        <v>176</v>
      </c>
    </row>
    <row r="8" spans="1:14" x14ac:dyDescent="0.3">
      <c r="A8" t="s">
        <v>177</v>
      </c>
      <c r="N8" t="s">
        <v>178</v>
      </c>
    </row>
    <row r="9" spans="1:14" x14ac:dyDescent="0.3">
      <c r="A9" t="s">
        <v>179</v>
      </c>
      <c r="D9" s="212" t="s">
        <v>180</v>
      </c>
      <c r="E9" s="212"/>
      <c r="N9" t="s">
        <v>181</v>
      </c>
    </row>
    <row r="10" spans="1:14" x14ac:dyDescent="0.3">
      <c r="N10" t="s">
        <v>182</v>
      </c>
    </row>
    <row r="15" spans="1:14" x14ac:dyDescent="0.3">
      <c r="A15" t="s">
        <v>183</v>
      </c>
      <c r="B15" t="s">
        <v>184</v>
      </c>
    </row>
    <row r="19" spans="1:12" x14ac:dyDescent="0.3">
      <c r="A19" s="39" t="s">
        <v>185</v>
      </c>
      <c r="B19" s="39" t="s">
        <v>176</v>
      </c>
      <c r="C19" s="39" t="s">
        <v>80</v>
      </c>
      <c r="D19" s="39" t="s">
        <v>186</v>
      </c>
      <c r="E19" s="39" t="s">
        <v>187</v>
      </c>
      <c r="F19" s="39" t="s">
        <v>188</v>
      </c>
      <c r="G19" s="39" t="s">
        <v>21</v>
      </c>
      <c r="H19" s="39" t="s">
        <v>189</v>
      </c>
      <c r="I19" s="39" t="s">
        <v>190</v>
      </c>
      <c r="J19" s="39" t="s">
        <v>191</v>
      </c>
      <c r="K19" s="39" t="s">
        <v>192</v>
      </c>
      <c r="L19" s="39" t="s">
        <v>193</v>
      </c>
    </row>
    <row r="20" spans="1:12" x14ac:dyDescent="0.3">
      <c r="A20" t="s">
        <v>194</v>
      </c>
      <c r="H20" s="148">
        <f>'תחשיב לפי שווי שומה (2)'!B8</f>
        <v>9000</v>
      </c>
      <c r="I20" s="189">
        <v>0</v>
      </c>
      <c r="J20" s="149">
        <f>D20*G20*H20*I20</f>
        <v>0</v>
      </c>
      <c r="K20" s="189">
        <v>0.51</v>
      </c>
      <c r="L20" s="148">
        <f>'[1]תחשיב לפי שווי שומה (2)'!$B$26*G20</f>
        <v>0</v>
      </c>
    </row>
    <row r="21" spans="1:12" x14ac:dyDescent="0.3">
      <c r="A21" t="s">
        <v>195</v>
      </c>
      <c r="H21" s="149">
        <f>H20</f>
        <v>9000</v>
      </c>
      <c r="I21" s="189">
        <v>0</v>
      </c>
      <c r="J21" s="149">
        <f>D21*G21*H21*I21</f>
        <v>0</v>
      </c>
      <c r="K21" s="189">
        <v>0.51</v>
      </c>
      <c r="L21" s="148">
        <f>'[1]תחשיב לפי שווי שומה (2)'!$B$26*G21</f>
        <v>0</v>
      </c>
    </row>
    <row r="22" spans="1:12" x14ac:dyDescent="0.3">
      <c r="A22" t="s">
        <v>196</v>
      </c>
      <c r="H22" s="149">
        <f>H21</f>
        <v>9000</v>
      </c>
      <c r="I22" s="189">
        <v>0.05</v>
      </c>
      <c r="J22" s="149">
        <f>D22*G22*H22*I22</f>
        <v>0</v>
      </c>
      <c r="K22" s="189">
        <v>0.51</v>
      </c>
      <c r="L22" s="148">
        <f>'[1]תחשיב לפי שווי שומה (2)'!$B$26*G22</f>
        <v>0</v>
      </c>
    </row>
    <row r="23" spans="1:12" x14ac:dyDescent="0.3">
      <c r="A23" t="s">
        <v>197</v>
      </c>
      <c r="H23" s="149">
        <f>H22</f>
        <v>9000</v>
      </c>
      <c r="I23" s="189">
        <v>0.05</v>
      </c>
      <c r="J23" s="149">
        <f>D23*G23*H23*I23</f>
        <v>0</v>
      </c>
      <c r="K23" s="189">
        <v>0.51</v>
      </c>
      <c r="L23" s="148">
        <f>'[1]תחשיב לפי שווי שומה (2)'!$B$26*G23</f>
        <v>0</v>
      </c>
    </row>
    <row r="24" spans="1:12" x14ac:dyDescent="0.3">
      <c r="A24" t="s">
        <v>198</v>
      </c>
      <c r="H24" s="149"/>
      <c r="I24" s="189">
        <v>0.05</v>
      </c>
      <c r="J24" s="149">
        <f>D24*G24*H24*I24</f>
        <v>0</v>
      </c>
      <c r="K24" s="189">
        <v>0.51</v>
      </c>
      <c r="L24" s="148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Props1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תחשיב לפי שווי שומה (2)</vt:lpstr>
      <vt:lpstr>סיכום עלויות פיצולים</vt:lpstr>
      <vt:lpstr>מ"ר אקו' נחלה</vt:lpstr>
      <vt:lpstr>תחשיבי הסדרה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Ofir Avioz</cp:lastModifiedBy>
  <cp:lastPrinted>2021-12-23T08:27:36Z</cp:lastPrinted>
  <dcterms:created xsi:type="dcterms:W3CDTF">2021-03-08T14:46:48Z</dcterms:created>
  <dcterms:modified xsi:type="dcterms:W3CDTF">2026-01-20T10:04:18Z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