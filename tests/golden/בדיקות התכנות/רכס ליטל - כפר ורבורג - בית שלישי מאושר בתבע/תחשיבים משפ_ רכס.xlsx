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רכס ליטל - כפר ורבורג/פרוייקט בדיקת התכנות/בדיקת התכנות/"/>
    </mc:Choice>
  </mc:AlternateContent>
  <xr:revisionPtr revIDLastSave="418" documentId="8_{E9A5D54E-385F-4F6C-AF2C-D62B03C85759}" xr6:coauthVersionLast="47" xr6:coauthVersionMax="47" xr10:uidLastSave="{152D26A9-2822-4DF7-B1FA-C897D53347F1}"/>
  <bookViews>
    <workbookView xWindow="-28920" yWindow="-120" windowWidth="29040" windowHeight="15720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0" l="1"/>
  <c r="K35" i="10"/>
  <c r="D128" i="3"/>
  <c r="D127" i="3"/>
  <c r="D125" i="3"/>
  <c r="L22" i="10"/>
  <c r="K37" i="10"/>
  <c r="K33" i="10"/>
  <c r="K32" i="10"/>
  <c r="K31" i="10"/>
  <c r="L16" i="10"/>
  <c r="J16" i="10"/>
  <c r="J20" i="10" s="1"/>
  <c r="B68" i="3"/>
  <c r="B69" i="3" s="1"/>
  <c r="B70" i="3" s="1"/>
  <c r="D70" i="3" s="1"/>
  <c r="D66" i="3"/>
  <c r="D65" i="3"/>
  <c r="D64" i="3"/>
  <c r="D63" i="3"/>
  <c r="D62" i="3"/>
  <c r="J101" i="3"/>
  <c r="J98" i="3"/>
  <c r="J97" i="3"/>
  <c r="J96" i="3"/>
  <c r="D97" i="3"/>
  <c r="D96" i="3"/>
  <c r="B52" i="3"/>
  <c r="B54" i="3" s="1"/>
  <c r="B6" i="3"/>
  <c r="B8" i="3" s="1"/>
  <c r="D3" i="4"/>
  <c r="C7" i="5"/>
  <c r="E33" i="5"/>
  <c r="E30" i="5"/>
  <c r="C29" i="5"/>
  <c r="E29" i="5" s="1"/>
  <c r="E27" i="5"/>
  <c r="C26" i="5"/>
  <c r="C31" i="5" s="1"/>
  <c r="E31" i="5" s="1"/>
  <c r="F3" i="4"/>
  <c r="H13" i="4"/>
  <c r="D13" i="4"/>
  <c r="E13" i="4"/>
  <c r="G13" i="4"/>
  <c r="I26" i="11"/>
  <c r="J26" i="11"/>
  <c r="H26" i="11"/>
  <c r="S56" i="3"/>
  <c r="W54" i="3"/>
  <c r="U54" i="3"/>
  <c r="Y54" i="3" s="1"/>
  <c r="U52" i="3"/>
  <c r="Y52" i="3" s="1"/>
  <c r="S50" i="3"/>
  <c r="U50" i="3" s="1"/>
  <c r="S49" i="3"/>
  <c r="U49" i="3" s="1"/>
  <c r="S48" i="3"/>
  <c r="U48" i="3" s="1"/>
  <c r="S47" i="3"/>
  <c r="G49" i="3"/>
  <c r="D36" i="3"/>
  <c r="D38" i="3" s="1"/>
  <c r="L24" i="9"/>
  <c r="J24" i="9"/>
  <c r="L23" i="9"/>
  <c r="L22" i="9"/>
  <c r="L21" i="9"/>
  <c r="L20" i="9"/>
  <c r="C42" i="6"/>
  <c r="B8" i="6"/>
  <c r="H20" i="9" s="1"/>
  <c r="H21" i="9" s="1"/>
  <c r="K36" i="10" l="1"/>
  <c r="K38" i="10" s="1"/>
  <c r="K40" i="10" s="1"/>
  <c r="K42" i="10" s="1"/>
  <c r="D71" i="3"/>
  <c r="D98" i="3"/>
  <c r="J99" i="3"/>
  <c r="J100" i="3" s="1"/>
  <c r="J102" i="3" s="1"/>
  <c r="W47" i="3"/>
  <c r="W58" i="3" s="1"/>
  <c r="S51" i="3"/>
  <c r="S53" i="3" s="1"/>
  <c r="S55" i="3" s="1"/>
  <c r="S57" i="3" s="1"/>
  <c r="C28" i="5"/>
  <c r="E28" i="5" s="1"/>
  <c r="E26" i="5"/>
  <c r="Y58" i="3"/>
  <c r="U47" i="3"/>
  <c r="U51" i="3" s="1"/>
  <c r="U58" i="3" s="1"/>
  <c r="L20" i="10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F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E32" i="5" l="1"/>
  <c r="E34" i="5" s="1"/>
  <c r="E35" i="5" s="1"/>
  <c r="D114" i="3"/>
  <c r="D110" i="3"/>
  <c r="D112" i="3" s="1"/>
  <c r="H23" i="9"/>
  <c r="J23" i="9" s="1"/>
  <c r="J22" i="9"/>
  <c r="D42" i="6"/>
  <c r="C35" i="6"/>
  <c r="D35" i="6" s="1"/>
  <c r="G25" i="4"/>
  <c r="I25" i="4"/>
  <c r="H25" i="4"/>
  <c r="D25" i="4"/>
  <c r="F25" i="4"/>
  <c r="E25" i="4"/>
  <c r="J50" i="3" l="1"/>
  <c r="E37" i="5"/>
  <c r="D116" i="3"/>
  <c r="D118" i="3" s="1"/>
  <c r="C15" i="6"/>
  <c r="D27" i="4"/>
  <c r="D119" i="3" l="1"/>
  <c r="D120" i="3" s="1"/>
  <c r="D102" i="3"/>
  <c r="D9" i="6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9" i="3" l="1"/>
  <c r="B11" i="3" s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84" i="3"/>
  <c r="F76" i="3"/>
  <c r="I82" i="3"/>
  <c r="G81" i="3"/>
  <c r="I83" i="3" s="1"/>
  <c r="I80" i="3"/>
  <c r="I79" i="3"/>
  <c r="I78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5" i="3"/>
  <c r="B56" i="3" s="1"/>
  <c r="D56" i="3" s="1"/>
  <c r="D49" i="3"/>
  <c r="D52" i="3"/>
  <c r="D51" i="3"/>
  <c r="D50" i="3"/>
  <c r="F18" i="6"/>
  <c r="B4" i="6" l="1"/>
  <c r="I7" i="3"/>
  <c r="I4" i="3"/>
  <c r="G8" i="3"/>
  <c r="G9" i="3" s="1"/>
  <c r="I6" i="3"/>
  <c r="J51" i="3"/>
  <c r="I85" i="3"/>
  <c r="I86" i="3" s="1"/>
  <c r="G85" i="3"/>
  <c r="I50" i="3"/>
  <c r="I5" i="3"/>
  <c r="D48" i="3"/>
  <c r="D57" i="3" l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9" i="6" l="1"/>
  <c r="B40" i="6" s="1"/>
  <c r="B42" i="6" s="1"/>
  <c r="B43" i="6" s="1"/>
  <c r="D101" i="3"/>
  <c r="D103" i="3" s="1"/>
  <c r="D104" i="3" s="1"/>
  <c r="D105" i="3" s="1"/>
  <c r="B31" i="6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82" i="3"/>
  <c r="B81" i="3"/>
  <c r="B83" i="3" s="1"/>
  <c r="D83" i="3" s="1"/>
  <c r="D80" i="3"/>
  <c r="D79" i="3"/>
  <c r="D78" i="3"/>
  <c r="E32" i="4" l="1"/>
  <c r="D85" i="3"/>
  <c r="D86" i="3" s="1"/>
  <c r="E29" i="4"/>
  <c r="B85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<sst xmlns="http://schemas.openxmlformats.org/spreadsheetml/2006/main" count="463" uniqueCount="302">
  <si>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</si>
  <si>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</si>
  <si>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</si>
  <si>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</si>
  <si>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</si>
  <si>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</si>
  <si>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</si>
  <si>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</si>
  <si>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</si>
  <si>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</si>
  <si>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</si>
  <si>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</si>
  <si>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</si>
  <si>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</si>
  <si>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</si>
  <si>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</si>
  <si>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</si>
  <si>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</si>
  <si>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</si>
  <si>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</si>
  <si>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</si>
  <si>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</si>
  <si>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</si>
  <si>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</si>
  <si>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</si>
  <si>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</si>
  <si>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</si>
  <si>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</si>
  <si>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</si>
  <si>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</si>
  <si>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</si>
  <si>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</si>
  <si>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</si>
  <si>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</si>
  <si>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</si>
  <si>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</si>
  <si>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</si>
  <si>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</si>
  <si>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</si>
  <si>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</si>
  <si>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</si>
  <si>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</si>
  <si>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</si>
  <si>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</si>
  <si>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</si>
  <si>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</si>
  <si>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</si>
  <si>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</si>
  <si>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</si>
  <si>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</si>
  <si>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</si>
  <si>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</si>
  <si>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</si>
  <si>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</si>
  <si>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</si>
  <si>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</si>
  <si>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</si>
  <si>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</si>
  <si>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</si>
  <si>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</si>
  <si>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</si>
  <si>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</si>
  <si>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</si>
  <si>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</si>
  <si>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</si>
  <si>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</si>
  <si>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</si>
  <si>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</si>
  <si>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</si>
  <si>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</si>
  <si>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</si>
  <si>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</si>
  <si>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</si>
  <si>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</si>
  <si>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</si>
  <si>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</si>
  <si>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</si>
  <si>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</si>
  <si>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</si>
  <si>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</si>
  <si>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</si>
  <si>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</si>
  <si>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</si>
  <si>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</si>
  <si>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</si>
  <si>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</si>
  <si>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</si>
  <si>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</si>
  <si>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</si>
  <si>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</si>
  <si>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</si>
  <si>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</si>
  <si>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</si>
  <si>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</si>
  <si>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</si>
  <si>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</si>
  <si>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</si>
  <si>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</si>
  <si>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</si>
  <si>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</si>
  <si>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</si>
  <si>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</si>
  <si>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</si>
  <si>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</si>
  <si>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</si>
  <si>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</si>
  <si>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</si>
  <si>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</si>
  <si>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</si>
  <si>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</si>
  <si>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</si>
  <si>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</si>
  <si>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</si>
  <si>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</si>
  <si>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</si>
  <si>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</si>
  <si>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</si>
  <si>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</si>
  <si>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</si>
  <si>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</si>
  <si>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</si>
  <si>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</si>
  <si>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</si>
  <si>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</si>
  <si>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</si>
  <si>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</si>
  <si>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</si>
  <si>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</si>
  <si>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</si>
  <si>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</si>
  <si>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</si>
  <si>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</si>
  <si>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</si>
  <si>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</si>
  <si>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</si>
  <si>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</si>
  <si>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</si>
  <si>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</si>
  <si>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</si>
  <si>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</si>
  <si>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</si>
  <si>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</si>
  <si>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</si>
  <si>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</si>
  <si>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</si>
  <si>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</si>
  <si>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</si>
  <si>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</si>
  <si>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</si>
  <si>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</si>
  <si>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</si>
  <si>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</si>
  <si>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</si>
  <si>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</si>
  <si>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</si>
  <si>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</si>
  <si>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</si>
  <si>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</si>
  <si>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</si>
  <si>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</si>
  <si>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</si>
  <si>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</si>
  <si>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</si>
  <si>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</si>
  <si>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</si>
  <si>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</si>
  <si>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</si>
  <si>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</si>
  <si>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</si>
  <si>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</si>
  <si>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</si>
  <si>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</si>
  <si>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</si>
  <si>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</si>
  <si>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</si>
  <si>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</si>
  <si>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</si>
  <si>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</si>
  <si>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</si>
  <si>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</si>
  <si>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</si>
  <si>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</si>
  <si>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</si>
  <si>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</si>
  <si>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</si>
  <si>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</si>
  <si>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</si>
  <si>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</si>
  <si>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</si>
  <si>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</si>
  <si>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</si>
  <si>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</si>
  <si>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</si>
  <si>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</si>
  <si>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</si>
  <si>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</si>
  <si>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</si>
  <si>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</si>
  <si>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</si>
  <si>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</si>
  <si>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98 - חלקאי</t>
  </si>
  <si>
    <t>היתר שנת 01- חקלאי</t>
  </si>
  <si>
    <t>היתר שנת 2000 - חקלאי</t>
  </si>
  <si>
    <t>היתר שנת 78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</si>
  <si>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</si>
  <si>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</si>
  <si>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</si>
  <si>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</si>
  <si>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</si>
  <si>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</si>
  <si>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</si>
  <si>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</si>
  <si>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</si>
  <si>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</si>
  <si>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</si>
  <si>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</si>
  <si>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</si>
  <si>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</si>
  <si>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</si>
  <si>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</si>
  <si>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</si>
  <si>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</si>
  <si>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</si>
  <si>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</si>
  <si>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</si>
  <si>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</si>
  <si>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</si>
  <si>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</si>
  <si>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</si>
  <si>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</si>
  <si>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</si>
  <si>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</si>
  <si>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</si>
  <si>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</si>
  <si>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</si>
  <si>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</si>
  <si>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</si>
  <si>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</si>
  <si>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</si>
  <si>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</si>
  <si>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</si>
  <si>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סיווג המבנה</t>
  </si>
  <si>
    <t>שטח במ"ר</t>
  </si>
  <si>
    <t>עלות הסדרה</t>
  </si>
  <si>
    <t>מבנה 2 - בית מגורים ראשון</t>
  </si>
  <si>
    <t>מבנה 2.1 - ממ"ד</t>
  </si>
  <si>
    <t>מבנה 1.1 - מחסן</t>
  </si>
  <si>
    <t>מבנה 1 - בית מגורים שני</t>
  </si>
  <si>
    <t>מבנה 3 - מבנה חקלאי</t>
  </si>
  <si>
    <t>מבנה 4 - מבנה חקלאי</t>
  </si>
  <si>
    <t>היתר שנת 2010</t>
  </si>
  <si>
    <t>616-0902908</t>
  </si>
  <si>
    <t>אתר הועדה</t>
  </si>
  <si>
    <t>בריכה</t>
  </si>
  <si>
    <t>112/03/8</t>
  </si>
  <si>
    <t>ניתוח שטח אקו</t>
  </si>
  <si>
    <t>שטח מגרש</t>
  </si>
  <si>
    <t>מהות</t>
  </si>
  <si>
    <t>שטח</t>
  </si>
  <si>
    <t>עיקרי ק.ק</t>
  </si>
  <si>
    <t>עיקרי ק.א</t>
  </si>
  <si>
    <t>מרתף</t>
  </si>
  <si>
    <t>סה"כ שטח אקו'</t>
  </si>
  <si>
    <t>שווי מגרש מתואם זמן 10%</t>
  </si>
  <si>
    <t>שווי מ"ר</t>
  </si>
  <si>
    <t>בהתאמה לבעלות / 0.97</t>
  </si>
  <si>
    <t>מקדם לנחלה</t>
  </si>
  <si>
    <t>שווי מתואם</t>
  </si>
  <si>
    <t>לשומה</t>
  </si>
  <si>
    <t>היטל השבחה בית שלישי</t>
  </si>
  <si>
    <t>מצב קודם</t>
  </si>
  <si>
    <t>חצר שולית</t>
  </si>
  <si>
    <t>מצב חדש</t>
  </si>
  <si>
    <t>שווי מ"ר נחלה</t>
  </si>
  <si>
    <t>שווי מצב קודם</t>
  </si>
  <si>
    <t>שווי מצב חדש</t>
  </si>
  <si>
    <t>היטחל השבחה</t>
  </si>
  <si>
    <t>דמי היתר לרכוש במשק לאחר פיצול</t>
  </si>
  <si>
    <t>זכויות בסיס</t>
  </si>
  <si>
    <t>בית ראשון</t>
  </si>
  <si>
    <t>נרכש</t>
  </si>
  <si>
    <t>בית שני</t>
  </si>
  <si>
    <t>יחידה צמודת קיר</t>
  </si>
  <si>
    <t>סה"כ נרכש</t>
  </si>
  <si>
    <t>סה"כ חוזה לאחר הסדרה</t>
  </si>
  <si>
    <t>בסיס</t>
  </si>
  <si>
    <t>חוזה לאחר פיצול</t>
  </si>
  <si>
    <t>זכות בית שלישי</t>
  </si>
  <si>
    <t>היטל השבחה בית שני</t>
  </si>
  <si>
    <t>מקדם אי סחירות</t>
  </si>
  <si>
    <t>סה"כ מצב קודם</t>
  </si>
  <si>
    <t>שוווי מ"ר הרחבה</t>
  </si>
  <si>
    <t>סה"כ היטל</t>
  </si>
  <si>
    <t>בנוי בפועל</t>
  </si>
  <si>
    <t>שטח לרכוש</t>
  </si>
  <si>
    <t>סה"כ לרכוש</t>
  </si>
  <si>
    <t>פיצול מגרש ריק (זכות בית שלישי)+ בית שני קיים - היוון מלא 33%</t>
  </si>
  <si>
    <t>פיצול מגרש ריק (זכות בית שלישי) - היוון 3.75%</t>
  </si>
  <si>
    <t>היטל יחידה צמודת קיר</t>
  </si>
  <si>
    <t>מקדם השבחה</t>
  </si>
  <si>
    <t>סה"כ השבחה</t>
  </si>
  <si>
    <t>נרכש בעבר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</si>
</sst>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8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6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165" fontId="19" fillId="5" borderId="21" xfId="1" applyNumberFormat="1" applyFont="1" applyFill="1" applyBorder="1"/>
    <xf numFmtId="165" fontId="20" fillId="3" borderId="18" xfId="1" applyNumberFormat="1" applyFont="1" applyFill="1" applyBorder="1" applyAlignment="1">
      <alignment horizontal="center" vertical="center" wrapText="1"/>
    </xf>
    <xf numFmtId="165" fontId="21" fillId="3" borderId="17" xfId="1" applyNumberFormat="1" applyFont="1" applyFill="1" applyBorder="1" applyAlignment="1">
      <alignment horizontal="center" vertical="center" wrapText="1"/>
    </xf>
    <xf numFmtId="165" fontId="0" fillId="0" borderId="22" xfId="1" applyNumberFormat="1" applyFont="1" applyBorder="1"/>
    <xf numFmtId="165" fontId="0" fillId="0" borderId="22" xfId="0" applyNumberFormat="1" applyBorder="1"/>
    <xf numFmtId="165" fontId="6" fillId="0" borderId="22" xfId="1" applyNumberFormat="1" applyFont="1" applyBorder="1"/>
    <xf numFmtId="43" fontId="0" fillId="0" borderId="22" xfId="1" applyFont="1" applyBorder="1"/>
    <xf numFmtId="164" fontId="6" fillId="0" borderId="0" xfId="0" applyNumberFormat="1" applyFont="1"/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9" xfId="0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56" xfId="0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6" fillId="0" borderId="5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343379</xdr:colOff>
      <xdr:row>25</xdr:row>
      <xdr:rowOff>96200</xdr:rowOff>
    </xdr:from>
    <xdr:to>
      <xdr:col>13</xdr:col>
      <xdr:colOff>625045</xdr:colOff>
      <xdr:row>43</xdr:row>
      <xdr:rowOff>131300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6DBDECE6-5102-4186-90BA-B3D71FC0B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8505663" y="4576234"/>
          <a:ext cx="5455251" cy="3113186"/>
        </a:xfrm>
        <a:prstGeom prst="rect">
          <a:avLst/>
        </a:prstGeom>
      </xdr:spPr>
    </xdr:pic>
    <xdr:clientData/>
  </xdr:twoCellAnchor>
  <xdr:twoCellAnchor editAs="oneCell">
    <xdr:from>
      <xdr:col>8</xdr:col>
      <xdr:colOff>575018</xdr:colOff>
      <xdr:row>18</xdr:row>
      <xdr:rowOff>161192</xdr:rowOff>
    </xdr:from>
    <xdr:to>
      <xdr:col>15</xdr:col>
      <xdr:colOff>457953</xdr:colOff>
      <xdr:row>26</xdr:row>
      <xdr:rowOff>17879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602D46D0-3C26-4BF4-AE6A-FEACB82E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3572798" y="3287297"/>
          <a:ext cx="5255034" cy="1226382"/>
        </a:xfrm>
        <a:prstGeom prst="rect">
          <a:avLst/>
        </a:prstGeom>
      </xdr:spPr>
    </xdr:pic>
    <xdr:clientData/>
  </xdr:twoCellAnchor>
  <xdr:twoCellAnchor editAs="oneCell">
    <xdr:from>
      <xdr:col>1</xdr:col>
      <xdr:colOff>599195</xdr:colOff>
      <xdr:row>14</xdr:row>
      <xdr:rowOff>46161</xdr:rowOff>
    </xdr:from>
    <xdr:to>
      <xdr:col>11</xdr:col>
      <xdr:colOff>601348</xdr:colOff>
      <xdr:row>19</xdr:row>
      <xdr:rowOff>154243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3AFF7AE6-5D65-4B9D-87F8-55C1477B0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16072032" y="2486466"/>
          <a:ext cx="8439003" cy="963427"/>
        </a:xfrm>
        <a:prstGeom prst="rect">
          <a:avLst/>
        </a:prstGeom>
      </xdr:spPr>
    </xdr:pic>
    <xdr:clientData/>
  </xdr:twoCellAnchor>
  <xdr:twoCellAnchor editAs="oneCell">
    <xdr:from>
      <xdr:col>1</xdr:col>
      <xdr:colOff>168518</xdr:colOff>
      <xdr:row>45</xdr:row>
      <xdr:rowOff>153864</xdr:rowOff>
    </xdr:from>
    <xdr:to>
      <xdr:col>9</xdr:col>
      <xdr:colOff>1044940</xdr:colOff>
      <xdr:row>76</xdr:row>
      <xdr:rowOff>20669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06BA31D3-8319-478D-9EEB-6131AA41BF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3650" r="1724"/>
        <a:stretch>
          <a:fillRect/>
        </a:stretch>
      </xdr:blipFill>
      <xdr:spPr>
        <a:xfrm>
          <a:off x="10917383864" y="7907214"/>
          <a:ext cx="7552133" cy="51741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H11" sqref="H11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44</v>
      </c>
      <c r="B2" s="76">
        <f>'מ"ר אקו'' נחלה'!I14</f>
        <v>1114.8</v>
      </c>
      <c r="K2" s="1"/>
    </row>
    <row r="3" spans="1:11" x14ac:dyDescent="0.35">
      <c r="A3" s="1" t="s">
        <v>17</v>
      </c>
      <c r="B3" s="76">
        <f>'מ"ר אקו'' נחלה'!D14</f>
        <v>1064.8</v>
      </c>
      <c r="K3" s="1"/>
    </row>
    <row r="4" spans="1:11" x14ac:dyDescent="0.35">
      <c r="A4" s="1" t="s">
        <v>90</v>
      </c>
      <c r="B4" s="76">
        <f>'מ"ר אקו'' נחלה'!D28</f>
        <v>0</v>
      </c>
      <c r="K4" s="1"/>
    </row>
    <row r="5" spans="1:11" x14ac:dyDescent="0.35">
      <c r="A5" s="1" t="s">
        <v>204</v>
      </c>
      <c r="B5" s="76">
        <f>'מ"ר אקו'' נחלה'!D38</f>
        <v>61</v>
      </c>
      <c r="K5" s="1"/>
    </row>
    <row r="6" spans="1:11" x14ac:dyDescent="0.35">
      <c r="A6" s="1" t="s">
        <v>3</v>
      </c>
      <c r="B6" s="1">
        <f>'מ"ר אקו'' נחלה'!D86</f>
        <v>806.25</v>
      </c>
      <c r="F6" s="7"/>
      <c r="K6" s="1"/>
    </row>
    <row r="7" spans="1:11" x14ac:dyDescent="0.35">
      <c r="A7" s="1" t="s">
        <v>55</v>
      </c>
      <c r="B7" s="1">
        <f>'מ"ר אקו'' נחלה'!D57</f>
        <v>260.60000000000002</v>
      </c>
      <c r="C7" s="1" t="s">
        <v>56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8">
        <f>'ניתוח איזור לעסקאות דמה'!C7</f>
        <v>9700</v>
      </c>
      <c r="C8" s="1" t="s">
        <v>83</v>
      </c>
      <c r="D8" s="5">
        <v>2500</v>
      </c>
      <c r="F8" s="75"/>
      <c r="K8" s="1"/>
    </row>
    <row r="9" spans="1:11" x14ac:dyDescent="0.35">
      <c r="A9" s="3"/>
      <c r="B9" s="5"/>
      <c r="C9" s="1" t="s">
        <v>91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65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293273.4375</v>
      </c>
      <c r="G11" s="75">
        <f>'מ"ר אקו'' נחלה'!D87*-3.75%</f>
        <v>-6562.5</v>
      </c>
      <c r="H11" s="88">
        <f>SUM(F11:G11)</f>
        <v>286710.9375</v>
      </c>
      <c r="I11" s="9"/>
      <c r="J11" s="75"/>
    </row>
    <row r="12" spans="1:11" x14ac:dyDescent="0.35">
      <c r="A12" s="82" t="s">
        <v>61</v>
      </c>
      <c r="B12" s="113">
        <f>D7</f>
        <v>207.5</v>
      </c>
      <c r="C12" s="114">
        <v>0.29249999999999998</v>
      </c>
      <c r="D12" s="82">
        <f t="shared" si="0"/>
        <v>60.693749999999994</v>
      </c>
      <c r="E12" s="82">
        <v>1</v>
      </c>
      <c r="F12" s="84">
        <f>D12*$B$8*E12</f>
        <v>588729.375</v>
      </c>
      <c r="G12" s="75">
        <f>-'מ"ר אקו'' נחלה'!D58*C12</f>
        <v>-29250</v>
      </c>
      <c r="H12" s="6">
        <f>SUM(F12:G12)</f>
        <v>559479.375</v>
      </c>
      <c r="J12" s="87"/>
    </row>
    <row r="13" spans="1:11" x14ac:dyDescent="0.35">
      <c r="A13" s="82" t="s">
        <v>62</v>
      </c>
      <c r="B13" s="113">
        <f>B7-B12</f>
        <v>53.100000000000023</v>
      </c>
      <c r="C13" s="114">
        <v>0.33</v>
      </c>
      <c r="D13" s="82">
        <f t="shared" si="0"/>
        <v>17.523000000000007</v>
      </c>
      <c r="E13" s="82">
        <v>1</v>
      </c>
      <c r="F13" s="84">
        <f>D13*$B$8*E13</f>
        <v>169973.10000000006</v>
      </c>
      <c r="G13" s="87">
        <f>G12*53/245</f>
        <v>-6327.5510204081629</v>
      </c>
      <c r="H13" s="6">
        <f>SUM(F13:G13)</f>
        <v>163645.5489795919</v>
      </c>
      <c r="I13" s="9"/>
      <c r="J13" s="75"/>
    </row>
    <row r="14" spans="1:11" ht="21" x14ac:dyDescent="0.4">
      <c r="A14" s="110" t="s">
        <v>63</v>
      </c>
      <c r="B14" s="111">
        <f>SUM(B12:B13)</f>
        <v>260.60000000000002</v>
      </c>
      <c r="C14" s="112"/>
      <c r="D14" s="112"/>
      <c r="E14" s="112"/>
      <c r="F14" s="112">
        <f>SUM(F12:F13)</f>
        <v>758702.47500000009</v>
      </c>
      <c r="G14" s="115"/>
      <c r="H14" s="89">
        <f>SUM(H12:H13)</f>
        <v>723124.92397959193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855418.75</v>
      </c>
      <c r="G15" s="9"/>
      <c r="J15" s="86"/>
    </row>
    <row r="16" spans="1:11" ht="21" x14ac:dyDescent="0.4">
      <c r="A16" s="77" t="s">
        <v>5</v>
      </c>
      <c r="B16" s="81">
        <f>B3+B4-B5</f>
        <v>1003.8</v>
      </c>
      <c r="C16" s="80">
        <v>0.33</v>
      </c>
      <c r="D16" s="77">
        <f t="shared" si="0"/>
        <v>331.25400000000002</v>
      </c>
      <c r="E16" s="77">
        <v>1</v>
      </c>
      <c r="F16" s="79">
        <f>D16*$B$8*E16</f>
        <v>3213163.8000000003</v>
      </c>
      <c r="G16" s="75">
        <f>-'מ"ר אקו'' נחלה'!D15*C16</f>
        <v>-81510</v>
      </c>
      <c r="H16" s="88">
        <f>SUM(F16:G16)</f>
        <v>3131653.8000000003</v>
      </c>
      <c r="J16" s="136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6178.9000000000005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662.02500000000009</v>
      </c>
      <c r="G20" s="9"/>
      <c r="I20" s="6"/>
      <c r="J20" s="9"/>
    </row>
    <row r="21" spans="1:10" ht="21" x14ac:dyDescent="0.4">
      <c r="A21" s="1" t="s">
        <v>69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45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2648.1000000000004</v>
      </c>
    </row>
    <row r="23" spans="1:10" ht="21" x14ac:dyDescent="0.4">
      <c r="A23" s="82" t="s">
        <v>84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46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485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47</v>
      </c>
      <c r="B27" s="85"/>
      <c r="C27" s="8"/>
      <c r="D27" s="185"/>
      <c r="E27" s="185"/>
      <c r="F27" s="5"/>
      <c r="I27" s="75"/>
    </row>
    <row r="29" spans="1:10" x14ac:dyDescent="0.35">
      <c r="A29" s="2" t="s">
        <v>156</v>
      </c>
      <c r="C29" s="75"/>
    </row>
    <row r="30" spans="1:10" x14ac:dyDescent="0.35">
      <c r="A30" s="2"/>
      <c r="B30" s="2" t="s">
        <v>158</v>
      </c>
      <c r="C30" s="2" t="s">
        <v>21</v>
      </c>
      <c r="D30" s="2" t="s">
        <v>157</v>
      </c>
    </row>
    <row r="31" spans="1:10" x14ac:dyDescent="0.35">
      <c r="A31" s="1" t="s">
        <v>154</v>
      </c>
      <c r="B31" s="5">
        <f>'מ"ר אקו'' נחלה'!D57*'תחשיב לפי שווי שומה (2)'!$B$8</f>
        <v>2527820</v>
      </c>
      <c r="C31" s="190">
        <v>1</v>
      </c>
      <c r="D31" s="6">
        <f>C31*$B$8</f>
        <v>9700</v>
      </c>
    </row>
    <row r="32" spans="1:10" x14ac:dyDescent="0.35">
      <c r="A32" s="1" t="s">
        <v>153</v>
      </c>
      <c r="B32" s="6">
        <f>350*$B$8*C32</f>
        <v>509250</v>
      </c>
      <c r="C32" s="190">
        <v>0.15</v>
      </c>
      <c r="D32" s="6">
        <f>C32*$B$8</f>
        <v>1455</v>
      </c>
    </row>
    <row r="33" spans="1:6" x14ac:dyDescent="0.35">
      <c r="C33" s="75"/>
    </row>
    <row r="34" spans="1:6" x14ac:dyDescent="0.35">
      <c r="A34" s="1" t="s">
        <v>151</v>
      </c>
      <c r="B34" s="6">
        <f>B31-B32</f>
        <v>2018570</v>
      </c>
      <c r="C34" s="190">
        <f>C31-C32</f>
        <v>0.85</v>
      </c>
      <c r="D34" s="6">
        <f>C34*$B$8</f>
        <v>8245</v>
      </c>
    </row>
    <row r="35" spans="1:6" x14ac:dyDescent="0.35">
      <c r="A35" s="1" t="s">
        <v>152</v>
      </c>
      <c r="B35" s="6">
        <f>B34*50%</f>
        <v>1009285</v>
      </c>
      <c r="C35" s="190">
        <f>C34*50%</f>
        <v>0.42499999999999999</v>
      </c>
      <c r="D35" s="6">
        <f>C35*$B$8</f>
        <v>4122.5</v>
      </c>
    </row>
    <row r="37" spans="1:6" x14ac:dyDescent="0.35">
      <c r="A37" s="2" t="s">
        <v>160</v>
      </c>
      <c r="C37" s="75"/>
    </row>
    <row r="38" spans="1:6" x14ac:dyDescent="0.35">
      <c r="A38" s="2"/>
      <c r="B38" s="2" t="s">
        <v>158</v>
      </c>
      <c r="C38" s="2" t="s">
        <v>21</v>
      </c>
      <c r="D38" s="2" t="s">
        <v>157</v>
      </c>
    </row>
    <row r="39" spans="1:6" x14ac:dyDescent="0.35">
      <c r="A39" s="1" t="s">
        <v>154</v>
      </c>
      <c r="B39" s="5">
        <f>'מ"ר אקו'' נחלה'!D57*'תחשיב לפי שווי שומה (2)'!$B$8</f>
        <v>2527820</v>
      </c>
      <c r="C39" s="190">
        <v>1</v>
      </c>
      <c r="D39" s="6">
        <f>C39*$B$8</f>
        <v>9700</v>
      </c>
    </row>
    <row r="40" spans="1:6" x14ac:dyDescent="0.35">
      <c r="A40" s="1" t="s">
        <v>161</v>
      </c>
      <c r="B40" s="6">
        <f>B39*70%</f>
        <v>1769474</v>
      </c>
      <c r="C40" s="190">
        <v>0.7</v>
      </c>
      <c r="D40" s="6">
        <f>C40*$B$8</f>
        <v>6790</v>
      </c>
    </row>
    <row r="41" spans="1:6" x14ac:dyDescent="0.35">
      <c r="C41" s="75"/>
    </row>
    <row r="42" spans="1:6" x14ac:dyDescent="0.35">
      <c r="A42" s="1" t="s">
        <v>151</v>
      </c>
      <c r="B42" s="6">
        <f>B39-B40</f>
        <v>758346</v>
      </c>
      <c r="C42" s="190">
        <f>C39-C40</f>
        <v>0.30000000000000004</v>
      </c>
      <c r="D42" s="6">
        <f>C42*$B$8</f>
        <v>2910.0000000000005</v>
      </c>
      <c r="F42" s="6"/>
    </row>
    <row r="43" spans="1:6" x14ac:dyDescent="0.35">
      <c r="A43" s="1" t="s">
        <v>152</v>
      </c>
      <c r="B43" s="6">
        <f>B42*50%</f>
        <v>379173</v>
      </c>
      <c r="C43" s="190">
        <f>C42*50%</f>
        <v>0.15000000000000002</v>
      </c>
      <c r="D43" s="6">
        <f>C43*$B$8</f>
        <v>1455.0000000000002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M42"/>
  <sheetViews>
    <sheetView rightToLeft="1" tabSelected="1" topLeftCell="A7" workbookViewId="0">
      <selection activeCell="P17" sqref="P17"/>
    </sheetView>
  </sheetViews>
  <sheetFormatPr defaultRowHeight="13.8" x14ac:dyDescent="0.25"/>
  <cols>
    <col min="8" max="8" width="13" bestFit="1" customWidth="1"/>
    <col min="9" max="9" width="13.09765625" customWidth="1"/>
  </cols>
  <sheetData>
    <row r="8" spans="8:13" ht="14.4" thickBot="1" x14ac:dyDescent="0.3"/>
    <row r="9" spans="8:13" ht="14.4" thickBot="1" x14ac:dyDescent="0.3">
      <c r="H9" s="272" t="s">
        <v>211</v>
      </c>
      <c r="I9" s="273"/>
      <c r="J9" s="273"/>
      <c r="K9" s="273"/>
      <c r="L9" s="273"/>
      <c r="M9" s="274"/>
    </row>
    <row r="10" spans="8:13" x14ac:dyDescent="0.25">
      <c r="H10" s="275" t="s">
        <v>212</v>
      </c>
      <c r="I10" s="276"/>
      <c r="J10" s="279" t="s">
        <v>297</v>
      </c>
      <c r="K10" s="280"/>
      <c r="L10" s="279" t="s">
        <v>296</v>
      </c>
      <c r="M10" s="280"/>
    </row>
    <row r="11" spans="8:13" ht="27" customHeight="1" thickBot="1" x14ac:dyDescent="0.3">
      <c r="H11" s="277"/>
      <c r="I11" s="278"/>
      <c r="J11" s="281"/>
      <c r="K11" s="282"/>
      <c r="L11" s="281"/>
      <c r="M11" s="282"/>
    </row>
    <row r="12" spans="8:13" x14ac:dyDescent="0.25">
      <c r="H12" s="264" t="s">
        <v>213</v>
      </c>
      <c r="I12" s="265"/>
      <c r="J12" s="268">
        <v>290000</v>
      </c>
      <c r="K12" s="268"/>
      <c r="L12" s="268">
        <v>3100000</v>
      </c>
      <c r="M12" s="270"/>
    </row>
    <row r="13" spans="8:13" x14ac:dyDescent="0.25">
      <c r="H13" s="266"/>
      <c r="I13" s="267"/>
      <c r="J13" s="269"/>
      <c r="K13" s="269"/>
      <c r="L13" s="269"/>
      <c r="M13" s="271"/>
    </row>
    <row r="14" spans="8:13" x14ac:dyDescent="0.25">
      <c r="H14" s="266" t="s">
        <v>214</v>
      </c>
      <c r="I14" s="267"/>
      <c r="J14" s="269">
        <v>840000</v>
      </c>
      <c r="K14" s="269"/>
      <c r="L14" s="269" t="s">
        <v>215</v>
      </c>
      <c r="M14" s="271"/>
    </row>
    <row r="15" spans="8:13" x14ac:dyDescent="0.25">
      <c r="H15" s="266"/>
      <c r="I15" s="267"/>
      <c r="J15" s="269"/>
      <c r="K15" s="269"/>
      <c r="L15" s="269"/>
      <c r="M15" s="271"/>
    </row>
    <row r="16" spans="8:13" x14ac:dyDescent="0.25">
      <c r="H16" s="266" t="s">
        <v>216</v>
      </c>
      <c r="I16" s="267"/>
      <c r="J16" s="283">
        <f>(J14+J12)*0.06</f>
        <v>67800</v>
      </c>
      <c r="K16" s="283"/>
      <c r="L16" s="283">
        <f>L12*6%</f>
        <v>186000</v>
      </c>
      <c r="M16" s="284"/>
    </row>
    <row r="17" spans="8:13" x14ac:dyDescent="0.25">
      <c r="H17" s="266"/>
      <c r="I17" s="267"/>
      <c r="J17" s="283"/>
      <c r="K17" s="283"/>
      <c r="L17" s="283"/>
      <c r="M17" s="284"/>
    </row>
    <row r="18" spans="8:13" x14ac:dyDescent="0.25">
      <c r="H18" s="266" t="s">
        <v>217</v>
      </c>
      <c r="I18" s="267"/>
      <c r="J18" s="283">
        <v>1130000</v>
      </c>
      <c r="K18" s="283"/>
      <c r="L18" s="283" t="s">
        <v>215</v>
      </c>
      <c r="M18" s="284"/>
    </row>
    <row r="19" spans="8:13" x14ac:dyDescent="0.25">
      <c r="H19" s="266"/>
      <c r="I19" s="267"/>
      <c r="J19" s="283"/>
      <c r="K19" s="283"/>
      <c r="L19" s="283"/>
      <c r="M19" s="284"/>
    </row>
    <row r="20" spans="8:13" x14ac:dyDescent="0.25">
      <c r="H20" s="289" t="s">
        <v>8</v>
      </c>
      <c r="I20" s="290"/>
      <c r="J20" s="291">
        <f>SUM(J12:K19)</f>
        <v>2327800</v>
      </c>
      <c r="K20" s="290"/>
      <c r="L20" s="291">
        <f>SUM(L12:M19)</f>
        <v>3286000</v>
      </c>
      <c r="M20" s="292"/>
    </row>
    <row r="21" spans="8:13" x14ac:dyDescent="0.25">
      <c r="H21" s="289"/>
      <c r="I21" s="290"/>
      <c r="J21" s="290"/>
      <c r="K21" s="290"/>
      <c r="L21" s="290"/>
      <c r="M21" s="292"/>
    </row>
    <row r="22" spans="8:13" x14ac:dyDescent="0.25">
      <c r="H22" s="266" t="s">
        <v>218</v>
      </c>
      <c r="I22" s="267"/>
      <c r="J22" s="283">
        <v>1140000</v>
      </c>
      <c r="K22" s="267"/>
      <c r="L22" s="283">
        <f>1140000+430000</f>
        <v>1570000</v>
      </c>
      <c r="M22" s="287"/>
    </row>
    <row r="23" spans="8:13" ht="14.4" thickBot="1" x14ac:dyDescent="0.3">
      <c r="H23" s="285"/>
      <c r="I23" s="286"/>
      <c r="J23" s="286"/>
      <c r="K23" s="286"/>
      <c r="L23" s="286"/>
      <c r="M23" s="288"/>
    </row>
    <row r="28" spans="8:13" x14ac:dyDescent="0.25">
      <c r="H28" s="293" t="s">
        <v>277</v>
      </c>
      <c r="I28" s="293"/>
      <c r="J28" s="293"/>
      <c r="K28" s="293"/>
    </row>
    <row r="29" spans="8:13" x14ac:dyDescent="0.25">
      <c r="H29" s="293" t="s">
        <v>278</v>
      </c>
      <c r="I29" s="293"/>
      <c r="J29" s="293"/>
      <c r="K29">
        <v>375</v>
      </c>
    </row>
    <row r="30" spans="8:13" x14ac:dyDescent="0.25">
      <c r="H30" t="s">
        <v>257</v>
      </c>
      <c r="I30" t="s">
        <v>79</v>
      </c>
      <c r="J30" t="s">
        <v>285</v>
      </c>
      <c r="K30" t="s">
        <v>280</v>
      </c>
    </row>
    <row r="31" spans="8:13" x14ac:dyDescent="0.25">
      <c r="H31" t="s">
        <v>279</v>
      </c>
      <c r="I31">
        <v>180</v>
      </c>
      <c r="J31">
        <v>160</v>
      </c>
      <c r="K31">
        <f>I31-J31</f>
        <v>20</v>
      </c>
    </row>
    <row r="32" spans="8:13" x14ac:dyDescent="0.25">
      <c r="H32" t="s">
        <v>282</v>
      </c>
      <c r="I32">
        <v>55</v>
      </c>
      <c r="J32">
        <v>55</v>
      </c>
      <c r="K32">
        <f>I32-J32</f>
        <v>0</v>
      </c>
    </row>
    <row r="33" spans="8:11" x14ac:dyDescent="0.25">
      <c r="H33" t="s">
        <v>281</v>
      </c>
      <c r="I33">
        <v>247</v>
      </c>
      <c r="J33">
        <v>160</v>
      </c>
      <c r="K33">
        <f>I33-J33</f>
        <v>87</v>
      </c>
    </row>
    <row r="34" spans="8:11" x14ac:dyDescent="0.25">
      <c r="H34" t="s">
        <v>301</v>
      </c>
      <c r="K34">
        <v>7</v>
      </c>
    </row>
    <row r="35" spans="8:11" x14ac:dyDescent="0.25">
      <c r="H35" s="293" t="s">
        <v>283</v>
      </c>
      <c r="I35" s="293"/>
      <c r="J35" s="293"/>
      <c r="K35">
        <f>SUM(K31:K34)</f>
        <v>114</v>
      </c>
    </row>
    <row r="36" spans="8:11" x14ac:dyDescent="0.25">
      <c r="H36" s="293" t="s">
        <v>284</v>
      </c>
      <c r="I36" s="293"/>
      <c r="J36" s="293"/>
      <c r="K36">
        <f>K35+K29</f>
        <v>489</v>
      </c>
    </row>
    <row r="37" spans="8:11" x14ac:dyDescent="0.25">
      <c r="H37" s="293" t="s">
        <v>174</v>
      </c>
      <c r="I37" s="293"/>
      <c r="J37" s="293"/>
      <c r="K37">
        <f>-160</f>
        <v>-160</v>
      </c>
    </row>
    <row r="38" spans="8:11" x14ac:dyDescent="0.25">
      <c r="H38" s="293" t="s">
        <v>286</v>
      </c>
      <c r="I38" s="293"/>
      <c r="J38" s="293"/>
      <c r="K38">
        <f>K36+K37</f>
        <v>329</v>
      </c>
    </row>
    <row r="39" spans="8:11" x14ac:dyDescent="0.25">
      <c r="H39" s="293" t="s">
        <v>293</v>
      </c>
      <c r="I39" s="293"/>
      <c r="J39" s="293"/>
      <c r="K39">
        <f>247+180+55</f>
        <v>482</v>
      </c>
    </row>
    <row r="40" spans="8:11" x14ac:dyDescent="0.25">
      <c r="H40" t="s">
        <v>294</v>
      </c>
      <c r="K40">
        <f>K39-K38</f>
        <v>153</v>
      </c>
    </row>
    <row r="41" spans="8:11" x14ac:dyDescent="0.25">
      <c r="H41" t="s">
        <v>194</v>
      </c>
      <c r="K41">
        <v>7400</v>
      </c>
    </row>
    <row r="42" spans="8:11" x14ac:dyDescent="0.25">
      <c r="H42" t="s">
        <v>295</v>
      </c>
      <c r="K42">
        <f>K41*K40</f>
        <v>1132200</v>
      </c>
    </row>
  </sheetData>
  <mergeCells count="29">
    <mergeCell ref="H38:J38"/>
    <mergeCell ref="H39:J39"/>
    <mergeCell ref="H28:K28"/>
    <mergeCell ref="H29:J29"/>
    <mergeCell ref="H35:J35"/>
    <mergeCell ref="H36:J36"/>
    <mergeCell ref="H37:J37"/>
    <mergeCell ref="H22:I23"/>
    <mergeCell ref="J22:K23"/>
    <mergeCell ref="L22:M23"/>
    <mergeCell ref="H18:I19"/>
    <mergeCell ref="J18:K19"/>
    <mergeCell ref="L18:M19"/>
    <mergeCell ref="H20:I21"/>
    <mergeCell ref="J20:K21"/>
    <mergeCell ref="L20:M21"/>
    <mergeCell ref="H14:I15"/>
    <mergeCell ref="J14:K15"/>
    <mergeCell ref="L14:M15"/>
    <mergeCell ref="H16:I17"/>
    <mergeCell ref="J16:K17"/>
    <mergeCell ref="L16:M17"/>
    <mergeCell ref="H12:I13"/>
    <mergeCell ref="J12:K13"/>
    <mergeCell ref="L12:M13"/>
    <mergeCell ref="H9:M9"/>
    <mergeCell ref="H10:I11"/>
    <mergeCell ref="J10:K11"/>
    <mergeCell ref="L10:M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128"/>
  <sheetViews>
    <sheetView rightToLeft="1" topLeftCell="A83" workbookViewId="0">
      <selection activeCell="A129" sqref="A129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128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54</v>
      </c>
      <c r="B4" s="19">
        <v>575</v>
      </c>
      <c r="C4" s="20">
        <v>1</v>
      </c>
      <c r="D4" s="21">
        <f>C4*B4</f>
        <v>575</v>
      </c>
      <c r="F4" s="18" t="str">
        <f t="shared" ref="F4:H7" si="0">A4</f>
        <v>עיקרי</v>
      </c>
      <c r="G4" s="19">
        <f t="shared" si="0"/>
        <v>575</v>
      </c>
      <c r="H4" s="20">
        <f t="shared" si="0"/>
        <v>1</v>
      </c>
      <c r="I4" s="21">
        <f>H4*G4</f>
        <v>575</v>
      </c>
    </row>
    <row r="5" spans="1:10" x14ac:dyDescent="0.25">
      <c r="A5" s="18" t="s">
        <v>23</v>
      </c>
      <c r="B5" s="19">
        <v>36</v>
      </c>
      <c r="C5" s="20">
        <v>0.9</v>
      </c>
      <c r="D5" s="21">
        <f>C5*B5</f>
        <v>32.4</v>
      </c>
      <c r="F5" s="18" t="str">
        <f t="shared" si="0"/>
        <v>מרחבים מוגנים</v>
      </c>
      <c r="G5" s="19">
        <f t="shared" si="0"/>
        <v>36</v>
      </c>
      <c r="H5" s="20">
        <f t="shared" si="0"/>
        <v>0.9</v>
      </c>
      <c r="I5" s="21">
        <f>H5*G5</f>
        <v>32.4</v>
      </c>
    </row>
    <row r="6" spans="1:10" x14ac:dyDescent="0.25">
      <c r="A6" s="18" t="s">
        <v>95</v>
      </c>
      <c r="B6" s="19">
        <f>184-B5</f>
        <v>148</v>
      </c>
      <c r="C6" s="20">
        <v>0.4</v>
      </c>
      <c r="D6" s="21">
        <f>C6*B6</f>
        <v>59.2</v>
      </c>
      <c r="F6" s="18" t="str">
        <f t="shared" si="0"/>
        <v>יתרת ש"ש</v>
      </c>
      <c r="G6" s="19">
        <f t="shared" si="0"/>
        <v>148</v>
      </c>
      <c r="H6" s="20">
        <f t="shared" si="0"/>
        <v>0.4</v>
      </c>
      <c r="I6" s="21">
        <f>H6*G6</f>
        <v>59.2</v>
      </c>
    </row>
    <row r="7" spans="1:10" x14ac:dyDescent="0.25">
      <c r="A7" s="18" t="s">
        <v>25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26</v>
      </c>
      <c r="B8" s="23">
        <f>SUM(B4:B7)</f>
        <v>759</v>
      </c>
      <c r="C8" s="24"/>
      <c r="D8" s="25"/>
      <c r="E8" s="91"/>
      <c r="F8" s="22" t="s">
        <v>26</v>
      </c>
      <c r="G8" s="23">
        <f>SUM(G4:G7)</f>
        <v>759</v>
      </c>
      <c r="H8" s="24"/>
      <c r="I8" s="25"/>
    </row>
    <row r="9" spans="1:10" x14ac:dyDescent="0.25">
      <c r="A9" s="26" t="s">
        <v>27</v>
      </c>
      <c r="B9" s="27">
        <f>B2-B8</f>
        <v>1741</v>
      </c>
      <c r="C9" s="28"/>
      <c r="D9" s="29"/>
      <c r="F9" s="26" t="s">
        <v>27</v>
      </c>
      <c r="G9" s="27">
        <f>G2-G8</f>
        <v>2241</v>
      </c>
      <c r="H9" s="28"/>
      <c r="I9" s="29"/>
    </row>
    <row r="10" spans="1:10" x14ac:dyDescent="0.25">
      <c r="A10" s="22" t="s">
        <v>28</v>
      </c>
      <c r="B10" s="23">
        <v>1000</v>
      </c>
      <c r="C10" s="24">
        <v>0.25</v>
      </c>
      <c r="D10" s="25">
        <f>C10*B10</f>
        <v>250</v>
      </c>
      <c r="F10" s="22" t="s">
        <v>28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29</v>
      </c>
      <c r="B11" s="19">
        <f>B9-B10</f>
        <v>741</v>
      </c>
      <c r="C11" s="20">
        <v>0.2</v>
      </c>
      <c r="D11" s="21">
        <f>C11*B11</f>
        <v>148.20000000000002</v>
      </c>
      <c r="F11" s="18" t="s">
        <v>29</v>
      </c>
      <c r="G11" s="19">
        <f>B11</f>
        <v>741</v>
      </c>
      <c r="H11" s="20">
        <v>0.2</v>
      </c>
      <c r="I11" s="21">
        <f>H11*G11</f>
        <v>148.20000000000002</v>
      </c>
    </row>
    <row r="12" spans="1:10" x14ac:dyDescent="0.25">
      <c r="A12" s="18"/>
      <c r="B12" s="19"/>
      <c r="C12" s="20"/>
      <c r="D12" s="21"/>
      <c r="F12" s="18" t="s">
        <v>70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30</v>
      </c>
      <c r="B13" s="31">
        <f>SUM(B4:B11)</f>
        <v>5000</v>
      </c>
      <c r="C13" s="32"/>
      <c r="D13" s="33">
        <f>SUM(D4:D12)</f>
        <v>1064.8</v>
      </c>
      <c r="F13" s="30" t="s">
        <v>30</v>
      </c>
      <c r="G13" s="31">
        <f>SUM(G4:G11)</f>
        <v>5500</v>
      </c>
      <c r="H13" s="32"/>
      <c r="I13" s="33">
        <f>SUM(I4:I12)</f>
        <v>1114.8</v>
      </c>
      <c r="J13" s="74"/>
    </row>
    <row r="14" spans="1:10" ht="14.4" thickBot="1" x14ac:dyDescent="0.3">
      <c r="A14" s="34" t="s">
        <v>31</v>
      </c>
      <c r="B14" s="35"/>
      <c r="C14" s="36"/>
      <c r="D14" s="37">
        <f>D13</f>
        <v>1064.8</v>
      </c>
      <c r="E14" s="72"/>
      <c r="F14" s="34" t="s">
        <v>31</v>
      </c>
      <c r="G14" s="35"/>
      <c r="H14" s="36"/>
      <c r="I14" s="37">
        <f>I13</f>
        <v>1114.8</v>
      </c>
    </row>
    <row r="15" spans="1:10" x14ac:dyDescent="0.25">
      <c r="A15" t="s">
        <v>64</v>
      </c>
      <c r="D15" s="17">
        <v>247000</v>
      </c>
      <c r="F15" t="s">
        <v>64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67</v>
      </c>
      <c r="B17" s="11">
        <v>2500</v>
      </c>
      <c r="C17" s="12" t="s">
        <v>96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54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66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97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98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68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87</v>
      </c>
      <c r="B27" s="31"/>
      <c r="C27" s="32"/>
      <c r="D27" s="33"/>
      <c r="I27" s="17"/>
    </row>
    <row r="28" spans="1:9" ht="14.4" thickBot="1" x14ac:dyDescent="0.3">
      <c r="A28" s="34" t="s">
        <v>31</v>
      </c>
      <c r="B28" s="35"/>
      <c r="C28" s="36"/>
      <c r="D28" s="37"/>
      <c r="I28" s="17"/>
    </row>
    <row r="29" spans="1:9" ht="14.4" thickBot="1" x14ac:dyDescent="0.3">
      <c r="D29" s="17"/>
      <c r="I29" s="17"/>
    </row>
    <row r="30" spans="1:9" ht="14.4" thickBot="1" x14ac:dyDescent="0.3">
      <c r="A30" s="297" t="s">
        <v>204</v>
      </c>
      <c r="B30" s="298"/>
      <c r="C30" s="298"/>
      <c r="D30" s="299"/>
      <c r="I30" s="17"/>
    </row>
    <row r="31" spans="1:9" x14ac:dyDescent="0.25">
      <c r="A31" s="213" t="s">
        <v>205</v>
      </c>
      <c r="B31" s="12"/>
      <c r="C31" s="12"/>
      <c r="D31" s="214">
        <v>186</v>
      </c>
      <c r="I31" s="17"/>
    </row>
    <row r="32" spans="1:9" x14ac:dyDescent="0.25">
      <c r="A32" s="18" t="s">
        <v>206</v>
      </c>
      <c r="D32" s="215">
        <v>160</v>
      </c>
      <c r="I32" s="17"/>
    </row>
    <row r="33" spans="1:25" ht="14.4" thickBot="1" x14ac:dyDescent="0.3">
      <c r="A33" s="100" t="s">
        <v>207</v>
      </c>
      <c r="B33" s="102"/>
      <c r="C33" s="102"/>
      <c r="D33" s="216"/>
      <c r="I33" s="17"/>
    </row>
    <row r="34" spans="1:25" x14ac:dyDescent="0.25">
      <c r="A34" s="10" t="s">
        <v>208</v>
      </c>
      <c r="B34" s="12"/>
      <c r="C34" s="12"/>
      <c r="D34" s="214">
        <v>221</v>
      </c>
      <c r="I34" s="17"/>
    </row>
    <row r="35" spans="1:25" x14ac:dyDescent="0.25">
      <c r="A35" s="18" t="s">
        <v>206</v>
      </c>
      <c r="D35" s="215">
        <v>160</v>
      </c>
      <c r="I35" s="17"/>
    </row>
    <row r="36" spans="1:25" ht="14.4" thickBot="1" x14ac:dyDescent="0.3">
      <c r="A36" s="100" t="s">
        <v>207</v>
      </c>
      <c r="B36" s="102"/>
      <c r="C36" s="102"/>
      <c r="D36" s="216">
        <f>D34-D35</f>
        <v>61</v>
      </c>
      <c r="I36" s="17"/>
    </row>
    <row r="37" spans="1:25" ht="14.4" thickBot="1" x14ac:dyDescent="0.3">
      <c r="A37" s="18"/>
      <c r="D37" s="215"/>
      <c r="I37" s="17"/>
    </row>
    <row r="38" spans="1:25" ht="14.4" thickBot="1" x14ac:dyDescent="0.3">
      <c r="A38" s="217" t="s">
        <v>209</v>
      </c>
      <c r="B38" s="218"/>
      <c r="C38" s="218"/>
      <c r="D38" s="219">
        <f>D36+D33</f>
        <v>61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210</v>
      </c>
      <c r="D41" s="17">
        <f>D14+D28-D38</f>
        <v>1003.8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A45" t="s">
        <v>287</v>
      </c>
      <c r="D45" s="17"/>
      <c r="I45" s="17"/>
    </row>
    <row r="46" spans="1:25" ht="14.4" thickBot="1" x14ac:dyDescent="0.3">
      <c r="A46" s="39" t="s">
        <v>159</v>
      </c>
      <c r="O46" s="220" t="s">
        <v>219</v>
      </c>
      <c r="P46" s="221" t="s">
        <v>220</v>
      </c>
      <c r="Q46" s="221" t="s">
        <v>221</v>
      </c>
      <c r="R46" s="221" t="s">
        <v>222</v>
      </c>
      <c r="S46" s="222" t="s">
        <v>223</v>
      </c>
      <c r="T46" s="220" t="s">
        <v>224</v>
      </c>
      <c r="U46" s="223" t="s">
        <v>225</v>
      </c>
      <c r="V46" s="220" t="s">
        <v>226</v>
      </c>
      <c r="W46" s="223" t="s">
        <v>227</v>
      </c>
      <c r="X46" s="220" t="s">
        <v>226</v>
      </c>
      <c r="Y46" s="223" t="s">
        <v>216</v>
      </c>
    </row>
    <row r="47" spans="1:25" x14ac:dyDescent="0.25">
      <c r="A47" s="10" t="s">
        <v>50</v>
      </c>
      <c r="B47" s="98">
        <v>350</v>
      </c>
      <c r="C47" s="12" t="s">
        <v>72</v>
      </c>
      <c r="D47" s="13"/>
      <c r="F47" s="10" t="s">
        <v>57</v>
      </c>
      <c r="G47" s="12"/>
      <c r="H47" s="12"/>
      <c r="I47" s="13"/>
      <c r="J47" t="s">
        <v>60</v>
      </c>
      <c r="O47" s="300" t="s">
        <v>228</v>
      </c>
      <c r="P47" s="224" t="s">
        <v>14</v>
      </c>
      <c r="Q47" s="224">
        <v>300</v>
      </c>
      <c r="R47" s="224">
        <v>160</v>
      </c>
      <c r="S47" s="225">
        <f>Q47-R47</f>
        <v>140</v>
      </c>
      <c r="T47" s="226">
        <v>3000</v>
      </c>
      <c r="U47" s="227">
        <f>S47*T47</f>
        <v>420000</v>
      </c>
      <c r="V47" s="226">
        <v>0</v>
      </c>
      <c r="W47" s="227">
        <f>S47*V47</f>
        <v>0</v>
      </c>
      <c r="X47" s="228">
        <v>0</v>
      </c>
      <c r="Y47" s="227">
        <v>0</v>
      </c>
    </row>
    <row r="48" spans="1:25" x14ac:dyDescent="0.25">
      <c r="A48" s="22" t="s">
        <v>51</v>
      </c>
      <c r="B48" s="40">
        <v>180</v>
      </c>
      <c r="C48" s="24">
        <v>1</v>
      </c>
      <c r="D48" s="25">
        <f t="shared" ref="D48:D52" si="1">B48*C48</f>
        <v>180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02"/>
      <c r="P48" s="229" t="s">
        <v>15</v>
      </c>
      <c r="Q48" s="229">
        <v>197</v>
      </c>
      <c r="R48" s="229">
        <v>160</v>
      </c>
      <c r="S48" s="230">
        <f>Q48-R48</f>
        <v>37</v>
      </c>
      <c r="T48" s="231">
        <v>3000</v>
      </c>
      <c r="U48" s="232">
        <f>S48*T48</f>
        <v>111000</v>
      </c>
      <c r="V48" s="231">
        <v>0</v>
      </c>
      <c r="W48" s="232">
        <v>0</v>
      </c>
      <c r="X48" s="233">
        <v>0</v>
      </c>
      <c r="Y48" s="232">
        <v>0</v>
      </c>
    </row>
    <row r="49" spans="1:25" x14ac:dyDescent="0.25">
      <c r="A49" s="18"/>
      <c r="B49" s="19"/>
      <c r="C49" s="20"/>
      <c r="D49" s="21">
        <f t="shared" si="1"/>
        <v>0</v>
      </c>
      <c r="F49" s="18" t="s">
        <v>52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02"/>
      <c r="P49" s="229" t="s">
        <v>229</v>
      </c>
      <c r="Q49" s="229">
        <v>130</v>
      </c>
      <c r="R49" s="229">
        <v>0</v>
      </c>
      <c r="S49" s="230">
        <f>Q49-R49</f>
        <v>130</v>
      </c>
      <c r="T49" s="231">
        <v>3000</v>
      </c>
      <c r="U49" s="232">
        <f>S49*T49</f>
        <v>390000</v>
      </c>
      <c r="V49" s="231">
        <v>0</v>
      </c>
      <c r="W49" s="232">
        <v>0</v>
      </c>
      <c r="X49" s="233">
        <v>0</v>
      </c>
      <c r="Y49" s="232">
        <v>0</v>
      </c>
    </row>
    <row r="50" spans="1:25" ht="14.4" thickBot="1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58</v>
      </c>
      <c r="G50" s="107"/>
      <c r="H50" s="107"/>
      <c r="I50" s="108">
        <f>I48+I49</f>
        <v>207.5</v>
      </c>
      <c r="J50" s="17">
        <f>'ניתוח איזור לעסקאות דמה'!E35</f>
        <v>10714.89179709587</v>
      </c>
      <c r="K50" s="17">
        <f>I50*J50</f>
        <v>2223340.0478973929</v>
      </c>
      <c r="L50" s="109">
        <v>0.29249999999999998</v>
      </c>
      <c r="M50" s="91">
        <f>K50*L50</f>
        <v>650326.96400998742</v>
      </c>
      <c r="O50" s="302"/>
      <c r="P50" s="234" t="s">
        <v>230</v>
      </c>
      <c r="Q50" s="234">
        <v>55</v>
      </c>
      <c r="R50" s="234">
        <v>0</v>
      </c>
      <c r="S50" s="235">
        <f>Q50-R50</f>
        <v>55</v>
      </c>
      <c r="T50" s="236">
        <v>3000</v>
      </c>
      <c r="U50" s="237">
        <f>S50*T50</f>
        <v>165000</v>
      </c>
      <c r="V50" s="236">
        <v>0</v>
      </c>
      <c r="W50" s="237">
        <v>0</v>
      </c>
      <c r="X50" s="238">
        <v>0</v>
      </c>
      <c r="Y50" s="237">
        <v>0</v>
      </c>
    </row>
    <row r="51" spans="1:25" ht="15" thickTop="1" thickBot="1" x14ac:dyDescent="0.3">
      <c r="A51" s="18" t="s">
        <v>18</v>
      </c>
      <c r="B51" s="19">
        <v>10</v>
      </c>
      <c r="C51" s="20">
        <v>0.5</v>
      </c>
      <c r="D51" s="21">
        <f t="shared" si="1"/>
        <v>5</v>
      </c>
      <c r="F51" s="100" t="s">
        <v>59</v>
      </c>
      <c r="G51" s="102"/>
      <c r="H51" s="102"/>
      <c r="I51" s="103">
        <f>D57-I50</f>
        <v>53.100000000000023</v>
      </c>
      <c r="J51" s="17">
        <f>J50</f>
        <v>10714.89179709587</v>
      </c>
      <c r="K51" s="17">
        <f>I51*J51</f>
        <v>568960.75442579098</v>
      </c>
      <c r="L51" s="109">
        <v>0.33</v>
      </c>
      <c r="M51" s="91">
        <f>K51*L51</f>
        <v>187757.04896051102</v>
      </c>
      <c r="O51" s="301"/>
      <c r="P51" s="294" t="s">
        <v>8</v>
      </c>
      <c r="Q51" s="295"/>
      <c r="R51" s="296"/>
      <c r="S51" s="239">
        <f>SUM(S47:S50)</f>
        <v>362</v>
      </c>
      <c r="T51" s="240">
        <v>3000</v>
      </c>
      <c r="U51" s="241">
        <f>SUM(U47:U50)</f>
        <v>1086000</v>
      </c>
      <c r="V51" s="240">
        <v>0</v>
      </c>
      <c r="W51" s="241">
        <v>0</v>
      </c>
      <c r="X51" s="242">
        <v>0</v>
      </c>
      <c r="Y51" s="241">
        <v>0</v>
      </c>
    </row>
    <row r="52" spans="1:25" x14ac:dyDescent="0.25">
      <c r="A52" s="18" t="s">
        <v>24</v>
      </c>
      <c r="B52" s="19">
        <f>60-B50-B51</f>
        <v>38</v>
      </c>
      <c r="C52" s="20">
        <v>0.35</v>
      </c>
      <c r="D52" s="21">
        <f t="shared" si="1"/>
        <v>13.299999999999999</v>
      </c>
      <c r="M52" s="91">
        <f>SUM(M50:M51)</f>
        <v>838084.01297049841</v>
      </c>
      <c r="O52" s="264" t="s">
        <v>231</v>
      </c>
      <c r="P52" s="224" t="s">
        <v>231</v>
      </c>
      <c r="Q52" s="243">
        <v>3.7499999999999999E-2</v>
      </c>
      <c r="R52" s="244"/>
      <c r="S52" s="225">
        <v>375</v>
      </c>
      <c r="T52" s="245">
        <v>240000</v>
      </c>
      <c r="U52" s="246">
        <f>T52</f>
        <v>240000</v>
      </c>
      <c r="V52" s="245">
        <v>0</v>
      </c>
      <c r="W52" s="246">
        <v>0</v>
      </c>
      <c r="X52" s="247">
        <v>0.06</v>
      </c>
      <c r="Y52" s="246">
        <f>U52*6%</f>
        <v>14400</v>
      </c>
    </row>
    <row r="53" spans="1:25" ht="14.4" thickBot="1" x14ac:dyDescent="0.3">
      <c r="A53" s="99" t="s">
        <v>25</v>
      </c>
      <c r="B53" s="71"/>
      <c r="C53" s="28"/>
      <c r="D53" s="29"/>
      <c r="O53" s="285"/>
      <c r="P53" s="248" t="s">
        <v>232</v>
      </c>
      <c r="Q53" s="248"/>
      <c r="R53" s="248"/>
      <c r="S53" s="249">
        <f>SUM(S51:S52)</f>
        <v>737</v>
      </c>
      <c r="T53" s="250"/>
      <c r="U53" s="251"/>
      <c r="V53" s="250"/>
      <c r="W53" s="251"/>
      <c r="X53" s="252"/>
      <c r="Y53" s="251">
        <v>0</v>
      </c>
    </row>
    <row r="54" spans="1:25" x14ac:dyDescent="0.25">
      <c r="A54" s="22" t="s">
        <v>26</v>
      </c>
      <c r="B54" s="23">
        <f>(B48+B50)/2+B51+B52</f>
        <v>144</v>
      </c>
      <c r="C54" s="24"/>
      <c r="D54" s="25"/>
      <c r="O54" s="300" t="s">
        <v>174</v>
      </c>
      <c r="P54" s="224" t="s">
        <v>233</v>
      </c>
      <c r="Q54" s="253"/>
      <c r="R54" s="244"/>
      <c r="S54" s="225">
        <v>-160</v>
      </c>
      <c r="T54" s="226">
        <v>950000</v>
      </c>
      <c r="U54" s="227">
        <f>T54</f>
        <v>950000</v>
      </c>
      <c r="V54" s="226">
        <v>450000</v>
      </c>
      <c r="W54" s="227">
        <f>V54</f>
        <v>450000</v>
      </c>
      <c r="X54" s="228">
        <v>0.06</v>
      </c>
      <c r="Y54" s="227">
        <f>U54*6%</f>
        <v>57000</v>
      </c>
    </row>
    <row r="55" spans="1:25" ht="14.4" thickBot="1" x14ac:dyDescent="0.3">
      <c r="A55" s="18" t="s">
        <v>27</v>
      </c>
      <c r="B55" s="19">
        <f>B47-B54</f>
        <v>206</v>
      </c>
      <c r="C55" s="20"/>
      <c r="D55" s="21"/>
      <c r="O55" s="301"/>
      <c r="P55" s="248" t="s">
        <v>234</v>
      </c>
      <c r="Q55" s="248"/>
      <c r="R55" s="248"/>
      <c r="S55" s="249">
        <f>SUM(S53:S54)</f>
        <v>577</v>
      </c>
      <c r="T55" s="250"/>
      <c r="U55" s="251"/>
      <c r="V55" s="250"/>
      <c r="W55" s="251"/>
      <c r="X55" s="252"/>
      <c r="Y55" s="251"/>
    </row>
    <row r="56" spans="1:25" x14ac:dyDescent="0.25">
      <c r="A56" s="26" t="s">
        <v>28</v>
      </c>
      <c r="B56" s="104">
        <f>B55</f>
        <v>206</v>
      </c>
      <c r="C56" s="105">
        <v>0.25</v>
      </c>
      <c r="D56" s="106">
        <f>B56*C56</f>
        <v>51.5</v>
      </c>
      <c r="O56" s="300" t="s">
        <v>235</v>
      </c>
      <c r="P56" s="224" t="s">
        <v>236</v>
      </c>
      <c r="Q56" s="224"/>
      <c r="R56" s="224"/>
      <c r="S56" s="225">
        <f>-Q48-Q49-Q50</f>
        <v>-382</v>
      </c>
      <c r="T56" s="226"/>
      <c r="U56" s="227"/>
      <c r="V56" s="226"/>
      <c r="W56" s="227">
        <v>0</v>
      </c>
      <c r="X56" s="228">
        <v>0</v>
      </c>
      <c r="Y56" s="227">
        <v>0</v>
      </c>
    </row>
    <row r="57" spans="1:25" ht="14.4" thickBot="1" x14ac:dyDescent="0.3">
      <c r="A57" s="100" t="s">
        <v>30</v>
      </c>
      <c r="B57" s="101"/>
      <c r="C57" s="102"/>
      <c r="D57" s="103">
        <f>SUM(D48:D56)</f>
        <v>260.60000000000002</v>
      </c>
      <c r="F57" s="91"/>
      <c r="O57" s="301"/>
      <c r="P57" s="248" t="s">
        <v>237</v>
      </c>
      <c r="Q57" s="248"/>
      <c r="R57" s="248"/>
      <c r="S57" s="249">
        <f>SUM(S55:S56)</f>
        <v>195</v>
      </c>
      <c r="T57" s="250">
        <v>0</v>
      </c>
      <c r="U57" s="251">
        <v>0</v>
      </c>
      <c r="V57" s="250"/>
      <c r="W57" s="251">
        <v>0</v>
      </c>
      <c r="X57" s="252">
        <v>0</v>
      </c>
      <c r="Y57" s="251">
        <v>0</v>
      </c>
    </row>
    <row r="58" spans="1:25" ht="14.4" thickBot="1" x14ac:dyDescent="0.3">
      <c r="A58" s="18" t="s">
        <v>73</v>
      </c>
      <c r="B58" s="19"/>
      <c r="D58" s="91">
        <v>100000</v>
      </c>
      <c r="T58" s="217" t="s">
        <v>225</v>
      </c>
      <c r="U58" s="254">
        <f>SUM(U51:U57)</f>
        <v>2276000</v>
      </c>
      <c r="V58" s="218" t="s">
        <v>238</v>
      </c>
      <c r="W58" s="254">
        <f>SUM(W47:W57)</f>
        <v>450000</v>
      </c>
      <c r="X58" s="218" t="s">
        <v>239</v>
      </c>
      <c r="Y58" s="255">
        <f>SUM(Y51:Y57)</f>
        <v>71400</v>
      </c>
    </row>
    <row r="59" spans="1:25" x14ac:dyDescent="0.25">
      <c r="B59" s="19"/>
      <c r="D59" s="91"/>
      <c r="T59" s="68"/>
      <c r="U59" s="263"/>
      <c r="V59" s="68"/>
      <c r="W59" s="263"/>
      <c r="X59" s="68"/>
      <c r="Y59" s="263"/>
    </row>
    <row r="60" spans="1:25" ht="14.4" thickBot="1" x14ac:dyDescent="0.3">
      <c r="A60" t="s">
        <v>281</v>
      </c>
      <c r="B60" s="19"/>
      <c r="D60" s="91"/>
      <c r="T60" s="68"/>
      <c r="U60" s="263"/>
      <c r="V60" s="68"/>
      <c r="W60" s="263"/>
      <c r="X60" s="68"/>
      <c r="Y60" s="263"/>
    </row>
    <row r="61" spans="1:25" x14ac:dyDescent="0.25">
      <c r="A61" s="10" t="s">
        <v>50</v>
      </c>
      <c r="B61" s="98">
        <v>350</v>
      </c>
      <c r="C61" s="12" t="s">
        <v>72</v>
      </c>
      <c r="D61" s="13"/>
      <c r="T61" s="68"/>
      <c r="U61" s="263"/>
      <c r="V61" s="68"/>
      <c r="W61" s="263"/>
      <c r="X61" s="68"/>
      <c r="Y61" s="263"/>
    </row>
    <row r="62" spans="1:25" x14ac:dyDescent="0.25">
      <c r="A62" s="22" t="s">
        <v>51</v>
      </c>
      <c r="B62" s="40">
        <v>185</v>
      </c>
      <c r="C62" s="24">
        <v>1</v>
      </c>
      <c r="D62" s="25">
        <f t="shared" ref="D62:D66" si="2">B62*C62</f>
        <v>185</v>
      </c>
      <c r="T62" s="68"/>
      <c r="U62" s="263"/>
      <c r="V62" s="68"/>
      <c r="W62" s="263"/>
      <c r="X62" s="68"/>
      <c r="Y62" s="263"/>
    </row>
    <row r="63" spans="1:25" x14ac:dyDescent="0.25">
      <c r="A63" s="18"/>
      <c r="B63" s="19"/>
      <c r="C63" s="20"/>
      <c r="D63" s="21">
        <f t="shared" si="2"/>
        <v>0</v>
      </c>
      <c r="T63" s="68"/>
      <c r="U63" s="263"/>
      <c r="V63" s="68"/>
      <c r="W63" s="263"/>
      <c r="X63" s="68"/>
      <c r="Y63" s="263"/>
    </row>
    <row r="64" spans="1:25" x14ac:dyDescent="0.25">
      <c r="A64" s="18" t="s">
        <v>23</v>
      </c>
      <c r="B64" s="19">
        <v>12</v>
      </c>
      <c r="C64" s="20">
        <v>0.9</v>
      </c>
      <c r="D64" s="21">
        <f t="shared" si="2"/>
        <v>10.8</v>
      </c>
      <c r="T64" s="68"/>
      <c r="U64" s="263"/>
      <c r="V64" s="68"/>
      <c r="W64" s="263"/>
      <c r="X64" s="68"/>
      <c r="Y64" s="263"/>
    </row>
    <row r="65" spans="1:25" x14ac:dyDescent="0.25">
      <c r="A65" s="18" t="s">
        <v>18</v>
      </c>
      <c r="B65" s="19">
        <v>10</v>
      </c>
      <c r="C65" s="20">
        <v>0.5</v>
      </c>
      <c r="D65" s="21">
        <f t="shared" si="2"/>
        <v>5</v>
      </c>
      <c r="T65" s="68"/>
      <c r="U65" s="263"/>
      <c r="V65" s="68"/>
      <c r="W65" s="263"/>
      <c r="X65" s="68"/>
      <c r="Y65" s="263"/>
    </row>
    <row r="66" spans="1:25" x14ac:dyDescent="0.25">
      <c r="A66" s="18" t="s">
        <v>24</v>
      </c>
      <c r="B66" s="19">
        <v>41</v>
      </c>
      <c r="C66" s="20">
        <v>0.35</v>
      </c>
      <c r="D66" s="21">
        <f t="shared" si="2"/>
        <v>14.35</v>
      </c>
      <c r="T66" s="68"/>
      <c r="U66" s="263"/>
      <c r="V66" s="68"/>
      <c r="W66" s="263"/>
      <c r="X66" s="68"/>
      <c r="Y66" s="263"/>
    </row>
    <row r="67" spans="1:25" x14ac:dyDescent="0.25">
      <c r="A67" s="99" t="s">
        <v>25</v>
      </c>
      <c r="B67" s="71"/>
      <c r="C67" s="28"/>
      <c r="D67" s="29"/>
      <c r="T67" s="68"/>
      <c r="U67" s="263"/>
      <c r="V67" s="68"/>
      <c r="W67" s="263"/>
      <c r="X67" s="68"/>
      <c r="Y67" s="263"/>
    </row>
    <row r="68" spans="1:25" x14ac:dyDescent="0.25">
      <c r="A68" s="22" t="s">
        <v>26</v>
      </c>
      <c r="B68" s="23">
        <f>(B62+B64)/2+B65+B66</f>
        <v>149.5</v>
      </c>
      <c r="C68" s="24"/>
      <c r="D68" s="25"/>
      <c r="T68" s="68"/>
      <c r="U68" s="263"/>
      <c r="V68" s="68"/>
      <c r="W68" s="263"/>
      <c r="X68" s="68"/>
      <c r="Y68" s="263"/>
    </row>
    <row r="69" spans="1:25" x14ac:dyDescent="0.25">
      <c r="A69" s="18" t="s">
        <v>27</v>
      </c>
      <c r="B69" s="19">
        <f>B61-B68</f>
        <v>200.5</v>
      </c>
      <c r="C69" s="20"/>
      <c r="D69" s="21"/>
      <c r="T69" s="68"/>
      <c r="U69" s="263"/>
      <c r="V69" s="68"/>
      <c r="W69" s="263"/>
      <c r="X69" s="68"/>
      <c r="Y69" s="263"/>
    </row>
    <row r="70" spans="1:25" x14ac:dyDescent="0.25">
      <c r="A70" s="26" t="s">
        <v>28</v>
      </c>
      <c r="B70" s="104">
        <f>B69</f>
        <v>200.5</v>
      </c>
      <c r="C70" s="105">
        <v>0.25</v>
      </c>
      <c r="D70" s="106">
        <f>B70*C70</f>
        <v>50.125</v>
      </c>
      <c r="T70" s="68"/>
      <c r="U70" s="263"/>
      <c r="V70" s="68"/>
      <c r="W70" s="263"/>
      <c r="X70" s="68"/>
      <c r="Y70" s="263"/>
    </row>
    <row r="71" spans="1:25" ht="14.4" thickBot="1" x14ac:dyDescent="0.3">
      <c r="A71" s="100" t="s">
        <v>30</v>
      </c>
      <c r="B71" s="101"/>
      <c r="C71" s="102"/>
      <c r="D71" s="103">
        <f>SUM(D62:D70)</f>
        <v>265.27499999999998</v>
      </c>
      <c r="T71" s="68"/>
      <c r="U71" s="263"/>
      <c r="V71" s="68"/>
      <c r="W71" s="263"/>
      <c r="X71" s="68"/>
      <c r="Y71" s="263"/>
    </row>
    <row r="72" spans="1:25" x14ac:dyDescent="0.25">
      <c r="B72" s="19"/>
      <c r="D72" s="91"/>
      <c r="T72" s="68"/>
      <c r="U72" s="263"/>
      <c r="V72" s="68"/>
      <c r="W72" s="263"/>
      <c r="X72" s="68"/>
      <c r="Y72" s="263"/>
    </row>
    <row r="73" spans="1:25" x14ac:dyDescent="0.25">
      <c r="B73" s="19"/>
      <c r="D73" s="91"/>
      <c r="T73" s="68"/>
      <c r="U73" s="263"/>
      <c r="V73" s="68"/>
      <c r="W73" s="263"/>
      <c r="X73" s="68"/>
      <c r="Y73" s="263"/>
    </row>
    <row r="74" spans="1:25" x14ac:dyDescent="0.25">
      <c r="B74" s="19"/>
      <c r="D74" s="91"/>
      <c r="T74" s="68"/>
      <c r="U74" s="263"/>
      <c r="V74" s="68"/>
      <c r="W74" s="263"/>
      <c r="X74" s="68"/>
      <c r="Y74" s="263"/>
    </row>
    <row r="76" spans="1:25" ht="14.4" thickBot="1" x14ac:dyDescent="0.3">
      <c r="A76" t="s">
        <v>94</v>
      </c>
      <c r="B76">
        <v>2500</v>
      </c>
      <c r="F76" t="str">
        <f>A76</f>
        <v>לפי שומת הררי 2021</v>
      </c>
      <c r="G76">
        <v>3000</v>
      </c>
    </row>
    <row r="77" spans="1:25" x14ac:dyDescent="0.25">
      <c r="A77" s="10" t="s">
        <v>16</v>
      </c>
      <c r="B77" s="41" t="s">
        <v>20</v>
      </c>
      <c r="C77" s="41" t="s">
        <v>21</v>
      </c>
      <c r="D77" s="42" t="s">
        <v>22</v>
      </c>
      <c r="F77" s="10" t="s">
        <v>16</v>
      </c>
      <c r="G77" s="41" t="s">
        <v>20</v>
      </c>
      <c r="H77" s="41" t="s">
        <v>21</v>
      </c>
      <c r="I77" s="42" t="s">
        <v>22</v>
      </c>
    </row>
    <row r="78" spans="1:25" x14ac:dyDescent="0.25">
      <c r="A78" s="18" t="s">
        <v>14</v>
      </c>
      <c r="B78">
        <v>160</v>
      </c>
      <c r="C78">
        <v>1</v>
      </c>
      <c r="D78" s="21">
        <f t="shared" ref="D78:D83" si="3">C78*B78</f>
        <v>160</v>
      </c>
      <c r="F78" s="18" t="s">
        <v>14</v>
      </c>
      <c r="G78">
        <v>160</v>
      </c>
      <c r="H78">
        <v>1</v>
      </c>
      <c r="I78" s="21">
        <f>H78*G78</f>
        <v>160</v>
      </c>
    </row>
    <row r="79" spans="1:25" x14ac:dyDescent="0.25">
      <c r="A79" s="18" t="s">
        <v>15</v>
      </c>
      <c r="B79">
        <v>160</v>
      </c>
      <c r="C79">
        <v>1</v>
      </c>
      <c r="D79" s="21">
        <f t="shared" si="3"/>
        <v>160</v>
      </c>
      <c r="F79" s="18" t="s">
        <v>15</v>
      </c>
      <c r="G79">
        <v>160</v>
      </c>
      <c r="H79">
        <v>1</v>
      </c>
      <c r="I79" s="21">
        <f>H79*G79</f>
        <v>160</v>
      </c>
    </row>
    <row r="80" spans="1:25" x14ac:dyDescent="0.25">
      <c r="A80" s="18" t="s">
        <v>32</v>
      </c>
      <c r="B80">
        <v>55</v>
      </c>
      <c r="C80">
        <v>1</v>
      </c>
      <c r="D80" s="21">
        <f t="shared" si="3"/>
        <v>55</v>
      </c>
      <c r="F80" s="18" t="s">
        <v>32</v>
      </c>
      <c r="G80">
        <v>55</v>
      </c>
      <c r="H80">
        <v>1</v>
      </c>
      <c r="I80" s="21">
        <f>H80*G80</f>
        <v>55</v>
      </c>
    </row>
    <row r="81" spans="1:10" x14ac:dyDescent="0.25">
      <c r="A81" s="18" t="s">
        <v>26</v>
      </c>
      <c r="B81" s="40">
        <f>SUM(B78:B80)</f>
        <v>375</v>
      </c>
      <c r="D81" s="21"/>
      <c r="F81" s="18" t="s">
        <v>26</v>
      </c>
      <c r="G81" s="40">
        <f>SUM(G78:G80)</f>
        <v>375</v>
      </c>
      <c r="I81" s="21"/>
    </row>
    <row r="82" spans="1:10" x14ac:dyDescent="0.25">
      <c r="A82" s="18" t="s">
        <v>33</v>
      </c>
      <c r="B82">
        <v>1125</v>
      </c>
      <c r="C82" s="20">
        <v>0.25</v>
      </c>
      <c r="D82" s="21">
        <f t="shared" si="3"/>
        <v>281.25</v>
      </c>
      <c r="F82" s="18" t="s">
        <v>33</v>
      </c>
      <c r="G82">
        <v>1125</v>
      </c>
      <c r="H82" s="20">
        <v>0.25</v>
      </c>
      <c r="I82" s="21">
        <f>H82*G82</f>
        <v>281.25</v>
      </c>
    </row>
    <row r="83" spans="1:10" x14ac:dyDescent="0.25">
      <c r="A83" s="18" t="s">
        <v>53</v>
      </c>
      <c r="B83">
        <f>B76-B81-B82</f>
        <v>1000</v>
      </c>
      <c r="C83" s="20">
        <v>0.15</v>
      </c>
      <c r="D83" s="21">
        <f t="shared" si="3"/>
        <v>150</v>
      </c>
      <c r="F83" s="18" t="s">
        <v>53</v>
      </c>
      <c r="G83">
        <v>1000</v>
      </c>
      <c r="H83" s="20">
        <v>0.15</v>
      </c>
      <c r="I83" s="21">
        <f>H83*G83</f>
        <v>150</v>
      </c>
    </row>
    <row r="84" spans="1:10" x14ac:dyDescent="0.25">
      <c r="A84" s="18"/>
      <c r="C84" s="20"/>
      <c r="D84" s="21"/>
      <c r="F84" s="18" t="s">
        <v>71</v>
      </c>
      <c r="G84">
        <v>500</v>
      </c>
      <c r="H84" s="20">
        <v>0.1</v>
      </c>
      <c r="I84" s="127">
        <f>G84*H84</f>
        <v>50</v>
      </c>
    </row>
    <row r="85" spans="1:10" x14ac:dyDescent="0.25">
      <c r="A85" s="43" t="s">
        <v>30</v>
      </c>
      <c r="B85" s="40">
        <f>SUM(B78:B83)</f>
        <v>2875</v>
      </c>
      <c r="C85" s="40"/>
      <c r="D85" s="44">
        <f>SUM(D78:D83)</f>
        <v>806.25</v>
      </c>
      <c r="F85" s="43" t="s">
        <v>30</v>
      </c>
      <c r="G85" s="40">
        <f>SUM(G78:G84)</f>
        <v>3375</v>
      </c>
      <c r="H85" s="40"/>
      <c r="I85" s="44">
        <f>SUM(I78:I84)</f>
        <v>856.25</v>
      </c>
    </row>
    <row r="86" spans="1:10" ht="14.4" thickBot="1" x14ac:dyDescent="0.3">
      <c r="A86" s="34" t="s">
        <v>31</v>
      </c>
      <c r="B86" s="45"/>
      <c r="C86" s="45"/>
      <c r="D86" s="46">
        <f>D85</f>
        <v>806.25</v>
      </c>
      <c r="E86" s="72"/>
      <c r="F86" s="34" t="s">
        <v>31</v>
      </c>
      <c r="G86" s="45"/>
      <c r="H86" s="45"/>
      <c r="I86" s="46">
        <f>I85</f>
        <v>856.25</v>
      </c>
    </row>
    <row r="87" spans="1:10" x14ac:dyDescent="0.25">
      <c r="A87" t="s">
        <v>64</v>
      </c>
      <c r="D87" s="17">
        <v>175000</v>
      </c>
      <c r="F87" t="s">
        <v>64</v>
      </c>
      <c r="I87" s="17">
        <v>190000</v>
      </c>
    </row>
    <row r="93" spans="1:10" x14ac:dyDescent="0.25">
      <c r="A93" s="293" t="s">
        <v>269</v>
      </c>
      <c r="B93" s="293"/>
      <c r="C93" s="293"/>
      <c r="D93" s="293"/>
      <c r="G93" s="293" t="s">
        <v>277</v>
      </c>
      <c r="H93" s="293"/>
      <c r="I93" s="293"/>
      <c r="J93" s="293"/>
    </row>
    <row r="94" spans="1:10" x14ac:dyDescent="0.25">
      <c r="A94" t="s">
        <v>270</v>
      </c>
      <c r="G94" s="293" t="s">
        <v>278</v>
      </c>
      <c r="H94" s="293"/>
      <c r="I94" s="293"/>
      <c r="J94">
        <v>375</v>
      </c>
    </row>
    <row r="95" spans="1:10" x14ac:dyDescent="0.25">
      <c r="A95" t="s">
        <v>257</v>
      </c>
      <c r="B95" t="s">
        <v>258</v>
      </c>
      <c r="C95" t="s">
        <v>21</v>
      </c>
      <c r="D95" t="s">
        <v>8</v>
      </c>
      <c r="G95" t="s">
        <v>257</v>
      </c>
      <c r="H95" t="s">
        <v>79</v>
      </c>
      <c r="I95" t="s">
        <v>285</v>
      </c>
      <c r="J95" t="s">
        <v>280</v>
      </c>
    </row>
    <row r="96" spans="1:10" x14ac:dyDescent="0.25">
      <c r="A96" t="s">
        <v>271</v>
      </c>
      <c r="B96">
        <v>350</v>
      </c>
      <c r="C96">
        <v>0.15</v>
      </c>
      <c r="D96">
        <f>C96*B96</f>
        <v>52.5</v>
      </c>
      <c r="G96" t="s">
        <v>279</v>
      </c>
      <c r="H96">
        <v>205</v>
      </c>
      <c r="I96">
        <v>160</v>
      </c>
      <c r="J96">
        <f>H96-I96</f>
        <v>45</v>
      </c>
    </row>
    <row r="97" spans="1:10" x14ac:dyDescent="0.25">
      <c r="A97" t="s">
        <v>273</v>
      </c>
      <c r="D97">
        <f>'ניתוח איזור לעסקאות דמה'!E38</f>
        <v>9700</v>
      </c>
      <c r="G97" t="s">
        <v>282</v>
      </c>
      <c r="H97">
        <v>55</v>
      </c>
      <c r="I97">
        <v>55</v>
      </c>
      <c r="J97">
        <f>H97-I97</f>
        <v>0</v>
      </c>
    </row>
    <row r="98" spans="1:10" x14ac:dyDescent="0.25">
      <c r="A98" t="s">
        <v>274</v>
      </c>
      <c r="D98">
        <f>D97*D96</f>
        <v>509250</v>
      </c>
      <c r="G98" t="s">
        <v>281</v>
      </c>
      <c r="H98">
        <v>247</v>
      </c>
      <c r="I98">
        <v>160</v>
      </c>
      <c r="J98">
        <f>H98-I98</f>
        <v>87</v>
      </c>
    </row>
    <row r="99" spans="1:10" x14ac:dyDescent="0.25">
      <c r="G99" s="293" t="s">
        <v>283</v>
      </c>
      <c r="H99" s="293"/>
      <c r="I99" s="293"/>
      <c r="J99">
        <f>SUM(J96:J98)</f>
        <v>132</v>
      </c>
    </row>
    <row r="100" spans="1:10" x14ac:dyDescent="0.25">
      <c r="A100" t="s">
        <v>272</v>
      </c>
      <c r="G100" s="293" t="s">
        <v>284</v>
      </c>
      <c r="H100" s="293"/>
      <c r="I100" s="293"/>
      <c r="J100">
        <f>J99+J94</f>
        <v>507</v>
      </c>
    </row>
    <row r="101" spans="1:10" x14ac:dyDescent="0.25">
      <c r="A101" t="s">
        <v>143</v>
      </c>
      <c r="D101" s="91">
        <f>D57</f>
        <v>260.60000000000002</v>
      </c>
      <c r="G101" s="293" t="s">
        <v>174</v>
      </c>
      <c r="H101" s="293"/>
      <c r="I101" s="293"/>
      <c r="J101">
        <f>-160</f>
        <v>-160</v>
      </c>
    </row>
    <row r="102" spans="1:10" x14ac:dyDescent="0.25">
      <c r="A102" t="s">
        <v>264</v>
      </c>
      <c r="D102" s="91">
        <f>J50</f>
        <v>10714.89179709587</v>
      </c>
      <c r="G102" s="293" t="s">
        <v>286</v>
      </c>
      <c r="H102" s="293"/>
      <c r="I102" s="293"/>
      <c r="J102">
        <f>J100+J101</f>
        <v>347</v>
      </c>
    </row>
    <row r="103" spans="1:10" x14ac:dyDescent="0.25">
      <c r="A103" t="s">
        <v>275</v>
      </c>
      <c r="D103">
        <f>D102*D101</f>
        <v>2792300.802323184</v>
      </c>
    </row>
    <row r="104" spans="1:10" x14ac:dyDescent="0.25">
      <c r="A104" t="s">
        <v>151</v>
      </c>
      <c r="D104">
        <f>D103-D98</f>
        <v>2283050.802323184</v>
      </c>
    </row>
    <row r="105" spans="1:10" x14ac:dyDescent="0.25">
      <c r="A105" t="s">
        <v>276</v>
      </c>
      <c r="D105">
        <f>D104/2</f>
        <v>1141525.401161592</v>
      </c>
    </row>
    <row r="109" spans="1:10" x14ac:dyDescent="0.25">
      <c r="A109" s="293" t="s">
        <v>288</v>
      </c>
      <c r="B109" s="293"/>
      <c r="C109" s="293"/>
      <c r="D109" s="293"/>
    </row>
    <row r="110" spans="1:10" x14ac:dyDescent="0.25">
      <c r="A110" t="s">
        <v>270</v>
      </c>
      <c r="D110" s="91">
        <f>D71</f>
        <v>265.27499999999998</v>
      </c>
    </row>
    <row r="111" spans="1:10" x14ac:dyDescent="0.25">
      <c r="A111" t="s">
        <v>289</v>
      </c>
      <c r="D111">
        <v>0.7</v>
      </c>
    </row>
    <row r="112" spans="1:10" x14ac:dyDescent="0.25">
      <c r="A112" t="s">
        <v>290</v>
      </c>
      <c r="D112" s="72">
        <f>D110*D111</f>
        <v>185.69249999999997</v>
      </c>
    </row>
    <row r="114" spans="1:4" x14ac:dyDescent="0.25">
      <c r="A114" t="s">
        <v>272</v>
      </c>
      <c r="D114" s="91">
        <f>D71</f>
        <v>265.27499999999998</v>
      </c>
    </row>
    <row r="116" spans="1:4" x14ac:dyDescent="0.25">
      <c r="A116" t="s">
        <v>151</v>
      </c>
      <c r="D116" s="72">
        <f>D114-D112</f>
        <v>79.58250000000001</v>
      </c>
    </row>
    <row r="118" spans="1:4" x14ac:dyDescent="0.25">
      <c r="A118" t="s">
        <v>152</v>
      </c>
      <c r="D118" s="72">
        <f>D116/2</f>
        <v>39.791250000000005</v>
      </c>
    </row>
    <row r="119" spans="1:4" x14ac:dyDescent="0.25">
      <c r="A119" t="s">
        <v>291</v>
      </c>
      <c r="D119" s="91">
        <f>J50</f>
        <v>10714.89179709587</v>
      </c>
    </row>
    <row r="120" spans="1:4" x14ac:dyDescent="0.25">
      <c r="A120" t="s">
        <v>292</v>
      </c>
      <c r="D120" s="148">
        <f>D119*D118</f>
        <v>426358.93822119111</v>
      </c>
    </row>
    <row r="124" spans="1:4" x14ac:dyDescent="0.25">
      <c r="A124" s="293" t="s">
        <v>298</v>
      </c>
      <c r="B124" s="293"/>
      <c r="C124" s="293"/>
      <c r="D124" s="293"/>
    </row>
    <row r="125" spans="1:4" x14ac:dyDescent="0.25">
      <c r="A125" t="s">
        <v>273</v>
      </c>
      <c r="D125" s="91">
        <f>'ניתוח איזור לעסקאות דמה'!C7</f>
        <v>9700</v>
      </c>
    </row>
    <row r="126" spans="1:4" x14ac:dyDescent="0.25">
      <c r="A126" t="s">
        <v>299</v>
      </c>
      <c r="D126">
        <v>0.7</v>
      </c>
    </row>
    <row r="127" spans="1:4" x14ac:dyDescent="0.25">
      <c r="A127" t="s">
        <v>300</v>
      </c>
      <c r="D127" s="91">
        <f>D126*D125</f>
        <v>6790</v>
      </c>
    </row>
    <row r="128" spans="1:4" x14ac:dyDescent="0.25">
      <c r="A128" t="s">
        <v>227</v>
      </c>
      <c r="D128" s="91">
        <f>D127/2</f>
        <v>3395</v>
      </c>
    </row>
  </sheetData>
  <mergeCells count="15">
    <mergeCell ref="G100:I100"/>
    <mergeCell ref="G101:I101"/>
    <mergeCell ref="G102:I102"/>
    <mergeCell ref="A109:D109"/>
    <mergeCell ref="A124:D124"/>
    <mergeCell ref="A30:D30"/>
    <mergeCell ref="O56:O57"/>
    <mergeCell ref="O54:O55"/>
    <mergeCell ref="O47:O51"/>
    <mergeCell ref="G99:I99"/>
    <mergeCell ref="P51:R51"/>
    <mergeCell ref="O52:O53"/>
    <mergeCell ref="A93:D93"/>
    <mergeCell ref="G93:J93"/>
    <mergeCell ref="G94:I9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D1:J27"/>
  <sheetViews>
    <sheetView rightToLeft="1" workbookViewId="0">
      <selection activeCell="J31" sqref="J31"/>
    </sheetView>
  </sheetViews>
  <sheetFormatPr defaultRowHeight="13.8" x14ac:dyDescent="0.25"/>
  <cols>
    <col min="5" max="5" width="10.8984375" customWidth="1"/>
    <col min="6" max="7" width="10.59765625" customWidth="1"/>
    <col min="8" max="8" width="9.296875" customWidth="1"/>
    <col min="9" max="9" width="10.5" bestFit="1" customWidth="1"/>
    <col min="10" max="10" width="11" customWidth="1"/>
  </cols>
  <sheetData>
    <row r="1" spans="4:10" ht="14.4" thickBot="1" x14ac:dyDescent="0.3"/>
    <row r="2" spans="4:10" x14ac:dyDescent="0.25">
      <c r="D2" s="320" t="s">
        <v>240</v>
      </c>
      <c r="E2" s="318" t="s">
        <v>241</v>
      </c>
      <c r="F2" s="318" t="s">
        <v>242</v>
      </c>
      <c r="G2" s="318" t="s">
        <v>243</v>
      </c>
      <c r="H2" s="318" t="s">
        <v>8</v>
      </c>
      <c r="I2" s="318" t="s">
        <v>48</v>
      </c>
      <c r="J2" s="313" t="s">
        <v>227</v>
      </c>
    </row>
    <row r="3" spans="4:10" ht="14.4" thickBot="1" x14ac:dyDescent="0.3">
      <c r="D3" s="321"/>
      <c r="E3" s="319"/>
      <c r="F3" s="319"/>
      <c r="G3" s="319"/>
      <c r="H3" s="319"/>
      <c r="I3" s="319"/>
      <c r="J3" s="314"/>
    </row>
    <row r="4" spans="4:10" x14ac:dyDescent="0.25">
      <c r="D4" s="315">
        <v>1</v>
      </c>
      <c r="E4" s="316"/>
      <c r="F4" s="316"/>
      <c r="G4" s="316"/>
      <c r="H4" s="316"/>
      <c r="I4" s="316"/>
      <c r="J4" s="317"/>
    </row>
    <row r="5" spans="4:10" x14ac:dyDescent="0.25">
      <c r="D5" s="312"/>
      <c r="E5" s="309"/>
      <c r="F5" s="309"/>
      <c r="G5" s="309"/>
      <c r="H5" s="309"/>
      <c r="I5" s="309"/>
      <c r="J5" s="311"/>
    </row>
    <row r="6" spans="4:10" x14ac:dyDescent="0.25">
      <c r="D6" s="312">
        <v>2</v>
      </c>
      <c r="E6" s="309"/>
      <c r="F6" s="309"/>
      <c r="G6" s="309"/>
      <c r="H6" s="309"/>
      <c r="I6" s="309"/>
      <c r="J6" s="311"/>
    </row>
    <row r="7" spans="4:10" x14ac:dyDescent="0.25">
      <c r="D7" s="312"/>
      <c r="E7" s="309"/>
      <c r="F7" s="309"/>
      <c r="G7" s="309"/>
      <c r="H7" s="309"/>
      <c r="I7" s="309"/>
      <c r="J7" s="311"/>
    </row>
    <row r="8" spans="4:10" x14ac:dyDescent="0.25">
      <c r="D8" s="312">
        <v>3</v>
      </c>
      <c r="E8" s="309"/>
      <c r="F8" s="309"/>
      <c r="G8" s="309"/>
      <c r="H8" s="309"/>
      <c r="I8" s="309"/>
      <c r="J8" s="311"/>
    </row>
    <row r="9" spans="4:10" x14ac:dyDescent="0.25">
      <c r="D9" s="312"/>
      <c r="E9" s="309"/>
      <c r="F9" s="309"/>
      <c r="G9" s="309"/>
      <c r="H9" s="309"/>
      <c r="I9" s="309"/>
      <c r="J9" s="311"/>
    </row>
    <row r="10" spans="4:10" x14ac:dyDescent="0.25">
      <c r="D10" s="312">
        <v>4</v>
      </c>
      <c r="E10" s="309"/>
      <c r="F10" s="309"/>
      <c r="G10" s="309"/>
      <c r="H10" s="309"/>
      <c r="I10" s="309"/>
      <c r="J10" s="311"/>
    </row>
    <row r="11" spans="4:10" x14ac:dyDescent="0.25">
      <c r="D11" s="312"/>
      <c r="E11" s="309"/>
      <c r="F11" s="309"/>
      <c r="G11" s="309"/>
      <c r="H11" s="309"/>
      <c r="I11" s="309"/>
      <c r="J11" s="311"/>
    </row>
    <row r="12" spans="4:10" x14ac:dyDescent="0.25">
      <c r="D12" s="312">
        <v>5</v>
      </c>
      <c r="E12" s="309"/>
      <c r="F12" s="309"/>
      <c r="G12" s="309"/>
      <c r="H12" s="309"/>
      <c r="I12" s="309"/>
      <c r="J12" s="311"/>
    </row>
    <row r="13" spans="4:10" x14ac:dyDescent="0.25">
      <c r="D13" s="312"/>
      <c r="E13" s="309"/>
      <c r="F13" s="309"/>
      <c r="G13" s="309"/>
      <c r="H13" s="309"/>
      <c r="I13" s="309"/>
      <c r="J13" s="311"/>
    </row>
    <row r="14" spans="4:10" x14ac:dyDescent="0.25">
      <c r="D14" s="312">
        <v>6</v>
      </c>
      <c r="E14" s="309"/>
      <c r="F14" s="309"/>
      <c r="G14" s="309"/>
      <c r="H14" s="309"/>
      <c r="I14" s="309"/>
      <c r="J14" s="311"/>
    </row>
    <row r="15" spans="4:10" x14ac:dyDescent="0.25">
      <c r="D15" s="312"/>
      <c r="E15" s="309"/>
      <c r="F15" s="309"/>
      <c r="G15" s="309"/>
      <c r="H15" s="309"/>
      <c r="I15" s="309"/>
      <c r="J15" s="311"/>
    </row>
    <row r="16" spans="4:10" x14ac:dyDescent="0.25">
      <c r="D16" s="312">
        <v>7</v>
      </c>
      <c r="E16" s="309"/>
      <c r="F16" s="309"/>
      <c r="G16" s="309"/>
      <c r="H16" s="309"/>
      <c r="I16" s="309"/>
      <c r="J16" s="311"/>
    </row>
    <row r="17" spans="4:10" x14ac:dyDescent="0.25">
      <c r="D17" s="312"/>
      <c r="E17" s="309"/>
      <c r="F17" s="309"/>
      <c r="G17" s="309"/>
      <c r="H17" s="309"/>
      <c r="I17" s="309"/>
      <c r="J17" s="311"/>
    </row>
    <row r="18" spans="4:10" x14ac:dyDescent="0.25">
      <c r="D18" s="312">
        <v>8</v>
      </c>
      <c r="E18" s="309"/>
      <c r="F18" s="309"/>
      <c r="G18" s="309"/>
      <c r="H18" s="309"/>
      <c r="I18" s="309"/>
      <c r="J18" s="311"/>
    </row>
    <row r="19" spans="4:10" x14ac:dyDescent="0.25">
      <c r="D19" s="312"/>
      <c r="E19" s="309"/>
      <c r="F19" s="309"/>
      <c r="G19" s="309"/>
      <c r="H19" s="309"/>
      <c r="I19" s="309"/>
      <c r="J19" s="311"/>
    </row>
    <row r="20" spans="4:10" x14ac:dyDescent="0.25">
      <c r="D20" s="312">
        <v>9</v>
      </c>
      <c r="E20" s="309"/>
      <c r="F20" s="309"/>
      <c r="G20" s="309"/>
      <c r="H20" s="309"/>
      <c r="I20" s="309"/>
      <c r="J20" s="311"/>
    </row>
    <row r="21" spans="4:10" x14ac:dyDescent="0.25">
      <c r="D21" s="312"/>
      <c r="E21" s="309"/>
      <c r="F21" s="309"/>
      <c r="G21" s="309"/>
      <c r="H21" s="309"/>
      <c r="I21" s="309"/>
      <c r="J21" s="311"/>
    </row>
    <row r="22" spans="4:10" x14ac:dyDescent="0.25">
      <c r="D22" s="312">
        <v>10</v>
      </c>
      <c r="E22" s="309"/>
      <c r="F22" s="309"/>
      <c r="G22" s="309"/>
      <c r="H22" s="309"/>
      <c r="I22" s="309"/>
      <c r="J22" s="311"/>
    </row>
    <row r="23" spans="4:10" x14ac:dyDescent="0.25">
      <c r="D23" s="312"/>
      <c r="E23" s="309"/>
      <c r="F23" s="309"/>
      <c r="G23" s="309"/>
      <c r="H23" s="309"/>
      <c r="I23" s="309"/>
      <c r="J23" s="311"/>
    </row>
    <row r="24" spans="4:10" x14ac:dyDescent="0.25">
      <c r="D24" s="312">
        <v>11</v>
      </c>
      <c r="E24" s="309"/>
      <c r="F24" s="309"/>
      <c r="G24" s="309"/>
      <c r="H24" s="309"/>
      <c r="I24" s="309"/>
      <c r="J24" s="311"/>
    </row>
    <row r="25" spans="4:10" x14ac:dyDescent="0.25">
      <c r="D25" s="312"/>
      <c r="E25" s="309"/>
      <c r="F25" s="309"/>
      <c r="G25" s="309"/>
      <c r="H25" s="309"/>
      <c r="I25" s="309"/>
      <c r="J25" s="311"/>
    </row>
    <row r="26" spans="4:10" x14ac:dyDescent="0.25">
      <c r="D26" s="303" t="s">
        <v>8</v>
      </c>
      <c r="E26" s="304"/>
      <c r="F26" s="304"/>
      <c r="G26" s="305"/>
      <c r="H26" s="309">
        <f>SUM(H4:H25)</f>
        <v>0</v>
      </c>
      <c r="I26" s="309">
        <f t="shared" ref="I26:J26" si="0">SUM(I4:I25)</f>
        <v>0</v>
      </c>
      <c r="J26" s="309">
        <f t="shared" si="0"/>
        <v>0</v>
      </c>
    </row>
    <row r="27" spans="4:10" ht="14.4" thickBot="1" x14ac:dyDescent="0.3">
      <c r="D27" s="306"/>
      <c r="E27" s="307"/>
      <c r="F27" s="307"/>
      <c r="G27" s="308"/>
      <c r="H27" s="310"/>
      <c r="I27" s="310"/>
      <c r="J27" s="310"/>
    </row>
  </sheetData>
  <mergeCells count="88">
    <mergeCell ref="J2:J3"/>
    <mergeCell ref="D4:D5"/>
    <mergeCell ref="E4:E5"/>
    <mergeCell ref="F4:F5"/>
    <mergeCell ref="G4:G5"/>
    <mergeCell ref="H4:H5"/>
    <mergeCell ref="I4:I5"/>
    <mergeCell ref="J4:J5"/>
    <mergeCell ref="H2:H3"/>
    <mergeCell ref="D2:D3"/>
    <mergeCell ref="E2:E3"/>
    <mergeCell ref="F2:F3"/>
    <mergeCell ref="G2:G3"/>
    <mergeCell ref="I2:I3"/>
    <mergeCell ref="J6:J7"/>
    <mergeCell ref="D8:D9"/>
    <mergeCell ref="E8:E9"/>
    <mergeCell ref="F8:F9"/>
    <mergeCell ref="G8:G9"/>
    <mergeCell ref="H8:H9"/>
    <mergeCell ref="I8:I9"/>
    <mergeCell ref="J8:J9"/>
    <mergeCell ref="D6:D7"/>
    <mergeCell ref="E6:E7"/>
    <mergeCell ref="F6:F7"/>
    <mergeCell ref="G6:G7"/>
    <mergeCell ref="H6:H7"/>
    <mergeCell ref="I6:I7"/>
    <mergeCell ref="J10:J11"/>
    <mergeCell ref="D12:D13"/>
    <mergeCell ref="E12:E13"/>
    <mergeCell ref="F12:F13"/>
    <mergeCell ref="G12:G13"/>
    <mergeCell ref="H12:H13"/>
    <mergeCell ref="I12:I13"/>
    <mergeCell ref="J12:J13"/>
    <mergeCell ref="D10:D11"/>
    <mergeCell ref="E10:E11"/>
    <mergeCell ref="F10:F11"/>
    <mergeCell ref="G10:G11"/>
    <mergeCell ref="H10:H11"/>
    <mergeCell ref="I10:I11"/>
    <mergeCell ref="J14:J15"/>
    <mergeCell ref="D16:D17"/>
    <mergeCell ref="E16:E17"/>
    <mergeCell ref="F16:F17"/>
    <mergeCell ref="G16:G17"/>
    <mergeCell ref="H16:H17"/>
    <mergeCell ref="I16:I17"/>
    <mergeCell ref="J16:J17"/>
    <mergeCell ref="D14:D15"/>
    <mergeCell ref="E14:E15"/>
    <mergeCell ref="F14:F15"/>
    <mergeCell ref="G14:G15"/>
    <mergeCell ref="H14:H15"/>
    <mergeCell ref="I14:I15"/>
    <mergeCell ref="H22:H23"/>
    <mergeCell ref="I22:I23"/>
    <mergeCell ref="J18:J19"/>
    <mergeCell ref="D20:D21"/>
    <mergeCell ref="E20:E21"/>
    <mergeCell ref="F20:F21"/>
    <mergeCell ref="G20:G21"/>
    <mergeCell ref="H20:H21"/>
    <mergeCell ref="I20:I21"/>
    <mergeCell ref="J20:J21"/>
    <mergeCell ref="D18:D19"/>
    <mergeCell ref="E18:E19"/>
    <mergeCell ref="F18:F19"/>
    <mergeCell ref="G18:G19"/>
    <mergeCell ref="H18:H19"/>
    <mergeCell ref="I18:I19"/>
    <mergeCell ref="D26:G27"/>
    <mergeCell ref="H26:H27"/>
    <mergeCell ref="I26:I27"/>
    <mergeCell ref="J26:J27"/>
    <mergeCell ref="J22:J23"/>
    <mergeCell ref="D24:D25"/>
    <mergeCell ref="E24:E25"/>
    <mergeCell ref="F24:F25"/>
    <mergeCell ref="G24:G25"/>
    <mergeCell ref="H24:H25"/>
    <mergeCell ref="I24:I25"/>
    <mergeCell ref="J24:J25"/>
    <mergeCell ref="D22:D23"/>
    <mergeCell ref="E22:E23"/>
    <mergeCell ref="F22:F23"/>
    <mergeCell ref="G22:G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M38"/>
  <sheetViews>
    <sheetView rightToLeft="1" zoomScaleNormal="100" workbookViewId="0">
      <selection activeCell="Q15" sqref="Q15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0.796875" style="17" bestFit="1" customWidth="1"/>
    <col min="6" max="6" width="9.89843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</cols>
  <sheetData>
    <row r="2" spans="2:13" ht="15.6" x14ac:dyDescent="0.4">
      <c r="B2" s="39" t="s">
        <v>155</v>
      </c>
      <c r="C2" s="39"/>
      <c r="D2" s="130"/>
    </row>
    <row r="3" spans="2:13" x14ac:dyDescent="0.25">
      <c r="B3" t="s">
        <v>93</v>
      </c>
      <c r="C3" s="148"/>
      <c r="D3" s="148"/>
      <c r="G3" s="189"/>
      <c r="H3" s="148"/>
      <c r="I3" s="149"/>
      <c r="J3" s="149"/>
    </row>
    <row r="4" spans="2:13" x14ac:dyDescent="0.25">
      <c r="B4" t="s">
        <v>129</v>
      </c>
      <c r="C4" s="186"/>
      <c r="D4" s="38"/>
      <c r="G4" s="189"/>
      <c r="J4" s="149"/>
    </row>
    <row r="5" spans="2:13" x14ac:dyDescent="0.25">
      <c r="B5" t="s">
        <v>130</v>
      </c>
    </row>
    <row r="6" spans="2:13" x14ac:dyDescent="0.25">
      <c r="B6" t="s">
        <v>131</v>
      </c>
      <c r="C6" s="149"/>
      <c r="D6" s="148"/>
    </row>
    <row r="7" spans="2:13" x14ac:dyDescent="0.25">
      <c r="B7" t="s">
        <v>145</v>
      </c>
      <c r="C7" s="91">
        <f>E38</f>
        <v>9700</v>
      </c>
    </row>
    <row r="8" spans="2:13" x14ac:dyDescent="0.25">
      <c r="C8" s="149"/>
    </row>
    <row r="9" spans="2:13" x14ac:dyDescent="0.25">
      <c r="B9" s="39" t="s">
        <v>132</v>
      </c>
      <c r="C9" s="150"/>
    </row>
    <row r="10" spans="2:13" ht="27.6" x14ac:dyDescent="0.4">
      <c r="B10" s="39" t="s">
        <v>134</v>
      </c>
      <c r="C10" s="39" t="s">
        <v>133</v>
      </c>
      <c r="D10" s="130" t="s">
        <v>135</v>
      </c>
      <c r="E10" s="130" t="s">
        <v>136</v>
      </c>
      <c r="F10" s="130" t="s">
        <v>137</v>
      </c>
      <c r="G10" s="130" t="s">
        <v>138</v>
      </c>
      <c r="H10" s="188" t="s">
        <v>139</v>
      </c>
      <c r="I10" s="130" t="s">
        <v>140</v>
      </c>
      <c r="J10" s="130" t="s">
        <v>141</v>
      </c>
      <c r="K10" s="130" t="s">
        <v>142</v>
      </c>
      <c r="L10" s="130" t="s">
        <v>143</v>
      </c>
      <c r="M10" s="130" t="s">
        <v>144</v>
      </c>
    </row>
    <row r="11" spans="2:13" x14ac:dyDescent="0.25">
      <c r="B11" s="187"/>
    </row>
    <row r="15" spans="2:13" x14ac:dyDescent="0.25">
      <c r="C15" s="149"/>
    </row>
    <row r="16" spans="2:13" x14ac:dyDescent="0.25">
      <c r="C16" s="149"/>
    </row>
    <row r="17" spans="2:6" x14ac:dyDescent="0.25">
      <c r="B17" s="39"/>
    </row>
    <row r="18" spans="2:6" x14ac:dyDescent="0.25">
      <c r="C18" s="148"/>
    </row>
    <row r="19" spans="2:6" x14ac:dyDescent="0.25">
      <c r="C19" s="17"/>
    </row>
    <row r="21" spans="2:6" x14ac:dyDescent="0.25">
      <c r="C21" s="149"/>
    </row>
    <row r="22" spans="2:6" x14ac:dyDescent="0.25">
      <c r="C22" s="149"/>
    </row>
    <row r="23" spans="2:6" x14ac:dyDescent="0.25">
      <c r="C23" s="149"/>
    </row>
    <row r="24" spans="2:6" x14ac:dyDescent="0.25">
      <c r="B24" s="309" t="s">
        <v>255</v>
      </c>
      <c r="C24" s="309"/>
      <c r="D24" s="309"/>
      <c r="E24" s="309"/>
      <c r="F24" s="259" t="s">
        <v>256</v>
      </c>
    </row>
    <row r="25" spans="2:6" x14ac:dyDescent="0.25">
      <c r="B25" s="229" t="s">
        <v>257</v>
      </c>
      <c r="C25" s="229" t="s">
        <v>258</v>
      </c>
      <c r="D25" s="259" t="s">
        <v>21</v>
      </c>
      <c r="E25" s="259" t="s">
        <v>8</v>
      </c>
      <c r="F25" s="259">
        <v>500</v>
      </c>
    </row>
    <row r="26" spans="2:6" x14ac:dyDescent="0.25">
      <c r="B26" s="229" t="s">
        <v>259</v>
      </c>
      <c r="C26" s="229">
        <f>200/2-3.5</f>
        <v>96.5</v>
      </c>
      <c r="D26" s="259">
        <v>1</v>
      </c>
      <c r="E26" s="259">
        <f t="shared" ref="E26:E30" si="0">D26*C26</f>
        <v>96.5</v>
      </c>
      <c r="F26" s="259"/>
    </row>
    <row r="27" spans="2:6" x14ac:dyDescent="0.25">
      <c r="B27" s="229" t="s">
        <v>66</v>
      </c>
      <c r="C27" s="229">
        <v>7</v>
      </c>
      <c r="D27" s="259">
        <v>0.9</v>
      </c>
      <c r="E27" s="259">
        <f t="shared" si="0"/>
        <v>6.3</v>
      </c>
      <c r="F27" s="259"/>
    </row>
    <row r="28" spans="2:6" x14ac:dyDescent="0.25">
      <c r="B28" s="229" t="s">
        <v>260</v>
      </c>
      <c r="C28" s="229">
        <f>200-C26</f>
        <v>103.5</v>
      </c>
      <c r="D28" s="259">
        <v>1</v>
      </c>
      <c r="E28" s="259">
        <f t="shared" si="0"/>
        <v>103.5</v>
      </c>
      <c r="F28" s="259"/>
    </row>
    <row r="29" spans="2:6" x14ac:dyDescent="0.25">
      <c r="B29" s="229" t="s">
        <v>95</v>
      </c>
      <c r="C29" s="229">
        <f>40-C27</f>
        <v>33</v>
      </c>
      <c r="D29" s="259">
        <v>0.5</v>
      </c>
      <c r="E29" s="259">
        <f t="shared" si="0"/>
        <v>16.5</v>
      </c>
      <c r="F29" s="259"/>
    </row>
    <row r="30" spans="2:6" x14ac:dyDescent="0.25">
      <c r="B30" s="229" t="s">
        <v>261</v>
      </c>
      <c r="C30" s="229">
        <v>50</v>
      </c>
      <c r="D30" s="259">
        <v>0.5</v>
      </c>
      <c r="E30" s="259">
        <f t="shared" si="0"/>
        <v>25</v>
      </c>
      <c r="F30" s="259"/>
    </row>
    <row r="31" spans="2:6" x14ac:dyDescent="0.25">
      <c r="B31" s="229" t="s">
        <v>52</v>
      </c>
      <c r="C31" s="260">
        <f>F25-C26-C27-C29</f>
        <v>363.5</v>
      </c>
      <c r="D31" s="259">
        <v>0.25</v>
      </c>
      <c r="E31" s="259">
        <f>D31*C31</f>
        <v>90.875</v>
      </c>
      <c r="F31" s="259"/>
    </row>
    <row r="32" spans="2:6" x14ac:dyDescent="0.25">
      <c r="B32" s="309" t="s">
        <v>262</v>
      </c>
      <c r="C32" s="309"/>
      <c r="D32" s="309"/>
      <c r="E32" s="259">
        <f>SUM(E26:E31)</f>
        <v>338.67500000000001</v>
      </c>
      <c r="F32" s="259"/>
    </row>
    <row r="33" spans="2:6" x14ac:dyDescent="0.25">
      <c r="B33" s="309" t="s">
        <v>263</v>
      </c>
      <c r="C33" s="309"/>
      <c r="D33" s="309"/>
      <c r="E33" s="259">
        <f>3200000*1.1</f>
        <v>3520000.0000000005</v>
      </c>
      <c r="F33" s="259"/>
    </row>
    <row r="34" spans="2:6" x14ac:dyDescent="0.25">
      <c r="B34" s="328" t="s">
        <v>264</v>
      </c>
      <c r="C34" s="328"/>
      <c r="D34" s="328"/>
      <c r="E34" s="261">
        <f>E33/E32</f>
        <v>10393.445043182994</v>
      </c>
      <c r="F34" s="259"/>
    </row>
    <row r="35" spans="2:6" x14ac:dyDescent="0.25">
      <c r="B35" s="309" t="s">
        <v>265</v>
      </c>
      <c r="C35" s="309"/>
      <c r="D35" s="309"/>
      <c r="E35" s="259">
        <f>E34/0.97</f>
        <v>10714.89179709587</v>
      </c>
    </row>
    <row r="36" spans="2:6" x14ac:dyDescent="0.25">
      <c r="B36" s="309" t="s">
        <v>266</v>
      </c>
      <c r="C36" s="309"/>
      <c r="D36" s="309"/>
      <c r="E36" s="262">
        <v>0.9</v>
      </c>
    </row>
    <row r="37" spans="2:6" x14ac:dyDescent="0.25">
      <c r="B37" s="322" t="s">
        <v>267</v>
      </c>
      <c r="C37" s="323"/>
      <c r="D37" s="324"/>
      <c r="E37" s="259">
        <f>E36*E35</f>
        <v>9643.402617386284</v>
      </c>
    </row>
    <row r="38" spans="2:6" x14ac:dyDescent="0.25">
      <c r="B38" s="325" t="s">
        <v>268</v>
      </c>
      <c r="C38" s="326"/>
      <c r="D38" s="327"/>
      <c r="E38" s="261">
        <v>9700</v>
      </c>
    </row>
  </sheetData>
  <mergeCells count="8">
    <mergeCell ref="B37:D37"/>
    <mergeCell ref="B38:D38"/>
    <mergeCell ref="B24:E24"/>
    <mergeCell ref="B32:D32"/>
    <mergeCell ref="B33:D33"/>
    <mergeCell ref="B34:D34"/>
    <mergeCell ref="B35:D35"/>
    <mergeCell ref="B36:D3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D17" sqref="D17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19" t="s">
        <v>34</v>
      </c>
      <c r="B2" s="191" t="s">
        <v>162</v>
      </c>
      <c r="C2" s="119" t="s">
        <v>163</v>
      </c>
      <c r="D2" s="257" t="s">
        <v>247</v>
      </c>
      <c r="E2" s="96" t="s">
        <v>246</v>
      </c>
      <c r="F2" s="257" t="s">
        <v>244</v>
      </c>
      <c r="G2" s="258" t="s">
        <v>245</v>
      </c>
      <c r="H2" s="96" t="s">
        <v>248</v>
      </c>
      <c r="I2" s="47" t="s">
        <v>249</v>
      </c>
      <c r="J2" s="116"/>
      <c r="K2" s="116"/>
      <c r="L2" s="116"/>
      <c r="M2" s="116"/>
      <c r="N2" s="47"/>
      <c r="O2" s="47"/>
      <c r="P2" s="47"/>
      <c r="Q2" s="116"/>
      <c r="R2" s="116"/>
      <c r="S2" s="117"/>
    </row>
    <row r="3" spans="1:19" x14ac:dyDescent="0.25">
      <c r="A3" s="120" t="s">
        <v>150</v>
      </c>
      <c r="B3" s="192"/>
      <c r="C3" s="120"/>
      <c r="D3" s="92">
        <f>150+48*2</f>
        <v>246</v>
      </c>
      <c r="E3" s="143">
        <v>18</v>
      </c>
      <c r="F3" s="92">
        <f>107+76*2</f>
        <v>259</v>
      </c>
      <c r="G3" s="143">
        <v>7</v>
      </c>
      <c r="H3" s="143">
        <v>103</v>
      </c>
      <c r="I3" s="64">
        <v>28</v>
      </c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0" t="s">
        <v>92</v>
      </c>
      <c r="B4" s="192"/>
      <c r="C4" s="120"/>
      <c r="D4" s="92"/>
      <c r="E4" s="143"/>
      <c r="F4" s="92"/>
      <c r="G4" s="143"/>
      <c r="H4" s="143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0" t="s">
        <v>74</v>
      </c>
      <c r="B5" s="192"/>
      <c r="C5" s="120"/>
      <c r="D5" s="92"/>
      <c r="E5" s="143"/>
      <c r="F5" s="92"/>
      <c r="G5" s="143"/>
      <c r="H5" s="143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0" t="s">
        <v>146</v>
      </c>
      <c r="B6" s="192"/>
      <c r="C6" s="120"/>
      <c r="D6" s="256"/>
      <c r="E6" s="143"/>
      <c r="F6" s="256">
        <v>47</v>
      </c>
      <c r="G6" s="143"/>
      <c r="H6" s="143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0" t="s">
        <v>147</v>
      </c>
      <c r="B7" s="192"/>
      <c r="C7" s="120"/>
      <c r="D7" s="92">
        <v>33</v>
      </c>
      <c r="E7" s="64"/>
      <c r="F7" s="92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0" t="s">
        <v>148</v>
      </c>
      <c r="B8" s="192"/>
      <c r="C8" s="120"/>
      <c r="D8" s="93"/>
      <c r="E8" s="54"/>
      <c r="F8" s="93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0" t="s">
        <v>149</v>
      </c>
      <c r="B9" s="193"/>
      <c r="C9" s="208"/>
      <c r="D9" s="94"/>
      <c r="E9" s="56"/>
      <c r="F9" s="94"/>
      <c r="G9" s="56"/>
      <c r="H9" s="56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1" t="s">
        <v>49</v>
      </c>
      <c r="B10" s="194"/>
      <c r="C10" s="122"/>
      <c r="D10" s="94"/>
      <c r="E10" s="56"/>
      <c r="F10" s="94"/>
      <c r="G10" s="56"/>
      <c r="H10" s="56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2" t="s">
        <v>89</v>
      </c>
      <c r="B11" s="194"/>
      <c r="C11" s="122"/>
      <c r="D11" s="94"/>
      <c r="E11" s="56"/>
      <c r="F11" s="94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3" t="s">
        <v>85</v>
      </c>
      <c r="B12" s="195"/>
      <c r="C12" s="123"/>
      <c r="D12" s="95"/>
      <c r="E12" s="90"/>
      <c r="F12" s="95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199" t="s">
        <v>35</v>
      </c>
      <c r="B13" s="210"/>
      <c r="C13" s="209"/>
      <c r="D13" s="206">
        <f>SUM(D4:D12)</f>
        <v>33</v>
      </c>
      <c r="E13" s="200">
        <f>SUM(E4:E12)</f>
        <v>0</v>
      </c>
      <c r="F13" s="200">
        <f>SUM(F3:F12)</f>
        <v>306</v>
      </c>
      <c r="G13" s="206">
        <f>SUM(G4:G12)</f>
        <v>0</v>
      </c>
      <c r="H13" s="200">
        <f>SUM(H3:H12)</f>
        <v>103</v>
      </c>
      <c r="I13" s="201">
        <f t="shared" ref="I13:S13" si="0">SUM(I3:I12)</f>
        <v>28</v>
      </c>
      <c r="J13" s="201">
        <f t="shared" si="0"/>
        <v>0</v>
      </c>
      <c r="K13" s="201">
        <f t="shared" si="0"/>
        <v>0</v>
      </c>
      <c r="L13" s="201">
        <f t="shared" si="0"/>
        <v>0</v>
      </c>
      <c r="M13" s="201">
        <f t="shared" si="0"/>
        <v>0</v>
      </c>
      <c r="N13" s="202">
        <f t="shared" si="0"/>
        <v>0</v>
      </c>
      <c r="O13" s="202">
        <f t="shared" si="0"/>
        <v>0</v>
      </c>
      <c r="P13" s="202">
        <f t="shared" si="0"/>
        <v>0</v>
      </c>
      <c r="Q13" s="201">
        <f t="shared" si="0"/>
        <v>0</v>
      </c>
      <c r="R13" s="201">
        <f t="shared" si="0"/>
        <v>0</v>
      </c>
      <c r="S13" s="203">
        <f t="shared" si="0"/>
        <v>0</v>
      </c>
    </row>
    <row r="14" spans="1:19" ht="28.2" thickBot="1" x14ac:dyDescent="0.3">
      <c r="A14" s="125" t="s">
        <v>36</v>
      </c>
      <c r="B14" s="191" t="s">
        <v>162</v>
      </c>
      <c r="C14" s="119" t="s">
        <v>163</v>
      </c>
      <c r="D14" s="205"/>
      <c r="E14" s="204"/>
      <c r="F14" s="205"/>
      <c r="G14" s="62"/>
      <c r="H14" s="62"/>
      <c r="I14" s="62"/>
      <c r="J14" s="62"/>
      <c r="K14" s="62"/>
      <c r="L14" s="62"/>
      <c r="M14" s="139"/>
      <c r="N14" s="62"/>
      <c r="O14" s="62"/>
      <c r="P14" s="62"/>
      <c r="Q14" s="139"/>
      <c r="R14" s="139"/>
      <c r="S14" s="63"/>
    </row>
    <row r="15" spans="1:19" x14ac:dyDescent="0.25">
      <c r="A15" s="121" t="s">
        <v>203</v>
      </c>
      <c r="B15" s="196"/>
      <c r="C15" s="121"/>
      <c r="D15" s="52"/>
      <c r="E15" s="144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1" t="s">
        <v>200</v>
      </c>
      <c r="B16" s="196"/>
      <c r="C16" s="121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1" t="s">
        <v>250</v>
      </c>
      <c r="B17" s="196" t="s">
        <v>164</v>
      </c>
      <c r="C17" s="121" t="s">
        <v>164</v>
      </c>
      <c r="D17" s="52">
        <v>221.14</v>
      </c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1" t="s">
        <v>202</v>
      </c>
      <c r="B18" s="196"/>
      <c r="C18" s="121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1" t="s">
        <v>202</v>
      </c>
      <c r="B19" s="196"/>
      <c r="C19" s="121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1" t="s">
        <v>201</v>
      </c>
      <c r="B20" s="196"/>
      <c r="C20" s="121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1"/>
      <c r="B21" s="196"/>
      <c r="C21" s="121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1"/>
      <c r="B22" s="196"/>
      <c r="C22" s="121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3"/>
      <c r="B23" s="195"/>
      <c r="C23" s="123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6" t="s">
        <v>88</v>
      </c>
      <c r="B24" s="197"/>
      <c r="C24" s="126"/>
      <c r="D24" s="207">
        <f>SUM(D17:D23)</f>
        <v>221.14</v>
      </c>
      <c r="E24" s="118">
        <f>SUM(E17:E23)</f>
        <v>0</v>
      </c>
      <c r="F24" s="118">
        <f t="shared" ref="F24:S24" si="1">SUM(F15:F23)</f>
        <v>0</v>
      </c>
      <c r="G24" s="118">
        <f t="shared" si="1"/>
        <v>0</v>
      </c>
      <c r="H24" s="118">
        <f t="shared" si="1"/>
        <v>0</v>
      </c>
      <c r="I24" s="118">
        <f t="shared" si="1"/>
        <v>0</v>
      </c>
      <c r="J24" s="118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0">
        <f t="shared" si="1"/>
        <v>0</v>
      </c>
      <c r="R24" s="140">
        <f t="shared" si="1"/>
        <v>0</v>
      </c>
      <c r="S24" s="138">
        <f t="shared" si="1"/>
        <v>0</v>
      </c>
    </row>
    <row r="25" spans="1:19" ht="14.4" thickBot="1" x14ac:dyDescent="0.3">
      <c r="A25" s="124" t="s">
        <v>37</v>
      </c>
      <c r="B25" s="198"/>
      <c r="C25" s="124"/>
      <c r="D25" s="141">
        <f t="shared" ref="D25:S25" si="2">D13-D24</f>
        <v>-188.14</v>
      </c>
      <c r="E25" s="137">
        <f t="shared" si="2"/>
        <v>0</v>
      </c>
      <c r="F25" s="137">
        <f t="shared" si="2"/>
        <v>306</v>
      </c>
      <c r="G25" s="137">
        <f t="shared" si="2"/>
        <v>0</v>
      </c>
      <c r="H25" s="137">
        <f t="shared" si="2"/>
        <v>103</v>
      </c>
      <c r="I25" s="137">
        <f t="shared" si="2"/>
        <v>28</v>
      </c>
      <c r="J25" s="137">
        <f t="shared" si="2"/>
        <v>0</v>
      </c>
      <c r="K25" s="137">
        <f t="shared" si="2"/>
        <v>0</v>
      </c>
      <c r="L25" s="137">
        <f t="shared" si="2"/>
        <v>0</v>
      </c>
      <c r="M25" s="137">
        <f t="shared" si="2"/>
        <v>0</v>
      </c>
      <c r="N25" s="137">
        <f t="shared" si="2"/>
        <v>0</v>
      </c>
      <c r="O25" s="137">
        <f t="shared" si="2"/>
        <v>0</v>
      </c>
      <c r="P25" s="137">
        <f t="shared" si="2"/>
        <v>0</v>
      </c>
      <c r="Q25" s="142">
        <f t="shared" si="2"/>
        <v>0</v>
      </c>
      <c r="R25" s="141">
        <f t="shared" si="2"/>
        <v>0</v>
      </c>
      <c r="S25" s="145">
        <f t="shared" si="2"/>
        <v>0</v>
      </c>
    </row>
    <row r="26" spans="1:19" x14ac:dyDescent="0.25">
      <c r="D26" s="134"/>
      <c r="E26" s="73"/>
      <c r="F26" s="147"/>
      <c r="H26" s="73"/>
      <c r="I26" s="73"/>
      <c r="J26" s="73"/>
      <c r="K26" s="97"/>
      <c r="L26" s="147"/>
      <c r="M26" s="73"/>
    </row>
    <row r="27" spans="1:19" x14ac:dyDescent="0.25">
      <c r="A27" t="s">
        <v>86</v>
      </c>
      <c r="D27" s="135">
        <f>D8+D7</f>
        <v>33</v>
      </c>
      <c r="F27" s="73"/>
    </row>
    <row r="28" spans="1:19" x14ac:dyDescent="0.25">
      <c r="E28" s="91">
        <f>E3*9300*5%*7</f>
        <v>58590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38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-33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-33</v>
      </c>
      <c r="J35" s="72"/>
    </row>
    <row r="36" spans="1:10" x14ac:dyDescent="0.25">
      <c r="A36" t="s">
        <v>39</v>
      </c>
      <c r="E36" s="38">
        <v>375</v>
      </c>
      <c r="H36" s="91"/>
    </row>
    <row r="37" spans="1:10" x14ac:dyDescent="0.25">
      <c r="A37" s="40" t="s">
        <v>40</v>
      </c>
      <c r="B37" s="40"/>
      <c r="C37" s="40"/>
      <c r="D37" s="40"/>
      <c r="E37" s="23">
        <f>SUM(E35:E36)</f>
        <v>342</v>
      </c>
    </row>
    <row r="38" spans="1:10" x14ac:dyDescent="0.25">
      <c r="A38" t="s">
        <v>41</v>
      </c>
      <c r="E38" s="17">
        <f>-E24-F24-I24</f>
        <v>0</v>
      </c>
    </row>
    <row r="39" spans="1:10" x14ac:dyDescent="0.25">
      <c r="A39" s="40" t="s">
        <v>42</v>
      </c>
      <c r="B39" s="40"/>
      <c r="C39" s="40"/>
      <c r="D39" s="40"/>
      <c r="E39" s="70">
        <f>SUM(E37:E38)</f>
        <v>342</v>
      </c>
    </row>
    <row r="43" spans="1:10" x14ac:dyDescent="0.25">
      <c r="A43" s="129" t="s">
        <v>75</v>
      </c>
      <c r="B43" s="129"/>
      <c r="C43" s="129"/>
    </row>
    <row r="44" spans="1:10" ht="15.6" x14ac:dyDescent="0.4">
      <c r="A44" s="39" t="s">
        <v>76</v>
      </c>
      <c r="B44" s="39"/>
      <c r="C44" s="39"/>
      <c r="D44" s="39" t="s">
        <v>78</v>
      </c>
      <c r="E44" s="130" t="s">
        <v>79</v>
      </c>
      <c r="F44" s="39" t="s">
        <v>82</v>
      </c>
      <c r="G44" s="39"/>
      <c r="H44" s="17"/>
      <c r="I44" s="17"/>
    </row>
    <row r="45" spans="1:10" x14ac:dyDescent="0.25">
      <c r="A45" t="s">
        <v>43</v>
      </c>
      <c r="F45" s="91">
        <f>E45-D45</f>
        <v>0</v>
      </c>
    </row>
    <row r="46" spans="1:10" x14ac:dyDescent="0.25">
      <c r="A46" t="s">
        <v>77</v>
      </c>
      <c r="F46" s="91">
        <f>E46-D46</f>
        <v>0</v>
      </c>
    </row>
    <row r="47" spans="1:10" x14ac:dyDescent="0.25">
      <c r="A47" s="107" t="s">
        <v>80</v>
      </c>
      <c r="B47" s="107"/>
      <c r="C47" s="107"/>
      <c r="D47" s="107">
        <f>SUM(D45:D46)</f>
        <v>0</v>
      </c>
      <c r="E47" s="70">
        <f>SUM(E45:E46)</f>
        <v>0</v>
      </c>
      <c r="F47" s="131">
        <f>E47-D47</f>
        <v>0</v>
      </c>
    </row>
    <row r="49" spans="1:10" ht="15.6" x14ac:dyDescent="0.4">
      <c r="A49" s="39" t="s">
        <v>81</v>
      </c>
      <c r="B49" s="39"/>
      <c r="C49" s="39"/>
      <c r="D49" s="39" t="s">
        <v>78</v>
      </c>
      <c r="E49" s="130" t="s">
        <v>79</v>
      </c>
      <c r="F49" s="39" t="s">
        <v>82</v>
      </c>
    </row>
    <row r="50" spans="1:10" x14ac:dyDescent="0.25">
      <c r="A50" t="s">
        <v>43</v>
      </c>
      <c r="F50" s="91">
        <f>E50-D50</f>
        <v>0</v>
      </c>
      <c r="G50" s="39"/>
      <c r="J50" s="17"/>
    </row>
    <row r="51" spans="1:10" x14ac:dyDescent="0.25">
      <c r="A51" t="s">
        <v>77</v>
      </c>
      <c r="F51" s="91">
        <f>E51-D51</f>
        <v>0</v>
      </c>
    </row>
    <row r="52" spans="1:10" x14ac:dyDescent="0.25">
      <c r="A52" s="107" t="s">
        <v>80</v>
      </c>
      <c r="B52" s="107"/>
      <c r="C52" s="107"/>
      <c r="D52" s="107">
        <f>SUM(D50:D51)</f>
        <v>0</v>
      </c>
      <c r="E52" s="70">
        <f>SUM(E50:E51)</f>
        <v>0</v>
      </c>
      <c r="F52" s="131">
        <f>E52-D52</f>
        <v>0</v>
      </c>
      <c r="J52" s="146"/>
    </row>
    <row r="54" spans="1:10" x14ac:dyDescent="0.25">
      <c r="A54" s="132" t="s">
        <v>8</v>
      </c>
      <c r="B54" s="132"/>
      <c r="C54" s="132"/>
      <c r="D54" s="132">
        <f>D52+D47</f>
        <v>0</v>
      </c>
      <c r="E54" s="132">
        <f>E52+E47</f>
        <v>0</v>
      </c>
      <c r="F54" s="133">
        <f>F52+F47</f>
        <v>0</v>
      </c>
    </row>
    <row r="58" spans="1:10" x14ac:dyDescent="0.25">
      <c r="G58" s="39"/>
      <c r="J58" s="17"/>
    </row>
    <row r="60" spans="1:10" x14ac:dyDescent="0.25">
      <c r="J60" s="14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A3" sqref="A3:F6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166</v>
      </c>
      <c r="B2" s="39" t="s">
        <v>167</v>
      </c>
      <c r="C2" s="39" t="s">
        <v>134</v>
      </c>
      <c r="D2" s="39" t="s">
        <v>168</v>
      </c>
    </row>
    <row r="3" spans="1:6" x14ac:dyDescent="0.25">
      <c r="A3" t="s">
        <v>169</v>
      </c>
      <c r="B3" t="s">
        <v>251</v>
      </c>
      <c r="C3" s="187">
        <v>45565</v>
      </c>
      <c r="D3" s="39">
        <v>3.5</v>
      </c>
      <c r="E3" t="s">
        <v>173</v>
      </c>
    </row>
    <row r="4" spans="1:6" x14ac:dyDescent="0.25">
      <c r="A4" t="s">
        <v>169</v>
      </c>
      <c r="B4" t="s">
        <v>170</v>
      </c>
      <c r="C4" s="187">
        <v>45344</v>
      </c>
      <c r="D4">
        <v>500</v>
      </c>
      <c r="E4" t="s">
        <v>171</v>
      </c>
      <c r="F4" t="s">
        <v>174</v>
      </c>
    </row>
    <row r="5" spans="1:6" x14ac:dyDescent="0.25">
      <c r="A5" t="s">
        <v>252</v>
      </c>
      <c r="C5" s="74">
        <v>2004</v>
      </c>
      <c r="D5" t="s">
        <v>253</v>
      </c>
    </row>
    <row r="6" spans="1:6" x14ac:dyDescent="0.25">
      <c r="A6" t="s">
        <v>172</v>
      </c>
      <c r="B6" t="s">
        <v>254</v>
      </c>
      <c r="C6" s="187">
        <v>27098</v>
      </c>
      <c r="D6" s="211">
        <v>2</v>
      </c>
      <c r="E6" t="s">
        <v>173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42" t="s">
        <v>118</v>
      </c>
      <c r="C2" s="343"/>
      <c r="D2" s="343"/>
      <c r="E2" s="343"/>
      <c r="F2" s="344"/>
    </row>
    <row r="3" spans="2:10" ht="14.4" thickBot="1" x14ac:dyDescent="0.3">
      <c r="B3" s="151" t="s">
        <v>48</v>
      </c>
      <c r="C3" s="345" t="s">
        <v>43</v>
      </c>
      <c r="D3" s="346"/>
      <c r="E3" s="345" t="s">
        <v>100</v>
      </c>
      <c r="F3" s="347"/>
    </row>
    <row r="4" spans="2:10" x14ac:dyDescent="0.25">
      <c r="B4" s="166" t="s">
        <v>101</v>
      </c>
      <c r="C4" s="338">
        <v>0</v>
      </c>
      <c r="D4" s="364"/>
      <c r="E4" s="338">
        <v>0</v>
      </c>
      <c r="F4" s="339"/>
    </row>
    <row r="5" spans="2:10" x14ac:dyDescent="0.25">
      <c r="B5" s="171" t="s">
        <v>102</v>
      </c>
      <c r="C5" s="338">
        <v>140000</v>
      </c>
      <c r="D5" s="364"/>
      <c r="E5" s="338">
        <f>6000*2</f>
        <v>12000</v>
      </c>
      <c r="F5" s="339"/>
    </row>
    <row r="6" spans="2:10" ht="27.6" x14ac:dyDescent="0.25">
      <c r="B6" s="171" t="s">
        <v>114</v>
      </c>
      <c r="C6" s="338">
        <f>46500*7</f>
        <v>325500</v>
      </c>
      <c r="D6" s="364"/>
      <c r="E6" s="338">
        <v>0</v>
      </c>
      <c r="F6" s="339"/>
    </row>
    <row r="7" spans="2:10" x14ac:dyDescent="0.25">
      <c r="B7" s="171" t="s">
        <v>103</v>
      </c>
      <c r="C7" s="338">
        <f>13000*7</f>
        <v>91000</v>
      </c>
      <c r="D7" s="364"/>
      <c r="E7" s="338">
        <f>4000*7</f>
        <v>28000</v>
      </c>
      <c r="F7" s="339"/>
    </row>
    <row r="8" spans="2:10" ht="14.4" thickBot="1" x14ac:dyDescent="0.3">
      <c r="B8" s="157" t="s">
        <v>104</v>
      </c>
      <c r="C8" s="338">
        <f>65000*7</f>
        <v>455000</v>
      </c>
      <c r="D8" s="364"/>
      <c r="E8" s="338">
        <v>50000</v>
      </c>
      <c r="F8" s="339"/>
      <c r="J8" t="s">
        <v>164</v>
      </c>
    </row>
    <row r="9" spans="2:10" ht="14.4" thickBot="1" x14ac:dyDescent="0.3">
      <c r="B9" s="342" t="s">
        <v>117</v>
      </c>
      <c r="C9" s="343"/>
      <c r="D9" s="343"/>
      <c r="E9" s="343"/>
      <c r="F9" s="344"/>
      <c r="J9" t="s">
        <v>165</v>
      </c>
    </row>
    <row r="10" spans="2:10" ht="16.2" thickBot="1" x14ac:dyDescent="0.3">
      <c r="B10" s="152" t="s">
        <v>112</v>
      </c>
      <c r="C10" s="153" t="s">
        <v>110</v>
      </c>
      <c r="D10" s="154" t="s">
        <v>107</v>
      </c>
      <c r="E10" s="155" t="s">
        <v>108</v>
      </c>
      <c r="F10" s="156" t="s">
        <v>109</v>
      </c>
    </row>
    <row r="11" spans="2:10" x14ac:dyDescent="0.25">
      <c r="B11" s="166" t="s">
        <v>101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25">
      <c r="B12" s="171" t="s">
        <v>102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25">
      <c r="B13" s="180" t="s">
        <v>105</v>
      </c>
      <c r="C13" s="340" t="s">
        <v>111</v>
      </c>
      <c r="D13" s="340"/>
      <c r="E13" s="340"/>
      <c r="F13" s="341"/>
    </row>
    <row r="14" spans="2:10" x14ac:dyDescent="0.25">
      <c r="B14" s="181" t="s">
        <v>103</v>
      </c>
      <c r="C14" s="340" t="s">
        <v>113</v>
      </c>
      <c r="D14" s="340"/>
      <c r="E14" s="340"/>
      <c r="F14" s="341"/>
    </row>
    <row r="15" spans="2:10" ht="14.4" thickBot="1" x14ac:dyDescent="0.3">
      <c r="B15" s="157" t="s">
        <v>104</v>
      </c>
      <c r="C15" s="358" t="s">
        <v>115</v>
      </c>
      <c r="D15" s="359"/>
      <c r="E15" s="359"/>
      <c r="F15" s="360"/>
    </row>
    <row r="16" spans="2:10" ht="14.4" thickBot="1" x14ac:dyDescent="0.3"/>
    <row r="17" spans="2:6" ht="14.4" thickBot="1" x14ac:dyDescent="0.3">
      <c r="B17" s="342" t="s">
        <v>99</v>
      </c>
      <c r="C17" s="343"/>
      <c r="D17" s="343"/>
      <c r="E17" s="343"/>
      <c r="F17" s="344"/>
    </row>
    <row r="18" spans="2:6" ht="14.4" thickBot="1" x14ac:dyDescent="0.3">
      <c r="B18" s="151" t="s">
        <v>106</v>
      </c>
      <c r="C18" s="345" t="s">
        <v>43</v>
      </c>
      <c r="D18" s="346"/>
      <c r="E18" s="345" t="s">
        <v>100</v>
      </c>
      <c r="F18" s="347"/>
    </row>
    <row r="19" spans="2:6" x14ac:dyDescent="0.25">
      <c r="B19" s="166" t="s">
        <v>101</v>
      </c>
      <c r="C19" s="361">
        <v>0</v>
      </c>
      <c r="D19" s="362"/>
      <c r="E19" s="361">
        <v>0</v>
      </c>
      <c r="F19" s="363"/>
    </row>
    <row r="20" spans="2:6" x14ac:dyDescent="0.25">
      <c r="B20" s="171" t="s">
        <v>102</v>
      </c>
      <c r="C20" s="350">
        <v>70000</v>
      </c>
      <c r="D20" s="351"/>
      <c r="E20" s="352">
        <f>6000*7</f>
        <v>42000</v>
      </c>
      <c r="F20" s="353"/>
    </row>
    <row r="21" spans="2:6" x14ac:dyDescent="0.25">
      <c r="B21" s="175" t="s">
        <v>105</v>
      </c>
      <c r="C21" s="350">
        <f>46500*7</f>
        <v>325500</v>
      </c>
      <c r="D21" s="351"/>
      <c r="E21" s="350">
        <v>0</v>
      </c>
      <c r="F21" s="354"/>
    </row>
    <row r="22" spans="2:6" x14ac:dyDescent="0.25">
      <c r="B22" s="171" t="s">
        <v>103</v>
      </c>
      <c r="C22" s="350">
        <f>13000*7</f>
        <v>91000</v>
      </c>
      <c r="D22" s="351"/>
      <c r="E22" s="350">
        <f>4000*7</f>
        <v>28000</v>
      </c>
      <c r="F22" s="354"/>
    </row>
    <row r="23" spans="2:6" ht="14.4" thickBot="1" x14ac:dyDescent="0.3">
      <c r="B23" s="157" t="s">
        <v>104</v>
      </c>
      <c r="C23" s="355">
        <f>65000*7</f>
        <v>455000</v>
      </c>
      <c r="D23" s="356"/>
      <c r="E23" s="355">
        <f>7000*7</f>
        <v>49000</v>
      </c>
      <c r="F23" s="357"/>
    </row>
    <row r="24" spans="2:6" ht="14.4" thickBot="1" x14ac:dyDescent="0.3">
      <c r="B24" s="162"/>
      <c r="C24" s="163"/>
      <c r="D24" s="164"/>
      <c r="E24" s="164"/>
      <c r="F24" s="165"/>
    </row>
    <row r="25" spans="2:6" ht="16.2" thickBot="1" x14ac:dyDescent="0.3">
      <c r="B25" s="152" t="s">
        <v>112</v>
      </c>
      <c r="C25" s="153" t="s">
        <v>110</v>
      </c>
      <c r="D25" s="154" t="s">
        <v>107</v>
      </c>
      <c r="E25" s="155" t="s">
        <v>108</v>
      </c>
      <c r="F25" s="156" t="s">
        <v>109</v>
      </c>
    </row>
    <row r="26" spans="2:6" x14ac:dyDescent="0.25">
      <c r="B26" s="166" t="s">
        <v>101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25">
      <c r="B27" s="171" t="s">
        <v>102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25">
      <c r="B28" s="175" t="s">
        <v>105</v>
      </c>
      <c r="C28" s="348" t="s">
        <v>111</v>
      </c>
      <c r="D28" s="348"/>
      <c r="E28" s="348"/>
      <c r="F28" s="349"/>
    </row>
    <row r="29" spans="2:6" x14ac:dyDescent="0.25">
      <c r="B29" s="171" t="s">
        <v>103</v>
      </c>
      <c r="C29" s="172">
        <v>0</v>
      </c>
      <c r="D29" s="173">
        <v>0</v>
      </c>
      <c r="E29" s="172">
        <v>0</v>
      </c>
      <c r="F29" s="174">
        <v>0</v>
      </c>
    </row>
    <row r="30" spans="2:6" ht="14.4" thickBot="1" x14ac:dyDescent="0.3">
      <c r="B30" s="157" t="s">
        <v>104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4" thickBot="1" x14ac:dyDescent="0.3"/>
    <row r="35" spans="2:6" ht="14.4" thickBot="1" x14ac:dyDescent="0.3">
      <c r="B35" s="342" t="s">
        <v>116</v>
      </c>
      <c r="C35" s="343"/>
      <c r="D35" s="343"/>
      <c r="E35" s="343"/>
      <c r="F35" s="344"/>
    </row>
    <row r="36" spans="2:6" ht="14.4" thickBot="1" x14ac:dyDescent="0.3">
      <c r="B36" s="151" t="s">
        <v>119</v>
      </c>
      <c r="C36" s="345" t="s">
        <v>43</v>
      </c>
      <c r="D36" s="346"/>
      <c r="E36" s="345" t="s">
        <v>100</v>
      </c>
      <c r="F36" s="347"/>
    </row>
    <row r="37" spans="2:6" x14ac:dyDescent="0.25">
      <c r="B37" s="166" t="s">
        <v>120</v>
      </c>
      <c r="C37" s="329" t="s">
        <v>123</v>
      </c>
      <c r="D37" s="330"/>
      <c r="E37" s="330"/>
      <c r="F37" s="331"/>
    </row>
    <row r="38" spans="2:6" x14ac:dyDescent="0.25">
      <c r="B38" s="171" t="s">
        <v>121</v>
      </c>
      <c r="C38" s="332" t="s">
        <v>122</v>
      </c>
      <c r="D38" s="333"/>
      <c r="E38" s="333"/>
      <c r="F38" s="334"/>
    </row>
    <row r="39" spans="2:6" x14ac:dyDescent="0.25">
      <c r="B39" s="171" t="s">
        <v>124</v>
      </c>
      <c r="C39" s="332" t="s">
        <v>125</v>
      </c>
      <c r="D39" s="333"/>
      <c r="E39" s="333"/>
      <c r="F39" s="334"/>
    </row>
    <row r="40" spans="2:6" ht="14.4" thickBot="1" x14ac:dyDescent="0.3">
      <c r="B40" s="157" t="s">
        <v>126</v>
      </c>
      <c r="C40" s="335" t="s">
        <v>127</v>
      </c>
      <c r="D40" s="336"/>
      <c r="E40" s="336"/>
      <c r="F40" s="337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175</v>
      </c>
      <c r="B2" t="s">
        <v>176</v>
      </c>
    </row>
    <row r="3" spans="1:14" x14ac:dyDescent="0.25">
      <c r="B3" t="s">
        <v>43</v>
      </c>
    </row>
    <row r="7" spans="1:14" x14ac:dyDescent="0.25">
      <c r="N7" t="s">
        <v>177</v>
      </c>
    </row>
    <row r="8" spans="1:14" x14ac:dyDescent="0.25">
      <c r="A8" t="s">
        <v>178</v>
      </c>
      <c r="N8" t="s">
        <v>179</v>
      </c>
    </row>
    <row r="9" spans="1:14" x14ac:dyDescent="0.25">
      <c r="A9" t="s">
        <v>180</v>
      </c>
      <c r="D9" s="212" t="s">
        <v>181</v>
      </c>
      <c r="E9" s="212"/>
      <c r="N9" t="s">
        <v>182</v>
      </c>
    </row>
    <row r="10" spans="1:14" x14ac:dyDescent="0.25">
      <c r="N10" t="s">
        <v>183</v>
      </c>
    </row>
    <row r="15" spans="1:14" x14ac:dyDescent="0.25">
      <c r="A15" t="s">
        <v>184</v>
      </c>
      <c r="B15" t="s">
        <v>185</v>
      </c>
    </row>
    <row r="19" spans="1:12" x14ac:dyDescent="0.25">
      <c r="A19" s="39" t="s">
        <v>186</v>
      </c>
      <c r="B19" s="39" t="s">
        <v>177</v>
      </c>
      <c r="C19" s="39" t="s">
        <v>78</v>
      </c>
      <c r="D19" s="39" t="s">
        <v>187</v>
      </c>
      <c r="E19" s="39" t="s">
        <v>188</v>
      </c>
      <c r="F19" s="39" t="s">
        <v>189</v>
      </c>
      <c r="G19" s="39" t="s">
        <v>21</v>
      </c>
      <c r="H19" s="39" t="s">
        <v>190</v>
      </c>
      <c r="I19" s="39" t="s">
        <v>191</v>
      </c>
      <c r="J19" s="39" t="s">
        <v>192</v>
      </c>
      <c r="K19" s="39" t="s">
        <v>193</v>
      </c>
      <c r="L19" s="39" t="s">
        <v>194</v>
      </c>
    </row>
    <row r="20" spans="1:12" x14ac:dyDescent="0.25">
      <c r="A20" t="s">
        <v>195</v>
      </c>
      <c r="H20" s="148">
        <f>'תחשיב לפי שווי שומה (2)'!B8</f>
        <v>9700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25">
      <c r="A21" t="s">
        <v>196</v>
      </c>
      <c r="H21" s="149">
        <f>H20</f>
        <v>9700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25">
      <c r="A22" t="s">
        <v>197</v>
      </c>
      <c r="H22" s="149">
        <f>H21</f>
        <v>9700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25">
      <c r="A23" t="s">
        <v>198</v>
      </c>
      <c r="H23" s="149">
        <f>H22</f>
        <v>9700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25">
      <c r="A24" t="s">
        <v>199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2026-01-26T11:34:51Z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