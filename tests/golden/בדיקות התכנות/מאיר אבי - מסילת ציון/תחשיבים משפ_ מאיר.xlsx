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מאיר אבי - מסילת ציון/פרוייקט בדיקת התכנות/בדיקת התכנות/"/>
    </mc:Choice>
  </mc:AlternateContent>
  <xr:revisionPtr revIDLastSave="325" documentId="8_{E9A5D54E-385F-4F6C-AF2C-D62B03C85759}" xr6:coauthVersionLast="47" xr6:coauthVersionMax="47" xr10:uidLastSave="{D8C236B2-7192-49E0-9285-4D17B5348132}"/>
  <bookViews>
    <workbookView xWindow="-28920" yWindow="-120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1" l="1"/>
  <c r="M12" i="11"/>
  <c r="M15" i="11" s="1"/>
  <c r="K12" i="11"/>
  <c r="J12" i="11"/>
  <c r="L11" i="11"/>
  <c r="L10" i="11"/>
  <c r="L9" i="11"/>
  <c r="L8" i="11"/>
  <c r="L7" i="11"/>
  <c r="L6" i="11"/>
  <c r="L12" i="11" s="1"/>
  <c r="D3" i="4"/>
  <c r="D5" i="4" s="1"/>
  <c r="D13" i="4" s="1"/>
  <c r="C7" i="5"/>
  <c r="B8" i="6" s="1"/>
  <c r="H20" i="9" s="1"/>
  <c r="H21" i="9" s="1"/>
  <c r="M25" i="5"/>
  <c r="J30" i="5"/>
  <c r="L30" i="5" s="1"/>
  <c r="L29" i="5"/>
  <c r="L28" i="5"/>
  <c r="L27" i="5"/>
  <c r="J26" i="5"/>
  <c r="L26" i="5" s="1"/>
  <c r="L14" i="5"/>
  <c r="F29" i="5"/>
  <c r="F28" i="5"/>
  <c r="F27" i="5"/>
  <c r="D30" i="5"/>
  <c r="J15" i="5"/>
  <c r="L15" i="5" s="1"/>
  <c r="D26" i="5"/>
  <c r="F26" i="5" s="1"/>
  <c r="G25" i="5"/>
  <c r="H15" i="5"/>
  <c r="H14" i="5"/>
  <c r="D8" i="4"/>
  <c r="G3" i="4"/>
  <c r="S56" i="3"/>
  <c r="W54" i="3"/>
  <c r="U54" i="3"/>
  <c r="Y54" i="3" s="1"/>
  <c r="U52" i="3"/>
  <c r="Y52" i="3" s="1"/>
  <c r="S50" i="3"/>
  <c r="U50" i="3" s="1"/>
  <c r="S49" i="3"/>
  <c r="U49" i="3" s="1"/>
  <c r="S48" i="3"/>
  <c r="U48" i="3" s="1"/>
  <c r="S47" i="3"/>
  <c r="W47" i="3" s="1"/>
  <c r="W58" i="3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S51" i="3" l="1"/>
  <c r="S53" i="3" s="1"/>
  <c r="S55" i="3" s="1"/>
  <c r="S57" i="3" s="1"/>
  <c r="M14" i="5"/>
  <c r="O14" i="5" s="1"/>
  <c r="D31" i="5"/>
  <c r="F31" i="5" s="1"/>
  <c r="J31" i="5"/>
  <c r="L31" i="5" s="1"/>
  <c r="L32" i="5" s="1"/>
  <c r="P15" i="5" s="1"/>
  <c r="M15" i="5"/>
  <c r="O15" i="5" s="1"/>
  <c r="Q15" i="5" s="1"/>
  <c r="F30" i="5"/>
  <c r="Y58" i="3"/>
  <c r="U47" i="3"/>
  <c r="U51" i="3" s="1"/>
  <c r="U58" i="3" s="1"/>
  <c r="J16" i="10"/>
  <c r="J20" i="10" s="1"/>
  <c r="L16" i="10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F32" i="5" l="1"/>
  <c r="P14" i="5" s="1"/>
  <c r="H23" i="9"/>
  <c r="J23" i="9" s="1"/>
  <c r="J22" i="9"/>
  <c r="D42" i="6"/>
  <c r="C35" i="6"/>
  <c r="D35" i="6" s="1"/>
  <c r="G25" i="4"/>
  <c r="I25" i="4"/>
  <c r="H25" i="4"/>
  <c r="D25" i="4"/>
  <c r="F25" i="4"/>
  <c r="E25" i="4"/>
  <c r="Q14" i="5" l="1"/>
  <c r="Q16" i="5" s="1"/>
  <c r="Q18" i="5" s="1"/>
  <c r="C15" i="6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8" i="3" l="1"/>
  <c r="B9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D28" i="3" l="1"/>
  <c r="B4" i="6" s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<sst xmlns="http://schemas.openxmlformats.org/spreadsheetml/2006/main" count="429" uniqueCount="290">
  <si>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</si>
  <si>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</si>
  <si>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</si>
  <si>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</si>
  <si>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</si>
  <si>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</si>
  <si>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</si>
  <si>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</si>
  <si>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</si>
  <si>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</si>
  <si>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</si>
  <si>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</si>
  <si>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</si>
  <si>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</si>
  <si>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</si>
  <si>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</si>
  <si>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</si>
  <si>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</si>
  <si>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</si>
  <si>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</si>
  <si>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</si>
  <si>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</si>
  <si>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</si>
  <si>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</si>
  <si>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</si>
  <si>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</si>
  <si>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</si>
  <si>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</si>
  <si>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</si>
  <si>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</si>
  <si>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</si>
  <si>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</si>
  <si>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</si>
  <si>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</si>
  <si>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</si>
  <si>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</si>
  <si>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</si>
  <si>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</si>
  <si>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</si>
  <si>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</si>
  <si>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</si>
  <si>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</si>
  <si>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</si>
  <si>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</si>
  <si>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</si>
  <si>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</si>
  <si>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</si>
  <si>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</si>
  <si>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</si>
  <si>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</si>
  <si>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</si>
  <si>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</si>
  <si>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</si>
  <si>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</si>
  <si>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</si>
  <si>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</si>
  <si>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</si>
  <si>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</si>
  <si>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</si>
  <si>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</si>
  <si>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</si>
  <si>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</si>
  <si>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</si>
  <si>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</si>
  <si>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</si>
  <si>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</si>
  <si>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</si>
  <si>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</si>
  <si>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</si>
  <si>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</si>
  <si>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</si>
  <si>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</si>
  <si>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</si>
  <si>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</si>
  <si>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</si>
  <si>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</si>
  <si>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</si>
  <si>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</si>
  <si>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</si>
  <si>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</si>
  <si>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</si>
  <si>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</si>
  <si>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</si>
  <si>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</si>
  <si>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</si>
  <si>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</si>
  <si>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</si>
  <si>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</si>
  <si>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</si>
  <si>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</si>
  <si>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</si>
  <si>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</si>
  <si>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</si>
  <si>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</si>
  <si>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</si>
  <si>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</si>
  <si>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</si>
  <si>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</si>
  <si>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</si>
  <si>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</si>
  <si>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</si>
  <si>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</si>
  <si>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</si>
  <si>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</si>
  <si>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</si>
  <si>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</si>
  <si>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</si>
  <si>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</si>
  <si>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</si>
  <si>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</si>
  <si>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</si>
  <si>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</si>
  <si>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</si>
  <si>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</si>
  <si>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</si>
  <si>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</si>
  <si>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</si>
  <si>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</si>
  <si>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</si>
  <si>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</si>
  <si>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</si>
  <si>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</si>
  <si>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</si>
  <si>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</si>
  <si>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</si>
  <si>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</si>
  <si>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</si>
  <si>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</si>
  <si>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</si>
  <si>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</si>
  <si>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</si>
  <si>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</si>
  <si>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</si>
  <si>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</si>
  <si>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</si>
  <si>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</si>
  <si>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</si>
  <si>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</si>
  <si>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</si>
  <si>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</si>
  <si>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</si>
  <si>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</si>
  <si>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</si>
  <si>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</si>
  <si>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</si>
  <si>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</si>
  <si>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</si>
  <si>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</si>
  <si>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</si>
  <si>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</si>
  <si>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</si>
  <si>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</si>
  <si>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</si>
  <si>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</si>
  <si>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</si>
  <si>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</si>
  <si>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</si>
  <si>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</si>
  <si>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</si>
  <si>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</si>
  <si>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</si>
  <si>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</si>
  <si>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</si>
  <si>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</si>
  <si>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</si>
  <si>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</si>
  <si>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</si>
  <si>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</si>
  <si>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</si>
  <si>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</si>
  <si>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</si>
  <si>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</si>
  <si>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</si>
  <si>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</si>
  <si>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634-0454967</t>
  </si>
  <si>
    <t>בתים</t>
  </si>
  <si>
    <t>פיצול</t>
  </si>
  <si>
    <t>3/222/06/6</t>
  </si>
  <si>
    <t>222/03/6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</si>
  <si>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</si>
  <si>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</si>
  <si>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</si>
  <si>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</si>
  <si>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</si>
  <si>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</si>
  <si>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</si>
  <si>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</si>
  <si>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</si>
  <si>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</si>
  <si>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</si>
  <si>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</si>
  <si>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</si>
  <si>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</si>
  <si>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</si>
  <si>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</si>
  <si>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</si>
  <si>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</si>
  <si>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</si>
  <si>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</si>
  <si>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</si>
  <si>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</si>
  <si>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</si>
  <si>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</si>
  <si>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</si>
  <si>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</si>
  <si>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</si>
  <si>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</si>
  <si>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</si>
  <si>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</si>
  <si>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</si>
  <si>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</si>
  <si>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</si>
  <si>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</si>
  <si>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</si>
  <si>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</si>
  <si>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</si>
  <si>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</si>
  <si>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</si>
  <si>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</si>
  <si>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</si>
  <si>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</si>
  <si>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</si>
  <si>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</si>
  <si>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</si>
  <si>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</si>
  <si>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</si>
  <si>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</si>
  <si>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</si>
  <si>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</si>
  <si>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</si>
  <si>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</si>
  <si>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</si>
  <si>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</si>
  <si>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</si>
  <si>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</si>
  <si>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</si>
  <si>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</si>
  <si>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</si>
  <si>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</si>
  <si>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</si>
  <si>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</si>
  <si>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</si>
  <si>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</si>
  <si>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</si>
  <si>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</si>
  <si>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</si>
  <si>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</si>
  <si>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</si>
  <si>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</si>
  <si>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מבנה 1.1 - ממ"ד</t>
  </si>
  <si>
    <t>מבנה 1.2 - מחסן</t>
  </si>
  <si>
    <t>מבנה 1.3 - חניה</t>
  </si>
  <si>
    <t>פרגולה אחורית</t>
  </si>
  <si>
    <t>מבנה 2 - בית מגורים שלישי</t>
  </si>
  <si>
    <t>מבנה 1 - בית מגורים ראשון + שלישי</t>
  </si>
  <si>
    <t>מבנה 2.1 - בריכה</t>
  </si>
  <si>
    <t>מבנה 3 - בית מגורים שני</t>
  </si>
  <si>
    <t>מס"ד</t>
  </si>
  <si>
    <t>ישוב</t>
  </si>
  <si>
    <t>גוש חלקה</t>
  </si>
  <si>
    <t>יום מכירה</t>
  </si>
  <si>
    <t>תמורה מוצהרת בש"ח</t>
  </si>
  <si>
    <t>בניכוי רווח יזמי 5%</t>
  </si>
  <si>
    <t>שטח מגרש</t>
  </si>
  <si>
    <t>תרומת הבנוי</t>
  </si>
  <si>
    <t>שווי מגרש</t>
  </si>
  <si>
    <t>מסילת ציון</t>
  </si>
  <si>
    <t>029647-0033</t>
  </si>
  <si>
    <t>029647-0101</t>
  </si>
  <si>
    <t>ניתוח שטח אקו' מס"ד 1</t>
  </si>
  <si>
    <t>מהות</t>
  </si>
  <si>
    <t>שטח</t>
  </si>
  <si>
    <t>חניה</t>
  </si>
  <si>
    <t>מרתף</t>
  </si>
  <si>
    <t>תכסית</t>
  </si>
  <si>
    <t>סה"כ שטח אקו'</t>
  </si>
  <si>
    <t>ממוצע</t>
  </si>
  <si>
    <t>מקדם נחלה</t>
  </si>
  <si>
    <t>שווי לנחלה</t>
  </si>
  <si>
    <t>לשומה</t>
  </si>
  <si>
    <t>שווי מ"ר מבונה אקו'</t>
  </si>
  <si>
    <t>מקדם זמן</t>
  </si>
  <si>
    <t>שווי מגרש מתואם</t>
  </si>
  <si>
    <t xml:space="preserve">אפשרות 1 </t>
  </si>
  <si>
    <t>שם מבנה</t>
  </si>
  <si>
    <t>פעולה</t>
  </si>
  <si>
    <t>גודל</t>
  </si>
  <si>
    <t>סה"כ למבנה</t>
  </si>
  <si>
    <t>סה"כ הסדרה</t>
  </si>
  <si>
    <t>סה"כ פרויקט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</si>
</sst>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0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165" fontId="19" fillId="3" borderId="18" xfId="1" applyNumberFormat="1" applyFont="1" applyFill="1" applyBorder="1" applyAlignment="1">
      <alignment horizontal="center" vertical="center" wrapText="1"/>
    </xf>
    <xf numFmtId="165" fontId="20" fillId="3" borderId="17" xfId="1" applyNumberFormat="1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164" fontId="0" fillId="0" borderId="22" xfId="0" applyNumberFormat="1" applyBorder="1"/>
    <xf numFmtId="165" fontId="0" fillId="0" borderId="22" xfId="1" applyNumberFormat="1" applyFont="1" applyBorder="1"/>
    <xf numFmtId="3" fontId="22" fillId="0" borderId="0" xfId="0" applyNumberFormat="1" applyFont="1" applyAlignment="1">
      <alignment horizontal="center" wrapText="1"/>
    </xf>
    <xf numFmtId="0" fontId="21" fillId="13" borderId="81" xfId="0" applyFont="1" applyFill="1" applyBorder="1" applyAlignment="1">
      <alignment horizontal="center" vertical="center" wrapText="1"/>
    </xf>
    <xf numFmtId="0" fontId="22" fillId="0" borderId="49" xfId="0" applyFont="1" applyBorder="1" applyAlignment="1">
      <alignment horizontal="center" wrapText="1"/>
    </xf>
    <xf numFmtId="0" fontId="22" fillId="0" borderId="55" xfId="0" applyFont="1" applyBorder="1" applyAlignment="1">
      <alignment horizontal="center" wrapText="1"/>
    </xf>
    <xf numFmtId="14" fontId="22" fillId="0" borderId="55" xfId="0" applyNumberFormat="1" applyFont="1" applyBorder="1" applyAlignment="1">
      <alignment horizontal="center" wrapText="1"/>
    </xf>
    <xf numFmtId="3" fontId="22" fillId="0" borderId="55" xfId="0" applyNumberFormat="1" applyFont="1" applyBorder="1" applyAlignment="1">
      <alignment horizontal="center" wrapText="1"/>
    </xf>
    <xf numFmtId="164" fontId="22" fillId="0" borderId="56" xfId="2" applyNumberFormat="1" applyFont="1" applyBorder="1" applyAlignment="1">
      <alignment horizontal="center" wrapText="1"/>
    </xf>
    <xf numFmtId="43" fontId="22" fillId="0" borderId="69" xfId="1" applyFont="1" applyBorder="1" applyAlignment="1">
      <alignment horizontal="center" wrapText="1"/>
    </xf>
    <xf numFmtId="164" fontId="22" fillId="0" borderId="71" xfId="2" applyNumberFormat="1" applyFont="1" applyBorder="1" applyAlignment="1">
      <alignment horizontal="center" wrapText="1"/>
    </xf>
    <xf numFmtId="164" fontId="22" fillId="0" borderId="80" xfId="2" applyNumberFormat="1" applyFont="1" applyBorder="1" applyAlignment="1">
      <alignment horizontal="center" wrapText="1"/>
    </xf>
    <xf numFmtId="164" fontId="21" fillId="0" borderId="82" xfId="2" applyNumberFormat="1" applyFont="1" applyBorder="1" applyAlignment="1">
      <alignment horizontal="center" wrapText="1"/>
    </xf>
    <xf numFmtId="164" fontId="22" fillId="0" borderId="54" xfId="2" applyNumberFormat="1" applyFont="1" applyBorder="1" applyAlignment="1">
      <alignment horizontal="center" wrapText="1"/>
    </xf>
    <xf numFmtId="0" fontId="22" fillId="0" borderId="70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14" fontId="22" fillId="0" borderId="30" xfId="0" applyNumberFormat="1" applyFont="1" applyBorder="1" applyAlignment="1">
      <alignment horizontal="center" wrapText="1"/>
    </xf>
    <xf numFmtId="3" fontId="22" fillId="0" borderId="30" xfId="0" applyNumberFormat="1" applyFont="1" applyBorder="1" applyAlignment="1">
      <alignment horizontal="center" wrapText="1"/>
    </xf>
    <xf numFmtId="43" fontId="22" fillId="0" borderId="55" xfId="1" applyFont="1" applyBorder="1" applyAlignment="1">
      <alignment horizontal="center" wrapText="1"/>
    </xf>
    <xf numFmtId="43" fontId="22" fillId="0" borderId="30" xfId="1" applyFont="1" applyBorder="1" applyAlignment="1">
      <alignment horizontal="center" wrapText="1"/>
    </xf>
    <xf numFmtId="0" fontId="21" fillId="13" borderId="83" xfId="0" applyFont="1" applyFill="1" applyBorder="1" applyAlignment="1">
      <alignment horizontal="center" vertical="center" wrapText="1"/>
    </xf>
    <xf numFmtId="0" fontId="21" fillId="13" borderId="84" xfId="0" applyFont="1" applyFill="1" applyBorder="1" applyAlignment="1">
      <alignment horizontal="center" vertical="center" wrapText="1"/>
    </xf>
    <xf numFmtId="0" fontId="21" fillId="13" borderId="85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3" fillId="0" borderId="22" xfId="0" applyFont="1" applyBorder="1"/>
    <xf numFmtId="0" fontId="0" fillId="0" borderId="53" xfId="0" applyBorder="1" applyAlignment="1">
      <alignment horizontal="center"/>
    </xf>
    <xf numFmtId="164" fontId="0" fillId="0" borderId="22" xfId="2" applyNumberFormat="1" applyFont="1" applyBorder="1"/>
    <xf numFmtId="164" fontId="0" fillId="0" borderId="69" xfId="2" applyNumberFormat="1" applyFont="1" applyBorder="1"/>
    <xf numFmtId="0" fontId="23" fillId="0" borderId="53" xfId="0" applyFont="1" applyBorder="1" applyAlignment="1">
      <alignment horizontal="center"/>
    </xf>
    <xf numFmtId="0" fontId="23" fillId="0" borderId="30" xfId="0" applyFont="1" applyBorder="1"/>
    <xf numFmtId="0" fontId="23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164" fontId="0" fillId="0" borderId="30" xfId="2" applyNumberFormat="1" applyFont="1" applyBorder="1"/>
    <xf numFmtId="164" fontId="0" fillId="0" borderId="30" xfId="2" applyNumberFormat="1" applyFont="1" applyBorder="1" applyAlignment="1">
      <alignment horizontal="center" vertical="center"/>
    </xf>
    <xf numFmtId="164" fontId="0" fillId="0" borderId="71" xfId="2" applyNumberFormat="1" applyFont="1" applyBorder="1"/>
    <xf numFmtId="0" fontId="6" fillId="0" borderId="6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6" fillId="0" borderId="86" xfId="2" applyNumberFormat="1" applyFont="1" applyBorder="1"/>
    <xf numFmtId="164" fontId="6" fillId="0" borderId="17" xfId="2" applyNumberFormat="1" applyFont="1" applyBorder="1"/>
    <xf numFmtId="164" fontId="6" fillId="0" borderId="17" xfId="2" applyNumberFormat="1" applyFont="1" applyBorder="1" applyAlignment="1">
      <alignment horizontal="center" vertical="center"/>
    </xf>
    <xf numFmtId="164" fontId="6" fillId="0" borderId="82" xfId="2" applyNumberFormat="1" applyFont="1" applyBorder="1"/>
    <xf numFmtId="0" fontId="23" fillId="0" borderId="0" xfId="0" applyFont="1"/>
    <xf numFmtId="0" fontId="8" fillId="0" borderId="49" xfId="0" applyFont="1" applyBorder="1" applyAlignment="1">
      <alignment horizontal="center" vertical="center"/>
    </xf>
    <xf numFmtId="164" fontId="8" fillId="0" borderId="55" xfId="0" applyNumberFormat="1" applyFont="1" applyBorder="1" applyAlignment="1">
      <alignment horizontal="center" vertical="center"/>
    </xf>
    <xf numFmtId="164" fontId="8" fillId="0" borderId="56" xfId="2" applyNumberFormat="1" applyFont="1" applyBorder="1"/>
    <xf numFmtId="164" fontId="0" fillId="0" borderId="0" xfId="2" applyNumberFormat="1" applyFont="1" applyBorder="1"/>
    <xf numFmtId="164" fontId="8" fillId="0" borderId="70" xfId="0" applyNumberFormat="1" applyFont="1" applyBorder="1" applyAlignment="1">
      <alignment horizontal="center" vertical="center"/>
    </xf>
    <xf numFmtId="0" fontId="8" fillId="0" borderId="30" xfId="0" applyFont="1" applyBorder="1"/>
    <xf numFmtId="0" fontId="8" fillId="0" borderId="71" xfId="0" applyFont="1" applyBorder="1"/>
    <xf numFmtId="0" fontId="6" fillId="0" borderId="44" xfId="0" applyFont="1" applyBorder="1" applyAlignment="1">
      <alignment horizontal="center" vertical="center"/>
    </xf>
    <xf numFmtId="164" fontId="6" fillId="0" borderId="17" xfId="0" applyNumberFormat="1" applyFont="1" applyBorder="1"/>
    <xf numFmtId="164" fontId="6" fillId="0" borderId="82" xfId="0" applyNumberFormat="1" applyFont="1" applyBorder="1"/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219075</xdr:colOff>
      <xdr:row>22</xdr:row>
      <xdr:rowOff>47625</xdr:rowOff>
    </xdr:from>
    <xdr:to>
      <xdr:col>26</xdr:col>
      <xdr:colOff>572238</xdr:colOff>
      <xdr:row>55</xdr:row>
      <xdr:rowOff>15726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189C0B24-445C-390B-1DEA-E3DE5570D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4262" y="4419600"/>
          <a:ext cx="8516088" cy="56202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G35" sqref="G35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1022.5</v>
      </c>
      <c r="K2" s="1"/>
    </row>
    <row r="3" spans="1:11" x14ac:dyDescent="0.35">
      <c r="A3" s="1" t="s">
        <v>17</v>
      </c>
      <c r="B3" s="76">
        <f>'מ"ר אקו'' נחלה'!D14</f>
        <v>972.5</v>
      </c>
      <c r="K3" s="1"/>
    </row>
    <row r="4" spans="1:11" x14ac:dyDescent="0.35">
      <c r="A4" s="1" t="s">
        <v>92</v>
      </c>
      <c r="B4" s="76">
        <f>'מ"ר אקו'' נחלה'!D28</f>
        <v>144.55000000000001</v>
      </c>
      <c r="K4" s="1"/>
    </row>
    <row r="5" spans="1:11" x14ac:dyDescent="0.35">
      <c r="A5" s="1" t="s">
        <v>209</v>
      </c>
      <c r="B5" s="76">
        <f>'מ"ר אקו'' נחלה'!D38</f>
        <v>106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8">
        <f>'ניתוח איזור לעסקאות דמה'!C7</f>
        <v>12800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387000</v>
      </c>
      <c r="G11" s="75">
        <f>'מ"ר אקו'' נחלה'!D71*-3.75%</f>
        <v>-6562.5</v>
      </c>
      <c r="H11" s="88">
        <f>SUM(F11:G11)</f>
        <v>380437.5</v>
      </c>
      <c r="I11" s="9"/>
      <c r="J11" s="75"/>
    </row>
    <row r="12" spans="1:11" x14ac:dyDescent="0.35">
      <c r="A12" s="82" t="s">
        <v>63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776879.99999999988</v>
      </c>
      <c r="G12" s="75">
        <f>-'מ"ר אקו'' נחלה'!D58*C12</f>
        <v>-29250</v>
      </c>
      <c r="H12" s="6">
        <f>SUM(F12:G12)</f>
        <v>747629.99999999988</v>
      </c>
      <c r="J12" s="87"/>
    </row>
    <row r="13" spans="1:11" x14ac:dyDescent="0.35">
      <c r="A13" s="82" t="s">
        <v>64</v>
      </c>
      <c r="B13" s="113">
        <f>B7-B12</f>
        <v>79.300000000000011</v>
      </c>
      <c r="C13" s="114">
        <v>0.33</v>
      </c>
      <c r="D13" s="82">
        <f t="shared" si="0"/>
        <v>26.169000000000004</v>
      </c>
      <c r="E13" s="82">
        <v>1</v>
      </c>
      <c r="F13" s="84">
        <f>D13*$B$8*E13</f>
        <v>334963.20000000007</v>
      </c>
      <c r="G13" s="87">
        <f>G12*53/245</f>
        <v>-6327.5510204081629</v>
      </c>
      <c r="H13" s="6">
        <f>SUM(F13:G13)</f>
        <v>328635.6489795919</v>
      </c>
      <c r="I13" s="9"/>
      <c r="J13" s="75"/>
    </row>
    <row r="14" spans="1:11" ht="21" x14ac:dyDescent="0.4">
      <c r="A14" s="110" t="s">
        <v>65</v>
      </c>
      <c r="B14" s="111">
        <f>SUM(B12:B13)</f>
        <v>286.8</v>
      </c>
      <c r="C14" s="112"/>
      <c r="D14" s="112"/>
      <c r="E14" s="112"/>
      <c r="F14" s="112">
        <f>SUM(F12:F13)</f>
        <v>1111843.2</v>
      </c>
      <c r="G14" s="115"/>
      <c r="H14" s="89">
        <f>SUM(H12:H13)</f>
        <v>1076265.6489795917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1128800</v>
      </c>
      <c r="G15" s="9"/>
      <c r="J15" s="86"/>
    </row>
    <row r="16" spans="1:11" ht="2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4270675.2</v>
      </c>
      <c r="G16" s="75">
        <f>-'מ"ר אקו'' נחלה'!D15*C16</f>
        <v>-81510</v>
      </c>
      <c r="H16" s="88">
        <f>SUM(F16:G16)</f>
        <v>4189165.2</v>
      </c>
      <c r="J16" s="136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8153.6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873.6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3494.4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640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5"/>
      <c r="E27" s="185"/>
      <c r="F27" s="5"/>
      <c r="I27" s="75"/>
    </row>
    <row r="29" spans="1:10" x14ac:dyDescent="0.35">
      <c r="A29" s="2" t="s">
        <v>157</v>
      </c>
      <c r="C29" s="75"/>
    </row>
    <row r="30" spans="1:10" x14ac:dyDescent="0.35">
      <c r="A30" s="2"/>
      <c r="B30" s="2" t="s">
        <v>159</v>
      </c>
      <c r="C30" s="2" t="s">
        <v>21</v>
      </c>
      <c r="D30" s="2" t="s">
        <v>158</v>
      </c>
    </row>
    <row r="31" spans="1:10" x14ac:dyDescent="0.35">
      <c r="A31" s="1" t="s">
        <v>155</v>
      </c>
      <c r="B31" s="5">
        <f>'מ"ר אקו'' נחלה'!D57*'תחשיב לפי שווי שומה (2)'!$B$8</f>
        <v>3671040</v>
      </c>
      <c r="C31" s="190">
        <v>1</v>
      </c>
      <c r="D31" s="6">
        <f>C31*$B$8</f>
        <v>12800</v>
      </c>
    </row>
    <row r="32" spans="1:10" x14ac:dyDescent="0.35">
      <c r="A32" s="1" t="s">
        <v>154</v>
      </c>
      <c r="B32" s="6">
        <f>350*$B$8*C32</f>
        <v>672000</v>
      </c>
      <c r="C32" s="190">
        <v>0.15</v>
      </c>
      <c r="D32" s="6">
        <f>C32*$B$8</f>
        <v>1920</v>
      </c>
    </row>
    <row r="33" spans="1:6" x14ac:dyDescent="0.35">
      <c r="C33" s="75"/>
    </row>
    <row r="34" spans="1:6" x14ac:dyDescent="0.35">
      <c r="A34" s="1" t="s">
        <v>152</v>
      </c>
      <c r="B34" s="6">
        <f>B31-B32</f>
        <v>2999040</v>
      </c>
      <c r="C34" s="190">
        <f>C31-C32</f>
        <v>0.85</v>
      </c>
      <c r="D34" s="6">
        <f>C34*$B$8</f>
        <v>10880</v>
      </c>
    </row>
    <row r="35" spans="1:6" x14ac:dyDescent="0.35">
      <c r="A35" s="1" t="s">
        <v>153</v>
      </c>
      <c r="B35" s="6">
        <f>B34*50%</f>
        <v>1499520</v>
      </c>
      <c r="C35" s="190">
        <f>C34*50%</f>
        <v>0.42499999999999999</v>
      </c>
      <c r="D35" s="6">
        <f>C35*$B$8</f>
        <v>5440</v>
      </c>
    </row>
    <row r="37" spans="1:6" x14ac:dyDescent="0.35">
      <c r="A37" s="2" t="s">
        <v>161</v>
      </c>
      <c r="C37" s="75"/>
    </row>
    <row r="38" spans="1:6" x14ac:dyDescent="0.35">
      <c r="A38" s="2"/>
      <c r="B38" s="2" t="s">
        <v>159</v>
      </c>
      <c r="C38" s="2" t="s">
        <v>21</v>
      </c>
      <c r="D38" s="2" t="s">
        <v>158</v>
      </c>
    </row>
    <row r="39" spans="1:6" x14ac:dyDescent="0.35">
      <c r="A39" s="1" t="s">
        <v>155</v>
      </c>
      <c r="B39" s="5">
        <f>'מ"ר אקו'' נחלה'!D57*'תחשיב לפי שווי שומה (2)'!$B$8</f>
        <v>3671040</v>
      </c>
      <c r="C39" s="190">
        <v>1</v>
      </c>
      <c r="D39" s="6">
        <f>C39*$B$8</f>
        <v>12800</v>
      </c>
    </row>
    <row r="40" spans="1:6" x14ac:dyDescent="0.35">
      <c r="A40" s="1" t="s">
        <v>162</v>
      </c>
      <c r="B40" s="6">
        <f>B39*70%</f>
        <v>2569728</v>
      </c>
      <c r="C40" s="190">
        <v>0.7</v>
      </c>
      <c r="D40" s="6">
        <f>C40*$B$8</f>
        <v>8960</v>
      </c>
    </row>
    <row r="41" spans="1:6" x14ac:dyDescent="0.35">
      <c r="C41" s="75"/>
    </row>
    <row r="42" spans="1:6" x14ac:dyDescent="0.35">
      <c r="A42" s="1" t="s">
        <v>152</v>
      </c>
      <c r="B42" s="6">
        <f>B39-B40</f>
        <v>1101312</v>
      </c>
      <c r="C42" s="190">
        <f>C39-C40</f>
        <v>0.30000000000000004</v>
      </c>
      <c r="D42" s="6">
        <f>C42*$B$8</f>
        <v>3840.0000000000005</v>
      </c>
      <c r="F42" s="6"/>
    </row>
    <row r="43" spans="1:6" x14ac:dyDescent="0.35">
      <c r="A43" s="1" t="s">
        <v>153</v>
      </c>
      <c r="B43" s="6">
        <f>B42*50%</f>
        <v>550656</v>
      </c>
      <c r="C43" s="190">
        <f>C42*50%</f>
        <v>0.15000000000000002</v>
      </c>
      <c r="D43" s="6">
        <f>C43*$B$8</f>
        <v>1920.0000000000002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305" t="s">
        <v>216</v>
      </c>
      <c r="I9" s="306"/>
      <c r="J9" s="306"/>
      <c r="K9" s="306"/>
      <c r="L9" s="306"/>
      <c r="M9" s="306"/>
      <c r="N9" s="306"/>
      <c r="O9" s="307"/>
    </row>
    <row r="10" spans="8:15" x14ac:dyDescent="0.25">
      <c r="H10" s="308" t="s">
        <v>217</v>
      </c>
      <c r="I10" s="309"/>
      <c r="J10" s="308" t="s">
        <v>218</v>
      </c>
      <c r="K10" s="309"/>
      <c r="L10" s="312" t="s">
        <v>219</v>
      </c>
      <c r="M10" s="313"/>
      <c r="N10" s="308" t="s">
        <v>5</v>
      </c>
      <c r="O10" s="309"/>
    </row>
    <row r="11" spans="8:15" ht="14.4" thickBot="1" x14ac:dyDescent="0.3">
      <c r="H11" s="310"/>
      <c r="I11" s="311"/>
      <c r="J11" s="310"/>
      <c r="K11" s="311"/>
      <c r="L11" s="314"/>
      <c r="M11" s="315"/>
      <c r="N11" s="310"/>
      <c r="O11" s="311"/>
    </row>
    <row r="12" spans="8:15" x14ac:dyDescent="0.25">
      <c r="H12" s="300" t="s">
        <v>220</v>
      </c>
      <c r="I12" s="301"/>
      <c r="J12" s="302">
        <f>240000</f>
        <v>240000</v>
      </c>
      <c r="K12" s="302"/>
      <c r="L12" s="302">
        <f>240000</f>
        <v>240000</v>
      </c>
      <c r="M12" s="302"/>
      <c r="N12" s="302">
        <v>2700000</v>
      </c>
      <c r="O12" s="303"/>
    </row>
    <row r="13" spans="8:15" x14ac:dyDescent="0.25">
      <c r="H13" s="287"/>
      <c r="I13" s="288"/>
      <c r="J13" s="298"/>
      <c r="K13" s="298"/>
      <c r="L13" s="298"/>
      <c r="M13" s="298"/>
      <c r="N13" s="298"/>
      <c r="O13" s="304"/>
    </row>
    <row r="14" spans="8:15" x14ac:dyDescent="0.25">
      <c r="H14" s="287" t="s">
        <v>221</v>
      </c>
      <c r="I14" s="288"/>
      <c r="J14" s="298">
        <f>1000000</f>
        <v>1000000</v>
      </c>
      <c r="K14" s="298"/>
      <c r="L14" s="298">
        <v>1730000</v>
      </c>
      <c r="M14" s="298"/>
      <c r="N14" s="288" t="s">
        <v>222</v>
      </c>
      <c r="O14" s="292"/>
    </row>
    <row r="15" spans="8:15" x14ac:dyDescent="0.25">
      <c r="H15" s="287"/>
      <c r="I15" s="288"/>
      <c r="J15" s="298"/>
      <c r="K15" s="298"/>
      <c r="L15" s="298"/>
      <c r="M15" s="298"/>
      <c r="N15" s="288"/>
      <c r="O15" s="292"/>
    </row>
    <row r="16" spans="8:15" x14ac:dyDescent="0.25">
      <c r="H16" s="287" t="s">
        <v>223</v>
      </c>
      <c r="I16" s="288"/>
      <c r="J16" s="291">
        <f>(J14+J12)*0.06</f>
        <v>74400</v>
      </c>
      <c r="K16" s="291"/>
      <c r="L16" s="291">
        <f>(L14+L12)*0.06</f>
        <v>118200</v>
      </c>
      <c r="M16" s="291"/>
      <c r="N16" s="291">
        <f>N12*0.06</f>
        <v>162000</v>
      </c>
      <c r="O16" s="299"/>
    </row>
    <row r="17" spans="8:15" x14ac:dyDescent="0.25">
      <c r="H17" s="287"/>
      <c r="I17" s="288"/>
      <c r="J17" s="291"/>
      <c r="K17" s="291"/>
      <c r="L17" s="291"/>
      <c r="M17" s="291"/>
      <c r="N17" s="291"/>
      <c r="O17" s="299"/>
    </row>
    <row r="18" spans="8:15" x14ac:dyDescent="0.25">
      <c r="H18" s="287" t="s">
        <v>224</v>
      </c>
      <c r="I18" s="288"/>
      <c r="J18" s="288" t="s">
        <v>222</v>
      </c>
      <c r="K18" s="288"/>
      <c r="L18" s="291">
        <v>144000</v>
      </c>
      <c r="M18" s="291"/>
      <c r="N18" s="288" t="s">
        <v>222</v>
      </c>
      <c r="O18" s="292"/>
    </row>
    <row r="19" spans="8:15" x14ac:dyDescent="0.25">
      <c r="H19" s="287"/>
      <c r="I19" s="288"/>
      <c r="J19" s="288"/>
      <c r="K19" s="288"/>
      <c r="L19" s="291"/>
      <c r="M19" s="291"/>
      <c r="N19" s="288"/>
      <c r="O19" s="292"/>
    </row>
    <row r="20" spans="8:15" x14ac:dyDescent="0.25">
      <c r="H20" s="294" t="s">
        <v>8</v>
      </c>
      <c r="I20" s="295"/>
      <c r="J20" s="296">
        <f>SUM(J12:K19)</f>
        <v>1314400</v>
      </c>
      <c r="K20" s="295"/>
      <c r="L20" s="296">
        <f>SUM(L12:M19)</f>
        <v>2232200</v>
      </c>
      <c r="M20" s="295"/>
      <c r="N20" s="296">
        <f>SUM(N12:O19)</f>
        <v>2862000</v>
      </c>
      <c r="O20" s="297"/>
    </row>
    <row r="21" spans="8:15" x14ac:dyDescent="0.25">
      <c r="H21" s="294"/>
      <c r="I21" s="295"/>
      <c r="J21" s="295"/>
      <c r="K21" s="295"/>
      <c r="L21" s="295"/>
      <c r="M21" s="295"/>
      <c r="N21" s="295"/>
      <c r="O21" s="297"/>
    </row>
    <row r="22" spans="8:15" x14ac:dyDescent="0.25">
      <c r="H22" s="287" t="s">
        <v>225</v>
      </c>
      <c r="I22" s="288"/>
      <c r="J22" s="291">
        <v>500000</v>
      </c>
      <c r="K22" s="288"/>
      <c r="L22" s="291">
        <v>1500000</v>
      </c>
      <c r="M22" s="288"/>
      <c r="N22" s="288" t="s">
        <v>226</v>
      </c>
      <c r="O22" s="292"/>
    </row>
    <row r="23" spans="8:15" ht="14.4" thickBot="1" x14ac:dyDescent="0.3">
      <c r="H23" s="289"/>
      <c r="I23" s="290"/>
      <c r="J23" s="290"/>
      <c r="K23" s="290"/>
      <c r="L23" s="290"/>
      <c r="M23" s="290"/>
      <c r="N23" s="290"/>
      <c r="O23" s="293"/>
    </row>
  </sheetData>
  <mergeCells count="29"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  <mergeCell ref="H14:I15"/>
    <mergeCell ref="J14:K15"/>
    <mergeCell ref="L14:M15"/>
    <mergeCell ref="N14:O15"/>
    <mergeCell ref="H16:I17"/>
    <mergeCell ref="J16:K17"/>
    <mergeCell ref="L16:M17"/>
    <mergeCell ref="N16:O17"/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71"/>
  <sheetViews>
    <sheetView rightToLeft="1" workbookViewId="0">
      <selection activeCell="G39" sqref="G39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97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600</v>
      </c>
      <c r="C8" s="24"/>
      <c r="D8" s="25"/>
      <c r="E8" s="91"/>
      <c r="F8" s="22" t="s">
        <v>27</v>
      </c>
      <c r="G8" s="23">
        <f>SUM(G4:G7)</f>
        <v>600</v>
      </c>
      <c r="H8" s="24"/>
      <c r="I8" s="25"/>
    </row>
    <row r="9" spans="1:10" x14ac:dyDescent="0.25">
      <c r="A9" s="26" t="s">
        <v>28</v>
      </c>
      <c r="B9" s="27">
        <f>B2-B8</f>
        <v>1900</v>
      </c>
      <c r="C9" s="28"/>
      <c r="D9" s="29"/>
      <c r="F9" s="26" t="s">
        <v>28</v>
      </c>
      <c r="G9" s="27">
        <f>G2-G8</f>
        <v>2400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5100</v>
      </c>
      <c r="C13" s="32"/>
      <c r="D13" s="33">
        <f>SUM(D4:D12)</f>
        <v>972.5</v>
      </c>
      <c r="F13" s="30" t="s">
        <v>31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972.5</v>
      </c>
      <c r="E14" s="72"/>
      <c r="F14" s="34" t="s">
        <v>32</v>
      </c>
      <c r="G14" s="35"/>
      <c r="H14" s="36"/>
      <c r="I14" s="37">
        <f>I13</f>
        <v>1022.5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f>SUM(D19:D27)</f>
        <v>144.55000000000001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316" t="s">
        <v>209</v>
      </c>
      <c r="B30" s="317"/>
      <c r="C30" s="317"/>
      <c r="D30" s="318"/>
      <c r="I30" s="17"/>
    </row>
    <row r="31" spans="1:9" x14ac:dyDescent="0.25">
      <c r="A31" s="213" t="s">
        <v>210</v>
      </c>
      <c r="B31" s="12"/>
      <c r="C31" s="12"/>
      <c r="D31" s="214">
        <v>186</v>
      </c>
      <c r="I31" s="17"/>
    </row>
    <row r="32" spans="1:9" x14ac:dyDescent="0.25">
      <c r="A32" s="18" t="s">
        <v>211</v>
      </c>
      <c r="D32" s="215">
        <v>160</v>
      </c>
      <c r="I32" s="17"/>
    </row>
    <row r="33" spans="1:25" ht="14.4" thickBot="1" x14ac:dyDescent="0.3">
      <c r="A33" s="100" t="s">
        <v>212</v>
      </c>
      <c r="B33" s="102"/>
      <c r="C33" s="102"/>
      <c r="D33" s="216">
        <f>D31-D32</f>
        <v>26</v>
      </c>
      <c r="I33" s="17"/>
    </row>
    <row r="34" spans="1:25" x14ac:dyDescent="0.25">
      <c r="A34" s="10" t="s">
        <v>213</v>
      </c>
      <c r="B34" s="12"/>
      <c r="C34" s="12"/>
      <c r="D34" s="214">
        <v>240</v>
      </c>
      <c r="I34" s="17"/>
    </row>
    <row r="35" spans="1:25" x14ac:dyDescent="0.25">
      <c r="A35" s="18" t="s">
        <v>211</v>
      </c>
      <c r="D35" s="215">
        <v>160</v>
      </c>
      <c r="I35" s="17"/>
    </row>
    <row r="36" spans="1:25" ht="14.4" thickBot="1" x14ac:dyDescent="0.3">
      <c r="A36" s="100" t="s">
        <v>212</v>
      </c>
      <c r="B36" s="102"/>
      <c r="C36" s="102"/>
      <c r="D36" s="216">
        <f>D34-D35</f>
        <v>80</v>
      </c>
      <c r="I36" s="17"/>
    </row>
    <row r="37" spans="1:25" ht="14.4" thickBot="1" x14ac:dyDescent="0.3">
      <c r="A37" s="18"/>
      <c r="D37" s="215"/>
      <c r="I37" s="17"/>
    </row>
    <row r="38" spans="1:25" ht="14.4" thickBot="1" x14ac:dyDescent="0.3">
      <c r="A38" s="217" t="s">
        <v>214</v>
      </c>
      <c r="B38" s="218"/>
      <c r="C38" s="218"/>
      <c r="D38" s="219">
        <f>D36+D33</f>
        <v>106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215</v>
      </c>
      <c r="D41" s="17">
        <f>D14+D28-D38</f>
        <v>1011.05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160</v>
      </c>
      <c r="O46" s="220" t="s">
        <v>227</v>
      </c>
      <c r="P46" s="221" t="s">
        <v>228</v>
      </c>
      <c r="Q46" s="221" t="s">
        <v>229</v>
      </c>
      <c r="R46" s="221" t="s">
        <v>230</v>
      </c>
      <c r="S46" s="222" t="s">
        <v>231</v>
      </c>
      <c r="T46" s="220" t="s">
        <v>232</v>
      </c>
      <c r="U46" s="223" t="s">
        <v>233</v>
      </c>
      <c r="V46" s="220" t="s">
        <v>234</v>
      </c>
      <c r="W46" s="223" t="s">
        <v>235</v>
      </c>
      <c r="X46" s="220" t="s">
        <v>234</v>
      </c>
      <c r="Y46" s="223" t="s">
        <v>223</v>
      </c>
    </row>
    <row r="47" spans="1:25" x14ac:dyDescent="0.25">
      <c r="A47" s="10" t="s">
        <v>51</v>
      </c>
      <c r="B47" s="98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  <c r="O47" s="319" t="s">
        <v>236</v>
      </c>
      <c r="P47" s="224" t="s">
        <v>14</v>
      </c>
      <c r="Q47" s="224">
        <v>300</v>
      </c>
      <c r="R47" s="224">
        <v>160</v>
      </c>
      <c r="S47" s="225">
        <f>Q47-R47</f>
        <v>140</v>
      </c>
      <c r="T47" s="226">
        <v>3000</v>
      </c>
      <c r="U47" s="227">
        <f>S47*T47</f>
        <v>420000</v>
      </c>
      <c r="V47" s="226">
        <v>0</v>
      </c>
      <c r="W47" s="227">
        <f>S47*V47</f>
        <v>0</v>
      </c>
      <c r="X47" s="228">
        <v>0</v>
      </c>
      <c r="Y47" s="227">
        <v>0</v>
      </c>
    </row>
    <row r="48" spans="1:25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21"/>
      <c r="P48" s="229" t="s">
        <v>15</v>
      </c>
      <c r="Q48" s="229">
        <v>197</v>
      </c>
      <c r="R48" s="229">
        <v>160</v>
      </c>
      <c r="S48" s="230">
        <f>Q48-R48</f>
        <v>37</v>
      </c>
      <c r="T48" s="231">
        <v>3000</v>
      </c>
      <c r="U48" s="232">
        <f>S48*T48</f>
        <v>111000</v>
      </c>
      <c r="V48" s="231">
        <v>0</v>
      </c>
      <c r="W48" s="232">
        <v>0</v>
      </c>
      <c r="X48" s="233">
        <v>0</v>
      </c>
      <c r="Y48" s="232">
        <v>0</v>
      </c>
    </row>
    <row r="49" spans="1:25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21"/>
      <c r="P49" s="229" t="s">
        <v>237</v>
      </c>
      <c r="Q49" s="229">
        <v>130</v>
      </c>
      <c r="R49" s="229">
        <v>0</v>
      </c>
      <c r="S49" s="230">
        <f>Q49-R49</f>
        <v>130</v>
      </c>
      <c r="T49" s="231">
        <v>3000</v>
      </c>
      <c r="U49" s="232">
        <f>S49*T49</f>
        <v>390000</v>
      </c>
      <c r="V49" s="231">
        <v>0</v>
      </c>
      <c r="W49" s="232">
        <v>0</v>
      </c>
      <c r="X49" s="233">
        <v>0</v>
      </c>
      <c r="Y49" s="232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7"/>
      <c r="H50" s="107"/>
      <c r="I50" s="108">
        <f>I48+I49</f>
        <v>207.5</v>
      </c>
      <c r="J50" s="17">
        <f>'תחשיב לפי שווי שומה (2)'!B8</f>
        <v>12800</v>
      </c>
      <c r="K50" s="17">
        <f>I50*J50</f>
        <v>2656000</v>
      </c>
      <c r="L50" s="109">
        <v>0.29249999999999998</v>
      </c>
      <c r="M50" s="91">
        <f>K50*L50</f>
        <v>776880</v>
      </c>
      <c r="O50" s="321"/>
      <c r="P50" s="234" t="s">
        <v>238</v>
      </c>
      <c r="Q50" s="234">
        <v>55</v>
      </c>
      <c r="R50" s="234">
        <v>0</v>
      </c>
      <c r="S50" s="235">
        <f>Q50-R50</f>
        <v>55</v>
      </c>
      <c r="T50" s="236">
        <v>3000</v>
      </c>
      <c r="U50" s="237">
        <f>S50*T50</f>
        <v>165000</v>
      </c>
      <c r="V50" s="236">
        <v>0</v>
      </c>
      <c r="W50" s="237">
        <v>0</v>
      </c>
      <c r="X50" s="238">
        <v>0</v>
      </c>
      <c r="Y50" s="237">
        <v>0</v>
      </c>
    </row>
    <row r="51" spans="1:25" ht="15" thickTop="1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0" t="s">
        <v>61</v>
      </c>
      <c r="G51" s="102"/>
      <c r="H51" s="102"/>
      <c r="I51" s="103">
        <f>D57-I50</f>
        <v>79.300000000000011</v>
      </c>
      <c r="J51" s="17">
        <f>J50</f>
        <v>12800</v>
      </c>
      <c r="K51" s="17">
        <f>I51*J51</f>
        <v>1015040.0000000001</v>
      </c>
      <c r="L51" s="109">
        <v>0.33</v>
      </c>
      <c r="M51" s="91">
        <f>K51*L51</f>
        <v>334963.20000000007</v>
      </c>
      <c r="O51" s="320"/>
      <c r="P51" s="322" t="s">
        <v>8</v>
      </c>
      <c r="Q51" s="323"/>
      <c r="R51" s="324"/>
      <c r="S51" s="239">
        <f>SUM(S47:S50)</f>
        <v>362</v>
      </c>
      <c r="T51" s="240">
        <v>3000</v>
      </c>
      <c r="U51" s="241">
        <f>SUM(U47:U50)</f>
        <v>1086000</v>
      </c>
      <c r="V51" s="240">
        <v>0</v>
      </c>
      <c r="W51" s="241">
        <v>0</v>
      </c>
      <c r="X51" s="242">
        <v>0</v>
      </c>
      <c r="Y51" s="241">
        <v>0</v>
      </c>
    </row>
    <row r="52" spans="1:25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1111843.2000000002</v>
      </c>
      <c r="O52" s="300" t="s">
        <v>239</v>
      </c>
      <c r="P52" s="224" t="s">
        <v>239</v>
      </c>
      <c r="Q52" s="243">
        <v>3.7499999999999999E-2</v>
      </c>
      <c r="R52" s="244"/>
      <c r="S52" s="225">
        <v>375</v>
      </c>
      <c r="T52" s="245">
        <v>240000</v>
      </c>
      <c r="U52" s="246">
        <f>T52</f>
        <v>240000</v>
      </c>
      <c r="V52" s="245">
        <v>0</v>
      </c>
      <c r="W52" s="246">
        <v>0</v>
      </c>
      <c r="X52" s="247">
        <v>0.06</v>
      </c>
      <c r="Y52" s="246">
        <f>U52*6%</f>
        <v>14400</v>
      </c>
    </row>
    <row r="53" spans="1:25" ht="14.4" thickBot="1" x14ac:dyDescent="0.3">
      <c r="A53" s="99" t="s">
        <v>26</v>
      </c>
      <c r="B53" s="71"/>
      <c r="C53" s="28">
        <v>0.5</v>
      </c>
      <c r="D53" s="29">
        <f t="shared" si="1"/>
        <v>0</v>
      </c>
      <c r="O53" s="289"/>
      <c r="P53" s="248" t="s">
        <v>240</v>
      </c>
      <c r="Q53" s="248"/>
      <c r="R53" s="248"/>
      <c r="S53" s="249">
        <f>SUM(S51:S52)</f>
        <v>737</v>
      </c>
      <c r="T53" s="250"/>
      <c r="U53" s="251"/>
      <c r="V53" s="250"/>
      <c r="W53" s="251"/>
      <c r="X53" s="252"/>
      <c r="Y53" s="251">
        <v>0</v>
      </c>
    </row>
    <row r="54" spans="1:25" x14ac:dyDescent="0.25">
      <c r="A54" s="22" t="s">
        <v>27</v>
      </c>
      <c r="B54" s="23">
        <f>SUM(B48:B53)-B49</f>
        <v>273</v>
      </c>
      <c r="C54" s="24"/>
      <c r="D54" s="25"/>
      <c r="O54" s="319" t="s">
        <v>176</v>
      </c>
      <c r="P54" s="224" t="s">
        <v>241</v>
      </c>
      <c r="Q54" s="253"/>
      <c r="R54" s="244"/>
      <c r="S54" s="225">
        <v>-160</v>
      </c>
      <c r="T54" s="226">
        <v>950000</v>
      </c>
      <c r="U54" s="227">
        <f>T54</f>
        <v>950000</v>
      </c>
      <c r="V54" s="226">
        <v>450000</v>
      </c>
      <c r="W54" s="227">
        <f>V54</f>
        <v>450000</v>
      </c>
      <c r="X54" s="228">
        <v>0.06</v>
      </c>
      <c r="Y54" s="227">
        <f>U54*6%</f>
        <v>57000</v>
      </c>
    </row>
    <row r="55" spans="1:25" ht="14.4" thickBot="1" x14ac:dyDescent="0.3">
      <c r="A55" s="18" t="s">
        <v>28</v>
      </c>
      <c r="B55" s="19">
        <f>B47-B54</f>
        <v>77</v>
      </c>
      <c r="C55" s="20"/>
      <c r="D55" s="21"/>
      <c r="O55" s="320"/>
      <c r="P55" s="248" t="s">
        <v>242</v>
      </c>
      <c r="Q55" s="248"/>
      <c r="R55" s="248"/>
      <c r="S55" s="249">
        <f>SUM(S53:S54)</f>
        <v>577</v>
      </c>
      <c r="T55" s="250"/>
      <c r="U55" s="251"/>
      <c r="V55" s="250"/>
      <c r="W55" s="251"/>
      <c r="X55" s="252"/>
      <c r="Y55" s="251"/>
    </row>
    <row r="56" spans="1:25" x14ac:dyDescent="0.25">
      <c r="A56" s="26" t="s">
        <v>29</v>
      </c>
      <c r="B56" s="104">
        <v>80</v>
      </c>
      <c r="C56" s="105">
        <v>0.25</v>
      </c>
      <c r="D56" s="106">
        <f>B56*C56</f>
        <v>20</v>
      </c>
      <c r="O56" s="319" t="s">
        <v>243</v>
      </c>
      <c r="P56" s="224" t="s">
        <v>244</v>
      </c>
      <c r="Q56" s="224"/>
      <c r="R56" s="224"/>
      <c r="S56" s="225">
        <f>-Q48-Q49-Q50</f>
        <v>-382</v>
      </c>
      <c r="T56" s="226"/>
      <c r="U56" s="227"/>
      <c r="V56" s="226"/>
      <c r="W56" s="227">
        <v>0</v>
      </c>
      <c r="X56" s="228">
        <v>0</v>
      </c>
      <c r="Y56" s="227">
        <v>0</v>
      </c>
    </row>
    <row r="57" spans="1:25" ht="14.4" thickBot="1" x14ac:dyDescent="0.3">
      <c r="A57" s="100" t="s">
        <v>31</v>
      </c>
      <c r="B57" s="101"/>
      <c r="C57" s="102"/>
      <c r="D57" s="103">
        <f>SUM(D48:D56)</f>
        <v>286.8</v>
      </c>
      <c r="F57" s="91"/>
      <c r="O57" s="320"/>
      <c r="P57" s="248" t="s">
        <v>245</v>
      </c>
      <c r="Q57" s="248"/>
      <c r="R57" s="248"/>
      <c r="S57" s="249">
        <f>SUM(S55:S56)</f>
        <v>195</v>
      </c>
      <c r="T57" s="250">
        <v>0</v>
      </c>
      <c r="U57" s="251">
        <v>0</v>
      </c>
      <c r="V57" s="250"/>
      <c r="W57" s="251">
        <v>0</v>
      </c>
      <c r="X57" s="252">
        <v>0</v>
      </c>
      <c r="Y57" s="251">
        <v>0</v>
      </c>
    </row>
    <row r="58" spans="1:25" ht="14.4" thickBot="1" x14ac:dyDescent="0.3">
      <c r="A58" s="18" t="s">
        <v>75</v>
      </c>
      <c r="B58" s="19"/>
      <c r="D58" s="91">
        <v>100000</v>
      </c>
      <c r="T58" s="217" t="s">
        <v>233</v>
      </c>
      <c r="U58" s="254">
        <f>SUM(U51:U57)</f>
        <v>2276000</v>
      </c>
      <c r="V58" s="218" t="s">
        <v>246</v>
      </c>
      <c r="W58" s="254">
        <f>SUM(W47:W57)</f>
        <v>450000</v>
      </c>
      <c r="X58" s="218" t="s">
        <v>247</v>
      </c>
      <c r="Y58" s="255">
        <f>SUM(Y51:Y57)</f>
        <v>71400</v>
      </c>
    </row>
    <row r="60" spans="1:25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7">
        <f>G68*H68</f>
        <v>50</v>
      </c>
    </row>
    <row r="69" spans="1:9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25">
      <c r="A71" t="s">
        <v>66</v>
      </c>
      <c r="D71" s="17">
        <v>175000</v>
      </c>
      <c r="F71" t="s">
        <v>66</v>
      </c>
      <c r="I71" s="17">
        <v>190000</v>
      </c>
    </row>
  </sheetData>
  <mergeCells count="6"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F3:M15"/>
  <sheetViews>
    <sheetView rightToLeft="1" tabSelected="1" workbookViewId="0">
      <selection activeCell="M18" sqref="M18"/>
    </sheetView>
  </sheetViews>
  <sheetFormatPr defaultRowHeight="13.8" x14ac:dyDescent="0.25"/>
  <cols>
    <col min="5" max="5" width="10.8984375" customWidth="1"/>
    <col min="6" max="7" width="10.59765625" customWidth="1"/>
    <col min="8" max="8" width="9.296875" customWidth="1"/>
    <col min="9" max="9" width="10.5" bestFit="1" customWidth="1"/>
    <col min="10" max="10" width="11" customWidth="1"/>
    <col min="11" max="11" width="10.69921875" bestFit="1" customWidth="1"/>
    <col min="12" max="12" width="9.8984375" bestFit="1" customWidth="1"/>
  </cols>
  <sheetData>
    <row r="3" spans="6:13" ht="14.4" thickBot="1" x14ac:dyDescent="0.3"/>
    <row r="4" spans="6:13" ht="14.4" thickBot="1" x14ac:dyDescent="0.3">
      <c r="F4" s="369" t="s">
        <v>283</v>
      </c>
      <c r="G4" s="370"/>
      <c r="H4" s="370"/>
      <c r="I4" s="370"/>
      <c r="J4" s="370"/>
      <c r="K4" s="370"/>
      <c r="L4" s="370"/>
      <c r="M4" s="371"/>
    </row>
    <row r="5" spans="6:13" x14ac:dyDescent="0.25">
      <c r="F5" s="372" t="s">
        <v>248</v>
      </c>
      <c r="G5" s="373" t="s">
        <v>284</v>
      </c>
      <c r="H5" s="374" t="s">
        <v>285</v>
      </c>
      <c r="I5" s="374" t="s">
        <v>286</v>
      </c>
      <c r="J5" s="373" t="s">
        <v>198</v>
      </c>
      <c r="K5" s="373" t="s">
        <v>235</v>
      </c>
      <c r="L5" s="373" t="s">
        <v>287</v>
      </c>
      <c r="M5" s="375" t="s">
        <v>49</v>
      </c>
    </row>
    <row r="6" spans="6:13" x14ac:dyDescent="0.25">
      <c r="F6" s="283">
        <v>1</v>
      </c>
      <c r="G6" s="376"/>
      <c r="H6" s="377"/>
      <c r="I6" s="378"/>
      <c r="J6" s="284"/>
      <c r="K6" s="284"/>
      <c r="L6" s="284">
        <f>SUM(J6:K6)</f>
        <v>0</v>
      </c>
      <c r="M6" s="285"/>
    </row>
    <row r="7" spans="6:13" x14ac:dyDescent="0.25">
      <c r="F7" s="283">
        <v>2</v>
      </c>
      <c r="G7" s="379"/>
      <c r="H7" s="377"/>
      <c r="I7" s="380"/>
      <c r="J7" s="381"/>
      <c r="K7" s="381"/>
      <c r="L7" s="284">
        <f t="shared" ref="L7:L11" si="0">SUM(J7:K7)</f>
        <v>0</v>
      </c>
      <c r="M7" s="382"/>
    </row>
    <row r="8" spans="6:13" x14ac:dyDescent="0.25">
      <c r="F8" s="283">
        <v>3</v>
      </c>
      <c r="G8" s="379"/>
      <c r="H8" s="383"/>
      <c r="I8" s="380"/>
      <c r="J8" s="381"/>
      <c r="K8" s="381"/>
      <c r="L8" s="284">
        <f t="shared" si="0"/>
        <v>0</v>
      </c>
      <c r="M8" s="382"/>
    </row>
    <row r="9" spans="6:13" x14ac:dyDescent="0.25">
      <c r="F9" s="283">
        <v>4</v>
      </c>
      <c r="G9" s="379"/>
      <c r="H9" s="383"/>
      <c r="I9" s="380"/>
      <c r="J9" s="381"/>
      <c r="K9" s="381"/>
      <c r="L9" s="284">
        <f t="shared" si="0"/>
        <v>0</v>
      </c>
      <c r="M9" s="382"/>
    </row>
    <row r="10" spans="6:13" x14ac:dyDescent="0.25">
      <c r="F10" s="283">
        <v>5</v>
      </c>
      <c r="G10" s="379"/>
      <c r="H10" s="383"/>
      <c r="I10" s="380"/>
      <c r="J10" s="381"/>
      <c r="K10" s="381"/>
      <c r="L10" s="284">
        <f t="shared" si="0"/>
        <v>0</v>
      </c>
      <c r="M10" s="382"/>
    </row>
    <row r="11" spans="6:13" ht="14.4" thickBot="1" x14ac:dyDescent="0.3">
      <c r="F11" s="286">
        <v>6</v>
      </c>
      <c r="G11" s="384"/>
      <c r="H11" s="385"/>
      <c r="I11" s="386"/>
      <c r="J11" s="387"/>
      <c r="K11" s="387"/>
      <c r="L11" s="388">
        <f t="shared" si="0"/>
        <v>0</v>
      </c>
      <c r="M11" s="389"/>
    </row>
    <row r="12" spans="6:13" ht="14.4" thickBot="1" x14ac:dyDescent="0.3">
      <c r="F12" s="390" t="s">
        <v>288</v>
      </c>
      <c r="G12" s="391"/>
      <c r="H12" s="391"/>
      <c r="I12" s="392"/>
      <c r="J12" s="393">
        <f>SUM(J6:J11)</f>
        <v>0</v>
      </c>
      <c r="K12" s="394">
        <f t="shared" ref="K12" si="1">SUM(K6:K11)</f>
        <v>0</v>
      </c>
      <c r="L12" s="395">
        <f>SUM(L6:L11)</f>
        <v>0</v>
      </c>
      <c r="M12" s="396">
        <f>SUM(M6:M11)</f>
        <v>0</v>
      </c>
    </row>
    <row r="13" spans="6:13" x14ac:dyDescent="0.25">
      <c r="G13" s="397"/>
      <c r="H13" s="397"/>
      <c r="K13" s="398" t="s">
        <v>239</v>
      </c>
      <c r="L13" s="399"/>
      <c r="M13" s="400"/>
    </row>
    <row r="14" spans="6:13" ht="14.4" thickBot="1" x14ac:dyDescent="0.3">
      <c r="J14" s="401"/>
      <c r="K14" s="402" t="s">
        <v>126</v>
      </c>
      <c r="L14" s="403"/>
      <c r="M14" s="404"/>
    </row>
    <row r="15" spans="6:13" ht="14.4" thickBot="1" x14ac:dyDescent="0.3">
      <c r="K15" s="405" t="s">
        <v>289</v>
      </c>
      <c r="L15" s="406">
        <f>SUM(J14:M14)</f>
        <v>0</v>
      </c>
      <c r="M15" s="407">
        <f>SUM(M6:M13)</f>
        <v>0</v>
      </c>
    </row>
  </sheetData>
  <mergeCells count="2">
    <mergeCell ref="F12:I12"/>
    <mergeCell ref="F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Q32"/>
  <sheetViews>
    <sheetView rightToLeft="1" zoomScale="85" zoomScaleNormal="85" workbookViewId="0">
      <selection activeCell="C8" sqref="C8"/>
    </sheetView>
  </sheetViews>
  <sheetFormatPr defaultRowHeight="13.8" x14ac:dyDescent="0.25"/>
  <cols>
    <col min="1" max="1" width="5.296875" customWidth="1"/>
    <col min="2" max="2" width="12.5" customWidth="1"/>
    <col min="3" max="3" width="9.5" bestFit="1" customWidth="1"/>
    <col min="4" max="4" width="10.296875" style="17" customWidth="1"/>
    <col min="5" max="5" width="10.796875" style="17" bestFit="1" customWidth="1"/>
    <col min="6" max="6" width="9.19921875" style="17" bestFit="1" customWidth="1"/>
    <col min="7" max="7" width="8.59765625" bestFit="1" customWidth="1"/>
    <col min="8" max="8" width="12.296875" customWidth="1"/>
    <col min="9" max="9" width="8" customWidth="1"/>
    <col min="10" max="10" width="11.796875" customWidth="1"/>
    <col min="17" max="17" width="10.8984375" bestFit="1" customWidth="1"/>
  </cols>
  <sheetData>
    <row r="2" spans="2:17" ht="15.6" x14ac:dyDescent="0.4">
      <c r="B2" s="39" t="s">
        <v>156</v>
      </c>
      <c r="C2" s="39"/>
      <c r="D2" s="130"/>
    </row>
    <row r="3" spans="2:17" x14ac:dyDescent="0.25">
      <c r="B3" t="s">
        <v>95</v>
      </c>
      <c r="C3" s="148"/>
      <c r="D3" s="148"/>
      <c r="G3" s="189"/>
      <c r="H3" s="148"/>
      <c r="I3" s="149"/>
      <c r="J3" s="149"/>
    </row>
    <row r="4" spans="2:17" x14ac:dyDescent="0.25">
      <c r="B4" t="s">
        <v>131</v>
      </c>
      <c r="C4" s="186"/>
      <c r="D4" s="38"/>
      <c r="G4" s="189"/>
      <c r="J4" s="149"/>
    </row>
    <row r="5" spans="2:17" x14ac:dyDescent="0.25">
      <c r="B5" t="s">
        <v>132</v>
      </c>
    </row>
    <row r="6" spans="2:17" x14ac:dyDescent="0.25">
      <c r="B6" t="s">
        <v>133</v>
      </c>
      <c r="C6" s="149"/>
      <c r="D6" s="148"/>
    </row>
    <row r="7" spans="2:17" x14ac:dyDescent="0.25">
      <c r="B7" t="s">
        <v>147</v>
      </c>
      <c r="C7" s="149">
        <f>Q19</f>
        <v>12800</v>
      </c>
    </row>
    <row r="8" spans="2:17" x14ac:dyDescent="0.25">
      <c r="C8" s="149"/>
    </row>
    <row r="9" spans="2:17" x14ac:dyDescent="0.25">
      <c r="B9" s="39" t="s">
        <v>134</v>
      </c>
      <c r="C9" s="150"/>
    </row>
    <row r="10" spans="2:17" ht="27.6" x14ac:dyDescent="0.4">
      <c r="B10" s="39" t="s">
        <v>136</v>
      </c>
      <c r="C10" s="39" t="s">
        <v>135</v>
      </c>
      <c r="D10" s="130" t="s">
        <v>137</v>
      </c>
      <c r="E10" s="130" t="s">
        <v>138</v>
      </c>
      <c r="F10" s="130" t="s">
        <v>139</v>
      </c>
      <c r="G10" s="130" t="s">
        <v>140</v>
      </c>
      <c r="H10" s="188" t="s">
        <v>141</v>
      </c>
      <c r="I10" s="130" t="s">
        <v>142</v>
      </c>
      <c r="J10" s="130" t="s">
        <v>143</v>
      </c>
      <c r="K10" s="130" t="s">
        <v>144</v>
      </c>
      <c r="L10" s="130" t="s">
        <v>145</v>
      </c>
      <c r="M10" s="130" t="s">
        <v>146</v>
      </c>
      <c r="N10" s="130"/>
      <c r="O10" s="130"/>
    </row>
    <row r="11" spans="2:17" x14ac:dyDescent="0.25">
      <c r="B11" s="187"/>
    </row>
    <row r="12" spans="2:17" ht="14.4" thickBot="1" x14ac:dyDescent="0.3"/>
    <row r="13" spans="2:17" ht="40.200000000000003" thickBot="1" x14ac:dyDescent="0.3">
      <c r="C13" s="279" t="s">
        <v>257</v>
      </c>
      <c r="D13" s="280" t="s">
        <v>258</v>
      </c>
      <c r="E13" s="280" t="s">
        <v>259</v>
      </c>
      <c r="F13" s="280" t="s">
        <v>260</v>
      </c>
      <c r="G13" s="280" t="s">
        <v>261</v>
      </c>
      <c r="H13" s="280" t="s">
        <v>262</v>
      </c>
      <c r="I13" s="280" t="s">
        <v>263</v>
      </c>
      <c r="J13" s="280" t="s">
        <v>139</v>
      </c>
      <c r="K13" s="280" t="s">
        <v>140</v>
      </c>
      <c r="L13" s="280" t="s">
        <v>264</v>
      </c>
      <c r="M13" s="281" t="s">
        <v>265</v>
      </c>
      <c r="N13" s="262" t="s">
        <v>281</v>
      </c>
      <c r="O13" s="282" t="s">
        <v>282</v>
      </c>
      <c r="P13" s="262" t="s">
        <v>145</v>
      </c>
      <c r="Q13" s="262" t="s">
        <v>280</v>
      </c>
    </row>
    <row r="14" spans="2:17" x14ac:dyDescent="0.25">
      <c r="C14" s="263">
        <v>1</v>
      </c>
      <c r="D14" s="264" t="s">
        <v>266</v>
      </c>
      <c r="E14" s="264" t="s">
        <v>267</v>
      </c>
      <c r="F14" s="265">
        <v>45651</v>
      </c>
      <c r="G14" s="266">
        <v>5900000</v>
      </c>
      <c r="H14" s="266">
        <f>G14/1.05</f>
        <v>5619047.6190476185</v>
      </c>
      <c r="I14" s="264">
        <v>604</v>
      </c>
      <c r="J14" s="264">
        <v>140</v>
      </c>
      <c r="K14" s="264">
        <v>2005</v>
      </c>
      <c r="L14" s="264">
        <f>J14*8500</f>
        <v>1190000</v>
      </c>
      <c r="M14" s="266">
        <f>H14-L14</f>
        <v>4429047.6190476185</v>
      </c>
      <c r="N14" s="277">
        <v>1.05</v>
      </c>
      <c r="O14" s="266">
        <f>M14*N14</f>
        <v>4650500</v>
      </c>
      <c r="P14" s="264">
        <f>F32</f>
        <v>333.8</v>
      </c>
      <c r="Q14" s="267">
        <f>O14/P14</f>
        <v>13931.995206710604</v>
      </c>
    </row>
    <row r="15" spans="2:17" ht="14.4" thickBot="1" x14ac:dyDescent="0.3">
      <c r="B15" s="39"/>
      <c r="C15" s="273">
        <v>2</v>
      </c>
      <c r="D15" s="274" t="s">
        <v>266</v>
      </c>
      <c r="E15" s="274" t="s">
        <v>268</v>
      </c>
      <c r="F15" s="275">
        <v>45456</v>
      </c>
      <c r="G15" s="276">
        <v>6200000</v>
      </c>
      <c r="H15" s="276">
        <f>G15/1.05</f>
        <v>5904761.9047619049</v>
      </c>
      <c r="I15" s="274">
        <v>607</v>
      </c>
      <c r="J15" s="274">
        <f>146.58+7.5+30.89/2</f>
        <v>169.52500000000001</v>
      </c>
      <c r="K15" s="274">
        <v>2000</v>
      </c>
      <c r="L15" s="274">
        <f>J15*8000</f>
        <v>1356200</v>
      </c>
      <c r="M15" s="276">
        <f>H15-L15</f>
        <v>4548561.9047619049</v>
      </c>
      <c r="N15" s="278">
        <v>1.07</v>
      </c>
      <c r="O15" s="276">
        <f>M15*N15</f>
        <v>4866961.2380952388</v>
      </c>
      <c r="P15" s="274">
        <f>L32</f>
        <v>334.55</v>
      </c>
      <c r="Q15" s="269">
        <f>O15/P15</f>
        <v>14547.78430158493</v>
      </c>
    </row>
    <row r="16" spans="2:17" x14ac:dyDescent="0.25">
      <c r="C16" s="326" t="s">
        <v>276</v>
      </c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272">
        <f>AVERAGE(Q14:Q15)</f>
        <v>14239.889754147767</v>
      </c>
    </row>
    <row r="17" spans="3:17" x14ac:dyDescent="0.25">
      <c r="C17" s="328" t="s">
        <v>277</v>
      </c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268">
        <v>0.9</v>
      </c>
    </row>
    <row r="18" spans="3:17" ht="14.4" thickBot="1" x14ac:dyDescent="0.3">
      <c r="C18" s="329" t="s">
        <v>278</v>
      </c>
      <c r="D18" s="330"/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0"/>
      <c r="Q18" s="270">
        <f>Q17*Q16</f>
        <v>12815.90077873299</v>
      </c>
    </row>
    <row r="19" spans="3:17" ht="14.4" thickBot="1" x14ac:dyDescent="0.3">
      <c r="C19" s="331" t="s">
        <v>279</v>
      </c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271">
        <v>12800</v>
      </c>
    </row>
    <row r="20" spans="3:17" x14ac:dyDescent="0.25">
      <c r="C20" s="148"/>
      <c r="Q20" s="261"/>
    </row>
    <row r="21" spans="3:17" x14ac:dyDescent="0.25">
      <c r="C21" s="148"/>
      <c r="Q21" s="261"/>
    </row>
    <row r="22" spans="3:17" x14ac:dyDescent="0.25">
      <c r="C22" s="148"/>
      <c r="Q22" s="261"/>
    </row>
    <row r="23" spans="3:17" x14ac:dyDescent="0.25">
      <c r="C23" s="17"/>
    </row>
    <row r="24" spans="3:17" x14ac:dyDescent="0.25">
      <c r="C24" s="325" t="s">
        <v>269</v>
      </c>
      <c r="D24" s="325"/>
      <c r="E24" s="325"/>
      <c r="F24" s="325"/>
      <c r="G24" s="229" t="s">
        <v>263</v>
      </c>
      <c r="I24" s="325" t="s">
        <v>269</v>
      </c>
      <c r="J24" s="325"/>
      <c r="K24" s="325"/>
      <c r="L24" s="325"/>
      <c r="M24" s="229" t="s">
        <v>263</v>
      </c>
    </row>
    <row r="25" spans="3:17" x14ac:dyDescent="0.25">
      <c r="C25" s="259" t="s">
        <v>270</v>
      </c>
      <c r="D25" s="260" t="s">
        <v>271</v>
      </c>
      <c r="E25" s="260" t="s">
        <v>21</v>
      </c>
      <c r="F25" s="260" t="s">
        <v>8</v>
      </c>
      <c r="G25" s="229">
        <f>I14</f>
        <v>604</v>
      </c>
      <c r="I25" s="259" t="s">
        <v>270</v>
      </c>
      <c r="J25" s="260" t="s">
        <v>271</v>
      </c>
      <c r="K25" s="260" t="s">
        <v>21</v>
      </c>
      <c r="L25" s="260" t="s">
        <v>8</v>
      </c>
      <c r="M25" s="229">
        <f>I15</f>
        <v>607</v>
      </c>
    </row>
    <row r="26" spans="3:17" x14ac:dyDescent="0.25">
      <c r="C26" s="259" t="s">
        <v>55</v>
      </c>
      <c r="D26" s="260">
        <f>200-D27</f>
        <v>188</v>
      </c>
      <c r="E26" s="260">
        <v>1</v>
      </c>
      <c r="F26" s="260">
        <f>E26*D26</f>
        <v>188</v>
      </c>
      <c r="I26" s="259" t="s">
        <v>55</v>
      </c>
      <c r="J26" s="260">
        <f>200-J27</f>
        <v>188</v>
      </c>
      <c r="K26" s="260">
        <v>1</v>
      </c>
      <c r="L26" s="260">
        <f>K26*J26</f>
        <v>188</v>
      </c>
    </row>
    <row r="27" spans="3:17" x14ac:dyDescent="0.25">
      <c r="C27" s="259" t="s">
        <v>68</v>
      </c>
      <c r="D27" s="260">
        <v>12</v>
      </c>
      <c r="E27" s="260">
        <v>0.9</v>
      </c>
      <c r="F27" s="260">
        <f t="shared" ref="F27:F31" si="0">E27*D27</f>
        <v>10.8</v>
      </c>
      <c r="I27" s="259" t="s">
        <v>68</v>
      </c>
      <c r="J27" s="260">
        <v>12</v>
      </c>
      <c r="K27" s="260">
        <v>0.9</v>
      </c>
      <c r="L27" s="260">
        <f t="shared" ref="L27:L31" si="1">K27*J27</f>
        <v>10.8</v>
      </c>
    </row>
    <row r="28" spans="3:17" x14ac:dyDescent="0.25">
      <c r="C28" s="259" t="s">
        <v>272</v>
      </c>
      <c r="D28" s="260">
        <v>30</v>
      </c>
      <c r="E28" s="260">
        <v>0.35</v>
      </c>
      <c r="F28" s="260">
        <f t="shared" si="0"/>
        <v>10.5</v>
      </c>
      <c r="I28" s="259" t="s">
        <v>272</v>
      </c>
      <c r="J28" s="260">
        <v>30</v>
      </c>
      <c r="K28" s="260">
        <v>0.35</v>
      </c>
      <c r="L28" s="260">
        <f t="shared" si="1"/>
        <v>10.5</v>
      </c>
    </row>
    <row r="29" spans="3:17" x14ac:dyDescent="0.25">
      <c r="C29" s="259" t="s">
        <v>273</v>
      </c>
      <c r="D29" s="260">
        <v>40</v>
      </c>
      <c r="E29" s="260">
        <v>0.4</v>
      </c>
      <c r="F29" s="260">
        <f t="shared" si="0"/>
        <v>16</v>
      </c>
      <c r="I29" s="259" t="s">
        <v>273</v>
      </c>
      <c r="J29" s="260">
        <v>40</v>
      </c>
      <c r="K29" s="260">
        <v>0.4</v>
      </c>
      <c r="L29" s="260">
        <f t="shared" si="1"/>
        <v>16</v>
      </c>
    </row>
    <row r="30" spans="3:17" x14ac:dyDescent="0.25">
      <c r="C30" s="259" t="s">
        <v>274</v>
      </c>
      <c r="D30" s="260">
        <f>200/2+D28+D29</f>
        <v>170</v>
      </c>
      <c r="E30" s="260"/>
      <c r="F30" s="260">
        <f t="shared" si="0"/>
        <v>0</v>
      </c>
      <c r="I30" s="259" t="s">
        <v>274</v>
      </c>
      <c r="J30" s="260">
        <f>200/2+J28+J29</f>
        <v>170</v>
      </c>
      <c r="K30" s="260"/>
      <c r="L30" s="260">
        <f t="shared" si="1"/>
        <v>0</v>
      </c>
    </row>
    <row r="31" spans="3:17" x14ac:dyDescent="0.25">
      <c r="C31" s="259" t="s">
        <v>53</v>
      </c>
      <c r="D31" s="260">
        <f>G25-D30</f>
        <v>434</v>
      </c>
      <c r="E31" s="260">
        <v>0.25</v>
      </c>
      <c r="F31" s="260">
        <f t="shared" si="0"/>
        <v>108.5</v>
      </c>
      <c r="I31" s="259" t="s">
        <v>53</v>
      </c>
      <c r="J31" s="260">
        <f>M25-J30</f>
        <v>437</v>
      </c>
      <c r="K31" s="260">
        <v>0.25</v>
      </c>
      <c r="L31" s="260">
        <f t="shared" si="1"/>
        <v>109.25</v>
      </c>
    </row>
    <row r="32" spans="3:17" x14ac:dyDescent="0.25">
      <c r="C32" s="325" t="s">
        <v>275</v>
      </c>
      <c r="D32" s="325"/>
      <c r="E32" s="325"/>
      <c r="F32" s="260">
        <f>SUM(F26:F31)</f>
        <v>333.8</v>
      </c>
      <c r="I32" s="325" t="s">
        <v>275</v>
      </c>
      <c r="J32" s="325"/>
      <c r="K32" s="325"/>
      <c r="L32" s="260">
        <f>SUM(L26:L31)</f>
        <v>334.55</v>
      </c>
    </row>
  </sheetData>
  <mergeCells count="8">
    <mergeCell ref="C24:F24"/>
    <mergeCell ref="C32:E32"/>
    <mergeCell ref="I24:L24"/>
    <mergeCell ref="I32:K32"/>
    <mergeCell ref="C16:P16"/>
    <mergeCell ref="C17:P17"/>
    <mergeCell ref="C18:P18"/>
    <mergeCell ref="C19:P1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E12" sqref="E12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19" t="s">
        <v>35</v>
      </c>
      <c r="B2" s="191" t="s">
        <v>163</v>
      </c>
      <c r="C2" s="119" t="s">
        <v>164</v>
      </c>
      <c r="D2" s="256" t="s">
        <v>254</v>
      </c>
      <c r="E2" s="96" t="s">
        <v>249</v>
      </c>
      <c r="F2" s="96" t="s">
        <v>250</v>
      </c>
      <c r="G2" s="257" t="s">
        <v>251</v>
      </c>
      <c r="H2" s="258" t="s">
        <v>253</v>
      </c>
      <c r="I2" s="47" t="s">
        <v>255</v>
      </c>
      <c r="J2" s="116" t="s">
        <v>256</v>
      </c>
      <c r="K2" s="116"/>
      <c r="L2" s="116"/>
      <c r="M2" s="116"/>
      <c r="N2" s="47"/>
      <c r="O2" s="47"/>
      <c r="P2" s="47"/>
      <c r="Q2" s="116"/>
      <c r="R2" s="116"/>
      <c r="S2" s="117"/>
    </row>
    <row r="3" spans="1:19" x14ac:dyDescent="0.25">
      <c r="A3" s="120" t="s">
        <v>151</v>
      </c>
      <c r="B3" s="192"/>
      <c r="C3" s="120"/>
      <c r="D3" s="92">
        <f>142+73</f>
        <v>215</v>
      </c>
      <c r="E3" s="143">
        <v>14</v>
      </c>
      <c r="F3" s="92">
        <v>8</v>
      </c>
      <c r="G3" s="64">
        <f>39+31</f>
        <v>70</v>
      </c>
      <c r="H3" s="64">
        <v>55</v>
      </c>
      <c r="I3" s="64">
        <v>13</v>
      </c>
      <c r="J3" s="49">
        <v>167</v>
      </c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0" t="s">
        <v>94</v>
      </c>
      <c r="B4" s="192"/>
      <c r="C4" s="120"/>
      <c r="D4" s="92">
        <v>73</v>
      </c>
      <c r="E4" s="143"/>
      <c r="F4" s="92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0" t="s">
        <v>76</v>
      </c>
      <c r="B5" s="192"/>
      <c r="C5" s="120"/>
      <c r="D5" s="92">
        <f>D3-D4</f>
        <v>142</v>
      </c>
      <c r="E5" s="143"/>
      <c r="F5" s="92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0" t="s">
        <v>148</v>
      </c>
      <c r="B6" s="192"/>
      <c r="C6" s="120"/>
      <c r="D6" s="92"/>
      <c r="E6" s="143"/>
      <c r="F6" s="92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0" t="s">
        <v>149</v>
      </c>
      <c r="B7" s="192"/>
      <c r="C7" s="120"/>
      <c r="D7" s="92">
        <v>13</v>
      </c>
      <c r="E7" s="64"/>
      <c r="F7" s="92"/>
      <c r="G7" s="64"/>
      <c r="H7" s="64"/>
      <c r="I7" s="64"/>
      <c r="J7" s="49">
        <v>32</v>
      </c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0" t="s">
        <v>150</v>
      </c>
      <c r="B8" s="192"/>
      <c r="C8" s="120"/>
      <c r="D8" s="93">
        <f>41-E3</f>
        <v>27</v>
      </c>
      <c r="E8" s="54"/>
      <c r="F8" s="93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0" t="s">
        <v>252</v>
      </c>
      <c r="B9" s="193"/>
      <c r="C9" s="208"/>
      <c r="D9" s="94">
        <v>4</v>
      </c>
      <c r="E9" s="56"/>
      <c r="F9" s="93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1" t="s">
        <v>50</v>
      </c>
      <c r="B10" s="194"/>
      <c r="C10" s="122"/>
      <c r="D10" s="94"/>
      <c r="E10" s="56"/>
      <c r="F10" s="93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2" t="s">
        <v>91</v>
      </c>
      <c r="B11" s="194"/>
      <c r="C11" s="122"/>
      <c r="D11" s="94"/>
      <c r="E11" s="56"/>
      <c r="F11" s="94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3" t="s">
        <v>87</v>
      </c>
      <c r="B12" s="195"/>
      <c r="C12" s="123"/>
      <c r="D12" s="95"/>
      <c r="E12" s="90"/>
      <c r="F12" s="95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199" t="s">
        <v>36</v>
      </c>
      <c r="B13" s="210"/>
      <c r="C13" s="209"/>
      <c r="D13" s="206">
        <f>SUM(D4:D12)</f>
        <v>259</v>
      </c>
      <c r="E13" s="200">
        <f>SUM(E4:E12)</f>
        <v>0</v>
      </c>
      <c r="F13" s="200">
        <f>SUM(F3:F12)</f>
        <v>8</v>
      </c>
      <c r="G13" s="200">
        <f>SUM(G3:G12)</f>
        <v>70</v>
      </c>
      <c r="H13" s="200">
        <f>SUM(H3:H12)</f>
        <v>55</v>
      </c>
      <c r="I13" s="201">
        <f t="shared" ref="I13:S13" si="0">SUM(I3:I12)</f>
        <v>13</v>
      </c>
      <c r="J13" s="201">
        <f t="shared" si="0"/>
        <v>199</v>
      </c>
      <c r="K13" s="201">
        <f t="shared" si="0"/>
        <v>0</v>
      </c>
      <c r="L13" s="201">
        <f t="shared" si="0"/>
        <v>0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2" thickBot="1" x14ac:dyDescent="0.3">
      <c r="A14" s="125" t="s">
        <v>37</v>
      </c>
      <c r="B14" s="191" t="s">
        <v>163</v>
      </c>
      <c r="C14" s="119" t="s">
        <v>164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25">
      <c r="A15" s="121" t="s">
        <v>208</v>
      </c>
      <c r="B15" s="196"/>
      <c r="C15" s="121"/>
      <c r="D15" s="52"/>
      <c r="E15" s="144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1" t="s">
        <v>205</v>
      </c>
      <c r="B16" s="196"/>
      <c r="C16" s="121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1" t="s">
        <v>204</v>
      </c>
      <c r="B17" s="196"/>
      <c r="C17" s="121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1" t="s">
        <v>207</v>
      </c>
      <c r="B18" s="196"/>
      <c r="C18" s="121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1" t="s">
        <v>207</v>
      </c>
      <c r="B19" s="196"/>
      <c r="C19" s="121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1" t="s">
        <v>206</v>
      </c>
      <c r="B20" s="196"/>
      <c r="C20" s="121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1"/>
      <c r="B21" s="196"/>
      <c r="C21" s="121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1"/>
      <c r="B22" s="196"/>
      <c r="C22" s="121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3"/>
      <c r="B23" s="195"/>
      <c r="C23" s="123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6" t="s">
        <v>90</v>
      </c>
      <c r="B24" s="197"/>
      <c r="C24" s="126"/>
      <c r="D24" s="207">
        <f>SUM(D17:D23)</f>
        <v>0</v>
      </c>
      <c r="E24" s="118">
        <f>SUM(E17:E23)</f>
        <v>0</v>
      </c>
      <c r="F24" s="118">
        <f t="shared" ref="F24:S24" si="1">SUM(F15:F23)</f>
        <v>0</v>
      </c>
      <c r="G24" s="118">
        <f t="shared" si="1"/>
        <v>0</v>
      </c>
      <c r="H24" s="118">
        <f t="shared" si="1"/>
        <v>0</v>
      </c>
      <c r="I24" s="118">
        <f t="shared" si="1"/>
        <v>0</v>
      </c>
      <c r="J24" s="118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0">
        <f t="shared" si="1"/>
        <v>0</v>
      </c>
      <c r="R24" s="140">
        <f t="shared" si="1"/>
        <v>0</v>
      </c>
      <c r="S24" s="138">
        <f t="shared" si="1"/>
        <v>0</v>
      </c>
    </row>
    <row r="25" spans="1:19" ht="14.4" thickBot="1" x14ac:dyDescent="0.3">
      <c r="A25" s="124" t="s">
        <v>38</v>
      </c>
      <c r="B25" s="198"/>
      <c r="C25" s="124"/>
      <c r="D25" s="141">
        <f t="shared" ref="D25:S25" si="2">D13-D24</f>
        <v>259</v>
      </c>
      <c r="E25" s="137">
        <f t="shared" si="2"/>
        <v>0</v>
      </c>
      <c r="F25" s="137">
        <f t="shared" si="2"/>
        <v>8</v>
      </c>
      <c r="G25" s="137">
        <f t="shared" si="2"/>
        <v>70</v>
      </c>
      <c r="H25" s="137">
        <f t="shared" si="2"/>
        <v>55</v>
      </c>
      <c r="I25" s="137">
        <f t="shared" si="2"/>
        <v>13</v>
      </c>
      <c r="J25" s="137">
        <f t="shared" si="2"/>
        <v>199</v>
      </c>
      <c r="K25" s="137">
        <f t="shared" si="2"/>
        <v>0</v>
      </c>
      <c r="L25" s="137">
        <f t="shared" si="2"/>
        <v>0</v>
      </c>
      <c r="M25" s="137">
        <f t="shared" si="2"/>
        <v>0</v>
      </c>
      <c r="N25" s="137">
        <f t="shared" si="2"/>
        <v>0</v>
      </c>
      <c r="O25" s="137">
        <f t="shared" si="2"/>
        <v>0</v>
      </c>
      <c r="P25" s="137">
        <f t="shared" si="2"/>
        <v>0</v>
      </c>
      <c r="Q25" s="142">
        <f t="shared" si="2"/>
        <v>0</v>
      </c>
      <c r="R25" s="141">
        <f t="shared" si="2"/>
        <v>0</v>
      </c>
      <c r="S25" s="145">
        <f t="shared" si="2"/>
        <v>0</v>
      </c>
    </row>
    <row r="26" spans="1:19" x14ac:dyDescent="0.25">
      <c r="D26" s="134"/>
      <c r="E26" s="73"/>
      <c r="F26" s="147"/>
      <c r="H26" s="73"/>
      <c r="I26" s="73"/>
      <c r="J26" s="73"/>
      <c r="K26" s="97"/>
      <c r="L26" s="147"/>
      <c r="M26" s="73"/>
    </row>
    <row r="27" spans="1:19" x14ac:dyDescent="0.25">
      <c r="A27" t="s">
        <v>88</v>
      </c>
      <c r="D27" s="135">
        <f>D8+D7</f>
        <v>40</v>
      </c>
      <c r="F27" s="73"/>
    </row>
    <row r="28" spans="1:19" x14ac:dyDescent="0.25">
      <c r="E28" s="91">
        <f>E3*9300*5%*7</f>
        <v>45570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-259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-259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116</v>
      </c>
    </row>
    <row r="38" spans="1:10" x14ac:dyDescent="0.25">
      <c r="A38" t="s">
        <v>42</v>
      </c>
      <c r="E38" s="17">
        <f>-E24-F24-I24</f>
        <v>0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116</v>
      </c>
    </row>
    <row r="43" spans="1:10" x14ac:dyDescent="0.25">
      <c r="A43" s="129" t="s">
        <v>77</v>
      </c>
      <c r="B43" s="129"/>
      <c r="C43" s="129"/>
    </row>
    <row r="44" spans="1:10" ht="15.6" x14ac:dyDescent="0.4">
      <c r="A44" s="39" t="s">
        <v>78</v>
      </c>
      <c r="B44" s="39"/>
      <c r="C44" s="39"/>
      <c r="D44" s="39" t="s">
        <v>80</v>
      </c>
      <c r="E44" s="130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7" t="s">
        <v>82</v>
      </c>
      <c r="B47" s="107"/>
      <c r="C47" s="107"/>
      <c r="D47" s="107">
        <f>SUM(D45:D46)</f>
        <v>0</v>
      </c>
      <c r="E47" s="70">
        <f>SUM(E45:E46)</f>
        <v>0</v>
      </c>
      <c r="F47" s="131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0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7" t="s">
        <v>82</v>
      </c>
      <c r="B52" s="107"/>
      <c r="C52" s="107"/>
      <c r="D52" s="107">
        <f>SUM(D50:D51)</f>
        <v>0</v>
      </c>
      <c r="E52" s="70">
        <f>SUM(E50:E51)</f>
        <v>0</v>
      </c>
      <c r="F52" s="131">
        <f>E52-D52</f>
        <v>0</v>
      </c>
      <c r="J52" s="146"/>
    </row>
    <row r="54" spans="1:10" x14ac:dyDescent="0.25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3">
        <f>F52+F47</f>
        <v>0</v>
      </c>
    </row>
    <row r="58" spans="1:10" x14ac:dyDescent="0.25">
      <c r="G58" s="39"/>
      <c r="J58" s="17"/>
    </row>
    <row r="60" spans="1:10" x14ac:dyDescent="0.25">
      <c r="J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D10" sqref="D10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167</v>
      </c>
      <c r="B2" s="39" t="s">
        <v>168</v>
      </c>
      <c r="C2" s="39" t="s">
        <v>136</v>
      </c>
      <c r="D2" s="39" t="s">
        <v>169</v>
      </c>
    </row>
    <row r="3" spans="1:6" x14ac:dyDescent="0.25">
      <c r="A3" t="s">
        <v>170</v>
      </c>
      <c r="B3" t="s">
        <v>171</v>
      </c>
      <c r="C3" s="187">
        <v>45344</v>
      </c>
      <c r="D3">
        <v>500</v>
      </c>
      <c r="E3" t="s">
        <v>172</v>
      </c>
    </row>
    <row r="4" spans="1:6" x14ac:dyDescent="0.25">
      <c r="A4" t="s">
        <v>173</v>
      </c>
      <c r="B4" t="s">
        <v>174</v>
      </c>
      <c r="C4" s="187">
        <v>44271</v>
      </c>
      <c r="D4">
        <v>3.5</v>
      </c>
      <c r="E4" t="s">
        <v>175</v>
      </c>
      <c r="F4" t="s">
        <v>176</v>
      </c>
    </row>
    <row r="5" spans="1:6" x14ac:dyDescent="0.25">
      <c r="A5" t="s">
        <v>173</v>
      </c>
      <c r="B5" t="s">
        <v>177</v>
      </c>
      <c r="C5" s="187">
        <v>40000</v>
      </c>
      <c r="D5">
        <v>2.5</v>
      </c>
      <c r="E5" t="s">
        <v>175</v>
      </c>
    </row>
    <row r="6" spans="1:6" x14ac:dyDescent="0.25">
      <c r="A6" t="s">
        <v>173</v>
      </c>
      <c r="B6" t="s">
        <v>178</v>
      </c>
      <c r="C6" s="187">
        <v>33248</v>
      </c>
      <c r="D6" s="211">
        <v>2</v>
      </c>
      <c r="E6" t="s">
        <v>175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33" t="s">
        <v>120</v>
      </c>
      <c r="C2" s="334"/>
      <c r="D2" s="334"/>
      <c r="E2" s="334"/>
      <c r="F2" s="335"/>
    </row>
    <row r="3" spans="2:10" ht="14.4" thickBot="1" x14ac:dyDescent="0.3">
      <c r="B3" s="151" t="s">
        <v>49</v>
      </c>
      <c r="C3" s="336" t="s">
        <v>44</v>
      </c>
      <c r="D3" s="337"/>
      <c r="E3" s="336" t="s">
        <v>102</v>
      </c>
      <c r="F3" s="338"/>
    </row>
    <row r="4" spans="2:10" x14ac:dyDescent="0.25">
      <c r="B4" s="166" t="s">
        <v>103</v>
      </c>
      <c r="C4" s="350">
        <v>0</v>
      </c>
      <c r="D4" s="351"/>
      <c r="E4" s="350">
        <v>0</v>
      </c>
      <c r="F4" s="352"/>
    </row>
    <row r="5" spans="2:10" x14ac:dyDescent="0.25">
      <c r="B5" s="171" t="s">
        <v>104</v>
      </c>
      <c r="C5" s="350">
        <v>140000</v>
      </c>
      <c r="D5" s="351"/>
      <c r="E5" s="350">
        <f>6000*2</f>
        <v>12000</v>
      </c>
      <c r="F5" s="352"/>
    </row>
    <row r="6" spans="2:10" ht="27.6" x14ac:dyDescent="0.25">
      <c r="B6" s="171" t="s">
        <v>116</v>
      </c>
      <c r="C6" s="350">
        <f>46500*7</f>
        <v>325500</v>
      </c>
      <c r="D6" s="351"/>
      <c r="E6" s="350">
        <v>0</v>
      </c>
      <c r="F6" s="352"/>
    </row>
    <row r="7" spans="2:10" x14ac:dyDescent="0.25">
      <c r="B7" s="171" t="s">
        <v>105</v>
      </c>
      <c r="C7" s="350">
        <f>13000*7</f>
        <v>91000</v>
      </c>
      <c r="D7" s="351"/>
      <c r="E7" s="350">
        <f>4000*7</f>
        <v>28000</v>
      </c>
      <c r="F7" s="352"/>
    </row>
    <row r="8" spans="2:10" ht="14.4" thickBot="1" x14ac:dyDescent="0.3">
      <c r="B8" s="157" t="s">
        <v>106</v>
      </c>
      <c r="C8" s="350">
        <f>65000*7</f>
        <v>455000</v>
      </c>
      <c r="D8" s="351"/>
      <c r="E8" s="350">
        <v>50000</v>
      </c>
      <c r="F8" s="352"/>
      <c r="J8" t="s">
        <v>165</v>
      </c>
    </row>
    <row r="9" spans="2:10" ht="14.4" thickBot="1" x14ac:dyDescent="0.3">
      <c r="B9" s="333" t="s">
        <v>119</v>
      </c>
      <c r="C9" s="334"/>
      <c r="D9" s="334"/>
      <c r="E9" s="334"/>
      <c r="F9" s="335"/>
      <c r="J9" t="s">
        <v>166</v>
      </c>
    </row>
    <row r="10" spans="2:10" ht="16.2" thickBot="1" x14ac:dyDescent="0.3">
      <c r="B10" s="152" t="s">
        <v>114</v>
      </c>
      <c r="C10" s="153" t="s">
        <v>112</v>
      </c>
      <c r="D10" s="154" t="s">
        <v>109</v>
      </c>
      <c r="E10" s="155" t="s">
        <v>110</v>
      </c>
      <c r="F10" s="156" t="s">
        <v>111</v>
      </c>
    </row>
    <row r="11" spans="2:10" x14ac:dyDescent="0.25">
      <c r="B11" s="166" t="s">
        <v>103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25">
      <c r="B12" s="171" t="s">
        <v>104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25">
      <c r="B13" s="180" t="s">
        <v>107</v>
      </c>
      <c r="C13" s="342" t="s">
        <v>113</v>
      </c>
      <c r="D13" s="342"/>
      <c r="E13" s="342"/>
      <c r="F13" s="343"/>
    </row>
    <row r="14" spans="2:10" x14ac:dyDescent="0.25">
      <c r="B14" s="181" t="s">
        <v>105</v>
      </c>
      <c r="C14" s="342" t="s">
        <v>115</v>
      </c>
      <c r="D14" s="342"/>
      <c r="E14" s="342"/>
      <c r="F14" s="343"/>
    </row>
    <row r="15" spans="2:10" ht="14.4" thickBot="1" x14ac:dyDescent="0.3">
      <c r="B15" s="157" t="s">
        <v>106</v>
      </c>
      <c r="C15" s="344" t="s">
        <v>117</v>
      </c>
      <c r="D15" s="345"/>
      <c r="E15" s="345"/>
      <c r="F15" s="346"/>
    </row>
    <row r="16" spans="2:10" ht="14.4" thickBot="1" x14ac:dyDescent="0.3"/>
    <row r="17" spans="2:6" ht="14.4" thickBot="1" x14ac:dyDescent="0.3">
      <c r="B17" s="333" t="s">
        <v>101</v>
      </c>
      <c r="C17" s="334"/>
      <c r="D17" s="334"/>
      <c r="E17" s="334"/>
      <c r="F17" s="335"/>
    </row>
    <row r="18" spans="2:6" ht="14.4" thickBot="1" x14ac:dyDescent="0.3">
      <c r="B18" s="151" t="s">
        <v>108</v>
      </c>
      <c r="C18" s="336" t="s">
        <v>44</v>
      </c>
      <c r="D18" s="337"/>
      <c r="E18" s="336" t="s">
        <v>102</v>
      </c>
      <c r="F18" s="338"/>
    </row>
    <row r="19" spans="2:6" x14ac:dyDescent="0.25">
      <c r="B19" s="166" t="s">
        <v>103</v>
      </c>
      <c r="C19" s="347">
        <v>0</v>
      </c>
      <c r="D19" s="348"/>
      <c r="E19" s="347">
        <v>0</v>
      </c>
      <c r="F19" s="349"/>
    </row>
    <row r="20" spans="2:6" x14ac:dyDescent="0.25">
      <c r="B20" s="171" t="s">
        <v>104</v>
      </c>
      <c r="C20" s="364">
        <v>70000</v>
      </c>
      <c r="D20" s="365"/>
      <c r="E20" s="366">
        <f>6000*7</f>
        <v>42000</v>
      </c>
      <c r="F20" s="367"/>
    </row>
    <row r="21" spans="2:6" x14ac:dyDescent="0.25">
      <c r="B21" s="175" t="s">
        <v>107</v>
      </c>
      <c r="C21" s="364">
        <f>46500*7</f>
        <v>325500</v>
      </c>
      <c r="D21" s="365"/>
      <c r="E21" s="364">
        <v>0</v>
      </c>
      <c r="F21" s="368"/>
    </row>
    <row r="22" spans="2:6" x14ac:dyDescent="0.25">
      <c r="B22" s="171" t="s">
        <v>105</v>
      </c>
      <c r="C22" s="364">
        <f>13000*7</f>
        <v>91000</v>
      </c>
      <c r="D22" s="365"/>
      <c r="E22" s="364">
        <f>4000*7</f>
        <v>28000</v>
      </c>
      <c r="F22" s="368"/>
    </row>
    <row r="23" spans="2:6" ht="14.4" thickBot="1" x14ac:dyDescent="0.3">
      <c r="B23" s="157" t="s">
        <v>106</v>
      </c>
      <c r="C23" s="339">
        <f>65000*7</f>
        <v>455000</v>
      </c>
      <c r="D23" s="340"/>
      <c r="E23" s="339">
        <f>7000*7</f>
        <v>49000</v>
      </c>
      <c r="F23" s="341"/>
    </row>
    <row r="24" spans="2:6" ht="14.4" thickBot="1" x14ac:dyDescent="0.3">
      <c r="B24" s="162"/>
      <c r="C24" s="163"/>
      <c r="D24" s="164"/>
      <c r="E24" s="164"/>
      <c r="F24" s="165"/>
    </row>
    <row r="25" spans="2:6" ht="16.2" thickBot="1" x14ac:dyDescent="0.3">
      <c r="B25" s="152" t="s">
        <v>114</v>
      </c>
      <c r="C25" s="153" t="s">
        <v>112</v>
      </c>
      <c r="D25" s="154" t="s">
        <v>109</v>
      </c>
      <c r="E25" s="155" t="s">
        <v>110</v>
      </c>
      <c r="F25" s="156" t="s">
        <v>111</v>
      </c>
    </row>
    <row r="26" spans="2:6" x14ac:dyDescent="0.25">
      <c r="B26" s="166" t="s">
        <v>103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25">
      <c r="B27" s="171" t="s">
        <v>104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25">
      <c r="B28" s="175" t="s">
        <v>107</v>
      </c>
      <c r="C28" s="362" t="s">
        <v>113</v>
      </c>
      <c r="D28" s="362"/>
      <c r="E28" s="362"/>
      <c r="F28" s="363"/>
    </row>
    <row r="29" spans="2:6" x14ac:dyDescent="0.25">
      <c r="B29" s="171" t="s">
        <v>105</v>
      </c>
      <c r="C29" s="172">
        <v>0</v>
      </c>
      <c r="D29" s="173">
        <v>0</v>
      </c>
      <c r="E29" s="172">
        <v>0</v>
      </c>
      <c r="F29" s="174">
        <v>0</v>
      </c>
    </row>
    <row r="30" spans="2:6" ht="14.4" thickBot="1" x14ac:dyDescent="0.3">
      <c r="B30" s="157" t="s">
        <v>106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4" thickBot="1" x14ac:dyDescent="0.3"/>
    <row r="35" spans="2:6" ht="14.4" thickBot="1" x14ac:dyDescent="0.3">
      <c r="B35" s="333" t="s">
        <v>118</v>
      </c>
      <c r="C35" s="334"/>
      <c r="D35" s="334"/>
      <c r="E35" s="334"/>
      <c r="F35" s="335"/>
    </row>
    <row r="36" spans="2:6" ht="14.4" thickBot="1" x14ac:dyDescent="0.3">
      <c r="B36" s="151" t="s">
        <v>121</v>
      </c>
      <c r="C36" s="336" t="s">
        <v>44</v>
      </c>
      <c r="D36" s="337"/>
      <c r="E36" s="336" t="s">
        <v>102</v>
      </c>
      <c r="F36" s="338"/>
    </row>
    <row r="37" spans="2:6" x14ac:dyDescent="0.25">
      <c r="B37" s="166" t="s">
        <v>122</v>
      </c>
      <c r="C37" s="353" t="s">
        <v>125</v>
      </c>
      <c r="D37" s="354"/>
      <c r="E37" s="354"/>
      <c r="F37" s="355"/>
    </row>
    <row r="38" spans="2:6" x14ac:dyDescent="0.25">
      <c r="B38" s="171" t="s">
        <v>123</v>
      </c>
      <c r="C38" s="356" t="s">
        <v>124</v>
      </c>
      <c r="D38" s="357"/>
      <c r="E38" s="357"/>
      <c r="F38" s="358"/>
    </row>
    <row r="39" spans="2:6" x14ac:dyDescent="0.25">
      <c r="B39" s="171" t="s">
        <v>126</v>
      </c>
      <c r="C39" s="356" t="s">
        <v>127</v>
      </c>
      <c r="D39" s="357"/>
      <c r="E39" s="357"/>
      <c r="F39" s="358"/>
    </row>
    <row r="40" spans="2:6" ht="14.4" thickBot="1" x14ac:dyDescent="0.3">
      <c r="B40" s="157" t="s">
        <v>128</v>
      </c>
      <c r="C40" s="359" t="s">
        <v>129</v>
      </c>
      <c r="D40" s="360"/>
      <c r="E40" s="360"/>
      <c r="F40" s="361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179</v>
      </c>
      <c r="B2" t="s">
        <v>180</v>
      </c>
    </row>
    <row r="3" spans="1:14" x14ac:dyDescent="0.25">
      <c r="B3" t="s">
        <v>44</v>
      </c>
    </row>
    <row r="7" spans="1:14" x14ac:dyDescent="0.25">
      <c r="N7" t="s">
        <v>181</v>
      </c>
    </row>
    <row r="8" spans="1:14" x14ac:dyDescent="0.25">
      <c r="A8" t="s">
        <v>182</v>
      </c>
      <c r="N8" t="s">
        <v>183</v>
      </c>
    </row>
    <row r="9" spans="1:14" x14ac:dyDescent="0.25">
      <c r="A9" t="s">
        <v>184</v>
      </c>
      <c r="D9" s="212" t="s">
        <v>185</v>
      </c>
      <c r="E9" s="212"/>
      <c r="N9" t="s">
        <v>186</v>
      </c>
    </row>
    <row r="10" spans="1:14" x14ac:dyDescent="0.25">
      <c r="N10" t="s">
        <v>187</v>
      </c>
    </row>
    <row r="15" spans="1:14" x14ac:dyDescent="0.25">
      <c r="A15" t="s">
        <v>188</v>
      </c>
      <c r="B15" t="s">
        <v>189</v>
      </c>
    </row>
    <row r="19" spans="1:12" x14ac:dyDescent="0.25">
      <c r="A19" s="39" t="s">
        <v>190</v>
      </c>
      <c r="B19" s="39" t="s">
        <v>181</v>
      </c>
      <c r="C19" s="39" t="s">
        <v>80</v>
      </c>
      <c r="D19" s="39" t="s">
        <v>191</v>
      </c>
      <c r="E19" s="39" t="s">
        <v>192</v>
      </c>
      <c r="F19" s="39" t="s">
        <v>193</v>
      </c>
      <c r="G19" s="39" t="s">
        <v>21</v>
      </c>
      <c r="H19" s="39" t="s">
        <v>194</v>
      </c>
      <c r="I19" s="39" t="s">
        <v>195</v>
      </c>
      <c r="J19" s="39" t="s">
        <v>196</v>
      </c>
      <c r="K19" s="39" t="s">
        <v>197</v>
      </c>
      <c r="L19" s="39" t="s">
        <v>198</v>
      </c>
    </row>
    <row r="20" spans="1:12" x14ac:dyDescent="0.25">
      <c r="A20" t="s">
        <v>199</v>
      </c>
      <c r="H20" s="148">
        <f>'תחשיב לפי שווי שומה (2)'!B8</f>
        <v>12800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25">
      <c r="A21" t="s">
        <v>200</v>
      </c>
      <c r="H21" s="149">
        <f>H20</f>
        <v>12800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25">
      <c r="A22" t="s">
        <v>201</v>
      </c>
      <c r="H22" s="149">
        <f>H21</f>
        <v>12800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25">
      <c r="A23" t="s">
        <v>202</v>
      </c>
      <c r="H23" s="149">
        <f>H22</f>
        <v>12800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25">
      <c r="A24" t="s">
        <v>203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2026-02-19T08:46:27Z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