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ostil-my.sharepoint.com/personal/ofir_boost-k_com/Documents/BOOST ניהול פרוקטים/לקוחות פרטיים1/אבידוב איתן - ניר בנים/פרוייקט בדיקת התכנות/בדיקת התכנות/"/>
    </mc:Choice>
  </mc:AlternateContent>
  <xr:revisionPtr revIDLastSave="333" documentId="8_{E9A5D54E-385F-4F6C-AF2C-D62B03C85759}" xr6:coauthVersionLast="47" xr6:coauthVersionMax="47" xr10:uidLastSave="{B442A3AE-DF30-426D-973D-3D65F8E928C0}"/>
  <bookViews>
    <workbookView xWindow="-57720" yWindow="-120" windowWidth="29040" windowHeight="15720" activeTab="2" xr2:uid="{A05DD401-26F7-4249-BA87-8825FF0852EB}"/>
  </bookViews>
  <sheets>
    <sheet name="תחשיב לפי שווי שומה (2)" sheetId="6" r:id="rId1"/>
    <sheet name="סיכום עלויות פיצולים" sheetId="10" r:id="rId2"/>
    <sheet name="מ&quot;ר אקו' נחלה" sheetId="3" r:id="rId3"/>
    <sheet name="תחשיבי הסדרה" sheetId="11" r:id="rId4"/>
    <sheet name="ניתוח איזור לעסקאות דמה" sheetId="5" r:id="rId5"/>
    <sheet name="חישוב גדלי בתים" sheetId="4" r:id="rId6"/>
    <sheet name="תבעות" sheetId="8" r:id="rId7"/>
    <sheet name="גיליון1" sheetId="7" r:id="rId8"/>
    <sheet name="בקרה" sheetId="9" r:id="rId9"/>
  </sheets>
  <externalReferences>
    <externalReference r:id="rId10"/>
  </externalReferences>
  <definedNames>
    <definedName name="_xlnm._FilterDatabase" localSheetId="6" hidden="1">תבעות!$A$2:$F$6</definedName>
    <definedName name="_xlnm.Print_Area" localSheetId="0">'תחשיב לפי שווי שומה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5" i="3" l="1"/>
  <c r="D94" i="3"/>
  <c r="D92" i="3"/>
  <c r="D90" i="3"/>
  <c r="D93" i="3"/>
  <c r="D89" i="3"/>
  <c r="D87" i="3"/>
  <c r="D85" i="3"/>
  <c r="D84" i="3"/>
  <c r="D83" i="3"/>
  <c r="D82" i="3"/>
  <c r="D81" i="3"/>
  <c r="D80" i="3"/>
  <c r="B84" i="3"/>
  <c r="B83" i="3"/>
  <c r="B82" i="3"/>
  <c r="B80" i="3"/>
  <c r="J51" i="3"/>
  <c r="G49" i="3"/>
  <c r="D54" i="3"/>
  <c r="B54" i="3"/>
  <c r="B53" i="3"/>
  <c r="B52" i="3"/>
  <c r="D10" i="3"/>
  <c r="D7" i="3"/>
  <c r="D6" i="3"/>
  <c r="B6" i="3"/>
  <c r="D5" i="3"/>
  <c r="D4" i="3"/>
  <c r="C7" i="5"/>
  <c r="B8" i="6" s="1"/>
  <c r="H20" i="9" s="1"/>
  <c r="H21" i="9" s="1"/>
  <c r="F81" i="5"/>
  <c r="F82" i="5" s="1"/>
  <c r="F84" i="5" s="1"/>
  <c r="M40" i="5"/>
  <c r="G40" i="5"/>
  <c r="K39" i="5"/>
  <c r="M39" i="5" s="1"/>
  <c r="E39" i="5"/>
  <c r="G39" i="5" s="1"/>
  <c r="M38" i="5"/>
  <c r="G38" i="5"/>
  <c r="M37" i="5"/>
  <c r="G37" i="5"/>
  <c r="N36" i="5"/>
  <c r="H36" i="5"/>
  <c r="N17" i="5"/>
  <c r="G17" i="5"/>
  <c r="O17" i="5" s="1"/>
  <c r="M45" i="5" s="1"/>
  <c r="M16" i="5"/>
  <c r="N16" i="5" s="1"/>
  <c r="G16" i="5"/>
  <c r="O16" i="5" s="1"/>
  <c r="G45" i="5" s="1"/>
  <c r="K16" i="4"/>
  <c r="H13" i="4"/>
  <c r="I13" i="4"/>
  <c r="D6" i="4"/>
  <c r="I26" i="11"/>
  <c r="J26" i="11"/>
  <c r="H26" i="11"/>
  <c r="S56" i="3"/>
  <c r="W54" i="3"/>
  <c r="U54" i="3"/>
  <c r="Y54" i="3" s="1"/>
  <c r="U52" i="3"/>
  <c r="Y52" i="3" s="1"/>
  <c r="S51" i="3"/>
  <c r="S53" i="3" s="1"/>
  <c r="S55" i="3" s="1"/>
  <c r="S57" i="3" s="1"/>
  <c r="U50" i="3"/>
  <c r="S50" i="3"/>
  <c r="S49" i="3"/>
  <c r="U49" i="3" s="1"/>
  <c r="S48" i="3"/>
  <c r="U48" i="3" s="1"/>
  <c r="S47" i="3"/>
  <c r="W47" i="3" s="1"/>
  <c r="W58" i="3" s="1"/>
  <c r="N16" i="10"/>
  <c r="N20" i="10" s="1"/>
  <c r="J14" i="10"/>
  <c r="L12" i="10"/>
  <c r="J12" i="10"/>
  <c r="D36" i="3"/>
  <c r="L24" i="9"/>
  <c r="J24" i="9"/>
  <c r="L23" i="9"/>
  <c r="L22" i="9"/>
  <c r="L21" i="9"/>
  <c r="L20" i="9"/>
  <c r="C42" i="6"/>
  <c r="B8" i="3" l="1"/>
  <c r="K43" i="5"/>
  <c r="M43" i="5" s="1"/>
  <c r="K41" i="5"/>
  <c r="K42" i="5" s="1"/>
  <c r="M42" i="5" s="1"/>
  <c r="M44" i="5" s="1"/>
  <c r="M46" i="5" s="1"/>
  <c r="P17" i="5" s="1"/>
  <c r="E43" i="5"/>
  <c r="G43" i="5" s="1"/>
  <c r="E41" i="5"/>
  <c r="E42" i="5" s="1"/>
  <c r="G42" i="5" s="1"/>
  <c r="G44" i="5" s="1"/>
  <c r="G46" i="5" s="1"/>
  <c r="P16" i="5" s="1"/>
  <c r="P18" i="5" s="1"/>
  <c r="P19" i="5" s="1"/>
  <c r="P21" i="5" s="1"/>
  <c r="Y58" i="3"/>
  <c r="U47" i="3"/>
  <c r="U51" i="3" s="1"/>
  <c r="U58" i="3" s="1"/>
  <c r="J16" i="10"/>
  <c r="J20" i="10" s="1"/>
  <c r="L16" i="10"/>
  <c r="L20" i="10" s="1"/>
  <c r="D38" i="3"/>
  <c r="B5" i="6" s="1"/>
  <c r="J21" i="9"/>
  <c r="H22" i="9"/>
  <c r="J20" i="9"/>
  <c r="B32" i="6"/>
  <c r="D40" i="6"/>
  <c r="D39" i="6"/>
  <c r="D31" i="6"/>
  <c r="D32" i="6"/>
  <c r="C43" i="6"/>
  <c r="D43" i="6" s="1"/>
  <c r="C34" i="6"/>
  <c r="D34" i="6" s="1"/>
  <c r="D13" i="4"/>
  <c r="E13" i="4"/>
  <c r="G13" i="4"/>
  <c r="F13" i="4"/>
  <c r="D24" i="4"/>
  <c r="E24" i="4"/>
  <c r="F24" i="4"/>
  <c r="G24" i="4"/>
  <c r="H24" i="4"/>
  <c r="E28" i="4"/>
  <c r="C6" i="7"/>
  <c r="E5" i="7"/>
  <c r="E30" i="7"/>
  <c r="F30" i="7" s="1"/>
  <c r="E27" i="7"/>
  <c r="F27" i="7" s="1"/>
  <c r="D27" i="7"/>
  <c r="F26" i="7"/>
  <c r="C26" i="7"/>
  <c r="D26" i="7" s="1"/>
  <c r="E23" i="7"/>
  <c r="C23" i="7"/>
  <c r="E22" i="7"/>
  <c r="C22" i="7"/>
  <c r="C21" i="7"/>
  <c r="E20" i="7"/>
  <c r="E12" i="7"/>
  <c r="F12" i="7" s="1"/>
  <c r="F11" i="7"/>
  <c r="C11" i="7"/>
  <c r="D11" i="7" s="1"/>
  <c r="C8" i="7"/>
  <c r="E7" i="7"/>
  <c r="C7" i="7"/>
  <c r="B9" i="3" l="1"/>
  <c r="B11" i="3" s="1"/>
  <c r="D11" i="3" s="1"/>
  <c r="D13" i="3" s="1"/>
  <c r="D14" i="3" s="1"/>
  <c r="B13" i="3"/>
  <c r="H23" i="9"/>
  <c r="J23" i="9" s="1"/>
  <c r="J22" i="9"/>
  <c r="D42" i="6"/>
  <c r="C35" i="6"/>
  <c r="D35" i="6" s="1"/>
  <c r="G25" i="4"/>
  <c r="H25" i="4"/>
  <c r="D25" i="4"/>
  <c r="F25" i="4"/>
  <c r="E25" i="4"/>
  <c r="C15" i="6" l="1"/>
  <c r="D27" i="4"/>
  <c r="D9" i="6" l="1"/>
  <c r="R24" i="4" l="1"/>
  <c r="Q24" i="4"/>
  <c r="P24" i="4"/>
  <c r="O24" i="4"/>
  <c r="N24" i="4"/>
  <c r="M24" i="4"/>
  <c r="L24" i="4"/>
  <c r="K24" i="4"/>
  <c r="J24" i="4"/>
  <c r="I24" i="4"/>
  <c r="D22" i="3" l="1"/>
  <c r="R13" i="4" l="1"/>
  <c r="Q13" i="4"/>
  <c r="P13" i="4"/>
  <c r="N13" i="4"/>
  <c r="L13" i="4"/>
  <c r="K13" i="4"/>
  <c r="J13" i="4"/>
  <c r="O13" i="4"/>
  <c r="M13" i="4"/>
  <c r="H24" i="3"/>
  <c r="H25" i="3" s="1"/>
  <c r="R25" i="4" l="1"/>
  <c r="Q25" i="4"/>
  <c r="N25" i="4"/>
  <c r="O25" i="4"/>
  <c r="M25" i="4"/>
  <c r="P25" i="4"/>
  <c r="L25" i="4"/>
  <c r="K25" i="4"/>
  <c r="J25" i="4"/>
  <c r="I25" i="4"/>
  <c r="E52" i="4"/>
  <c r="F51" i="4"/>
  <c r="F50" i="4"/>
  <c r="F46" i="4"/>
  <c r="E47" i="4"/>
  <c r="D47" i="4"/>
  <c r="F47" i="4" l="1"/>
  <c r="E54" i="4"/>
  <c r="F45" i="4"/>
  <c r="D52" i="4"/>
  <c r="F52" i="4" s="1"/>
  <c r="G12" i="6"/>
  <c r="G13" i="6" s="1"/>
  <c r="F54" i="4" l="1"/>
  <c r="D54" i="4"/>
  <c r="G16" i="6"/>
  <c r="I68" i="3"/>
  <c r="F60" i="3"/>
  <c r="I66" i="3"/>
  <c r="G65" i="3"/>
  <c r="I67" i="3" s="1"/>
  <c r="I64" i="3"/>
  <c r="I63" i="3"/>
  <c r="I62" i="3"/>
  <c r="I12" i="3"/>
  <c r="G10" i="3"/>
  <c r="I10" i="3" s="1"/>
  <c r="H7" i="3"/>
  <c r="H6" i="3"/>
  <c r="H5" i="3"/>
  <c r="H4" i="3"/>
  <c r="G7" i="3"/>
  <c r="F7" i="3"/>
  <c r="G6" i="3"/>
  <c r="G5" i="3"/>
  <c r="F6" i="3"/>
  <c r="F5" i="3"/>
  <c r="F4" i="3"/>
  <c r="G4" i="3"/>
  <c r="D25" i="3"/>
  <c r="D21" i="3"/>
  <c r="D20" i="3"/>
  <c r="D19" i="3"/>
  <c r="G11" i="6"/>
  <c r="I48" i="3"/>
  <c r="I49" i="3"/>
  <c r="F48" i="3"/>
  <c r="D49" i="3"/>
  <c r="D52" i="3"/>
  <c r="D51" i="3"/>
  <c r="D50" i="3"/>
  <c r="F18" i="6"/>
  <c r="B4" i="6" l="1"/>
  <c r="I7" i="3"/>
  <c r="I4" i="3"/>
  <c r="G8" i="3"/>
  <c r="G9" i="3" s="1"/>
  <c r="I6" i="3"/>
  <c r="I69" i="3"/>
  <c r="I70" i="3" s="1"/>
  <c r="G69" i="3"/>
  <c r="I50" i="3"/>
  <c r="I5" i="3"/>
  <c r="D53" i="3"/>
  <c r="D48" i="3"/>
  <c r="D57" i="3" l="1"/>
  <c r="B39" i="6" s="1"/>
  <c r="B40" i="6" s="1"/>
  <c r="B42" i="6" s="1"/>
  <c r="B43" i="6" s="1"/>
  <c r="D7" i="6"/>
  <c r="B12" i="6" s="1"/>
  <c r="B15" i="6"/>
  <c r="D15" i="6" s="1"/>
  <c r="F15" i="6" s="1"/>
  <c r="K50" i="3"/>
  <c r="M50" i="3" s="1"/>
  <c r="D24" i="6"/>
  <c r="D23" i="6"/>
  <c r="F23" i="6" s="1"/>
  <c r="D22" i="6"/>
  <c r="D21" i="6"/>
  <c r="F21" i="6" s="1"/>
  <c r="D20" i="6"/>
  <c r="D19" i="6"/>
  <c r="D18" i="6"/>
  <c r="D17" i="6"/>
  <c r="B31" i="6" l="1"/>
  <c r="B34" i="6" s="1"/>
  <c r="B35" i="6" s="1"/>
  <c r="I51" i="3"/>
  <c r="K51" i="3" s="1"/>
  <c r="M51" i="3" s="1"/>
  <c r="M52" i="3" s="1"/>
  <c r="B7" i="6"/>
  <c r="B13" i="6" s="1"/>
  <c r="B14" i="6" s="1"/>
  <c r="D12" i="6"/>
  <c r="F12" i="6" s="1"/>
  <c r="H12" i="6" s="1"/>
  <c r="F20" i="6"/>
  <c r="F24" i="6"/>
  <c r="F19" i="6"/>
  <c r="F22" i="6"/>
  <c r="D13" i="6" l="1"/>
  <c r="F13" i="6" s="1"/>
  <c r="F14" i="6" l="1"/>
  <c r="H13" i="6"/>
  <c r="H14" i="6" s="1"/>
  <c r="E34" i="4" l="1"/>
  <c r="D66" i="3"/>
  <c r="B65" i="3"/>
  <c r="B67" i="3" s="1"/>
  <c r="D67" i="3" s="1"/>
  <c r="D64" i="3"/>
  <c r="D63" i="3"/>
  <c r="D62" i="3"/>
  <c r="E32" i="4" l="1"/>
  <c r="D69" i="3"/>
  <c r="D70" i="3" s="1"/>
  <c r="E29" i="4"/>
  <c r="B69" i="3"/>
  <c r="E38" i="4"/>
  <c r="G18" i="6" l="1"/>
  <c r="E33" i="4"/>
  <c r="E35" i="4" s="1"/>
  <c r="E37" i="4" s="1"/>
  <c r="E39" i="4" s="1"/>
  <c r="B6" i="6"/>
  <c r="B11" i="6" s="1"/>
  <c r="D11" i="6" l="1"/>
  <c r="F11" i="6" s="1"/>
  <c r="H11" i="6" s="1"/>
  <c r="G11" i="3" l="1"/>
  <c r="I11" i="3" l="1"/>
  <c r="G13" i="3"/>
  <c r="B3" i="6" l="1"/>
  <c r="D41" i="3"/>
  <c r="I13" i="3"/>
  <c r="I14" i="3" s="1"/>
  <c r="B2" i="6" s="1"/>
  <c r="B16" i="6" l="1"/>
  <c r="D16" i="6" s="1"/>
  <c r="F16" i="6" s="1"/>
  <c r="H16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offir</author>
  </authors>
  <commentList>
    <comment ref="C15" authorId="0" shapeId="0" xr:uid="{C508B217-21A2-42E2-9885-131987C9AA16}">
      <text>
        <r>
          <rPr>
            <b/>
            <sz val="9"/>
            <color indexed="81"/>
            <rFont val="Tahoma"/>
            <family val="2"/>
          </rPr>
          <t>30% -שווי פעולת פיצול
50% - היטל השבחה</t>
        </r>
      </text>
    </comment>
    <comment ref="G16" authorId="0" shapeId="0" xr:uid="{FB81CA30-4558-4A39-8C36-F9E8D28AA822}">
      <text>
        <r>
          <rPr>
            <b/>
            <sz val="9"/>
            <color indexed="81"/>
            <rFont val="Tahoma"/>
            <family val="2"/>
          </rPr>
          <t>offir:</t>
        </r>
        <r>
          <rPr>
            <sz val="9"/>
            <color indexed="81"/>
            <rFont val="Tahoma"/>
            <family val="2"/>
          </rPr>
          <t xml:space="preserve">
שומת ברנס עלויות פיתוח של היוון מלא 2.5 דונם כפול 33%</t>
        </r>
      </text>
    </comment>
  </commentList>
</comments>
</file>

<file path=xl/sharedStrings.xml><?xml version="1.0" encoding="utf-8"?>
<sst xmlns="http://schemas.openxmlformats.org/spreadsheetml/2006/main" count="461" uniqueCount="300">
  <si>
    <t>מ"ר אקו'</t>
  </si>
  <si>
    <t>עלות אקו'</t>
  </si>
  <si>
    <t>בש"ח</t>
  </si>
  <si>
    <t>מ"ר אקו' נחלה 3.75%</t>
  </si>
  <si>
    <t>דמי חכירה/ פיצול</t>
  </si>
  <si>
    <t>דמי רכישה</t>
  </si>
  <si>
    <t>מע"מ</t>
  </si>
  <si>
    <t>היטל השבחה על פיצול</t>
  </si>
  <si>
    <t>סה"כ</t>
  </si>
  <si>
    <t xml:space="preserve">דמי היתר 1 מ"ר מגורים </t>
  </si>
  <si>
    <t>דמי היתר 1 מ"ר שירות</t>
  </si>
  <si>
    <t>דמי היתר 1 מ"ר מרתף</t>
  </si>
  <si>
    <t>שווי מ"ר אקו' מגורים</t>
  </si>
  <si>
    <t>היוון 1 מ"ר חצר נוספים</t>
  </si>
  <si>
    <t>בית 1</t>
  </si>
  <si>
    <t>בית 2</t>
  </si>
  <si>
    <t>היוון 3.75%</t>
  </si>
  <si>
    <t>מ"ר אקו' נחלה היוון מלא 2.5 דונם</t>
  </si>
  <si>
    <t>מחסן</t>
  </si>
  <si>
    <t>גודל חלקת מגורים (להיוון)</t>
  </si>
  <si>
    <t>מ"ר</t>
  </si>
  <si>
    <t>מקדם</t>
  </si>
  <si>
    <t>אקו'</t>
  </si>
  <si>
    <t>מרחבים מוגנים</t>
  </si>
  <si>
    <t>סה"כ תכסית</t>
  </si>
  <si>
    <t>סה"כ חצר</t>
  </si>
  <si>
    <t>חצר אפקטיבית</t>
  </si>
  <si>
    <t>יתרת חצר</t>
  </si>
  <si>
    <t>סה"כ מ"ר אקו'</t>
  </si>
  <si>
    <t>סה"כ מ"ר אקו' מעוגל</t>
  </si>
  <si>
    <t>הורים</t>
  </si>
  <si>
    <t>חצר גרעינית</t>
  </si>
  <si>
    <t>קיים</t>
  </si>
  <si>
    <t>סה"כ מבנה</t>
  </si>
  <si>
    <t>בהיתר</t>
  </si>
  <si>
    <t>פערים</t>
  </si>
  <si>
    <t>דמי היתר ששולמו</t>
  </si>
  <si>
    <t>היוון 3.75</t>
  </si>
  <si>
    <t xml:space="preserve">סה"כ מטרים </t>
  </si>
  <si>
    <t xml:space="preserve">קיים </t>
  </si>
  <si>
    <t>נותרו לבניה</t>
  </si>
  <si>
    <t>מגורים</t>
  </si>
  <si>
    <t>מ"ר אקו' נחלה היוון מלא 3 דונם</t>
  </si>
  <si>
    <t>דמי היתר בריכה 1 מ"ר</t>
  </si>
  <si>
    <t>דמי שימוש 1 מ"ר למגורים</t>
  </si>
  <si>
    <t>מחשבון רמ"י</t>
  </si>
  <si>
    <t>דמי שימוש</t>
  </si>
  <si>
    <t>שרות (ממ"ד)</t>
  </si>
  <si>
    <t>גודל מגרש</t>
  </si>
  <si>
    <t>מגורים עיקרי בהרחבה</t>
  </si>
  <si>
    <t>חצר</t>
  </si>
  <si>
    <t>יתרת חצר עד 2500</t>
  </si>
  <si>
    <t>עיקרי</t>
  </si>
  <si>
    <t>מ"ר אקו' מגרש מפוצל</t>
  </si>
  <si>
    <t>מ"ר ל-29.75%</t>
  </si>
  <si>
    <t>חלק ה29.25%</t>
  </si>
  <si>
    <t>מ"ר אקו' שנכלל בהנחה</t>
  </si>
  <si>
    <t>מ"ר אקו' שלא נכלל בהנחה</t>
  </si>
  <si>
    <t>שויי מ"ר</t>
  </si>
  <si>
    <t>פיצול - חלק בהנחה</t>
  </si>
  <si>
    <t>פיצול חלק ללא הנחה</t>
  </si>
  <si>
    <t>סה"כ פיצול</t>
  </si>
  <si>
    <t>עלויות פיתוח</t>
  </si>
  <si>
    <t>בניכוי פיתוח</t>
  </si>
  <si>
    <t>ממ"ד</t>
  </si>
  <si>
    <t>פוטנציאל</t>
  </si>
  <si>
    <t>הפסד חצר שולית</t>
  </si>
  <si>
    <t>דמי שימוש משרדים 1 מ"ר לשנה</t>
  </si>
  <si>
    <t>חצר רחוקה מאוד</t>
  </si>
  <si>
    <t>שולית רחוקה מאוד</t>
  </si>
  <si>
    <t>לפי שומת זיו כהן בשפיר</t>
  </si>
  <si>
    <t>הוצאות פיתוח</t>
  </si>
  <si>
    <t>שטחי מגורים - קרקע</t>
  </si>
  <si>
    <t>פערים בית מגורים</t>
  </si>
  <si>
    <t>קומה תחתונה</t>
  </si>
  <si>
    <t>מקלט</t>
  </si>
  <si>
    <t>היתר</t>
  </si>
  <si>
    <t>בפועל</t>
  </si>
  <si>
    <t>סה"כ קומת קרקע</t>
  </si>
  <si>
    <t>קומה עליונה</t>
  </si>
  <si>
    <t>הפרש</t>
  </si>
  <si>
    <t>שווי מ"ר משרדים</t>
  </si>
  <si>
    <t>דמי היתר משרד פלח</t>
  </si>
  <si>
    <t>קומת עמודים ללא היתר</t>
  </si>
  <si>
    <t>פער מרפסות</t>
  </si>
  <si>
    <t>דחיה למימוש</t>
  </si>
  <si>
    <t>בהתר</t>
  </si>
  <si>
    <t>קומת עמודים בהיתר</t>
  </si>
  <si>
    <t>מ"ר אקו' פוטנציאל</t>
  </si>
  <si>
    <t>שווי מ"ר אחסנה</t>
  </si>
  <si>
    <t>קומת עמודים</t>
  </si>
  <si>
    <t>שווי מ"ר אקו'</t>
  </si>
  <si>
    <t>לפי שומת הררי 2021</t>
  </si>
  <si>
    <t>יתרת ש"ש</t>
  </si>
  <si>
    <t>לפי ברנס</t>
  </si>
  <si>
    <t>ש"ש עיליים</t>
  </si>
  <si>
    <t>ש"ש תת"ק</t>
  </si>
  <si>
    <t>טבלאת סיכום עלויות</t>
  </si>
  <si>
    <t>פרגולות</t>
  </si>
  <si>
    <t>בית ראשון - מבנה 1</t>
  </si>
  <si>
    <t>בית שני - מבנה 4</t>
  </si>
  <si>
    <t>בית רביעי - מבנה 2</t>
  </si>
  <si>
    <t>בית חמישי - מבנה 5</t>
  </si>
  <si>
    <t>בית שלישי - מבנה 1</t>
  </si>
  <si>
    <t>דמי שימוש - 7 שנים</t>
  </si>
  <si>
    <t>תשלום עיקרי</t>
  </si>
  <si>
    <t>מ"ר פרגולות</t>
  </si>
  <si>
    <t>תשלום פרגולות</t>
  </si>
  <si>
    <t>מ"ר לתש' עיקרי</t>
  </si>
  <si>
    <t>יוסדר כמבנה אחד עם הבית הראשון</t>
  </si>
  <si>
    <t>דמי היתר - להסדרה</t>
  </si>
  <si>
    <t>מומלץ לפינוי / הסרה</t>
  </si>
  <si>
    <t>בית שלישי - מבנה 1 עבור 100 מ"ר</t>
  </si>
  <si>
    <t>יוסדר כבית שלישי - יוצג מטה</t>
  </si>
  <si>
    <t>טבלאת סיכום עלויות בית שלישי</t>
  </si>
  <si>
    <t>טבלאת סיכום עלויות הסדרה</t>
  </si>
  <si>
    <t>טבלאת סיכום עלויות דמי שימוש</t>
  </si>
  <si>
    <t>הדרך אל הבית השלישי</t>
  </si>
  <si>
    <t>עלויות הסדרה</t>
  </si>
  <si>
    <t>היוון 3.75% דמי חכירה</t>
  </si>
  <si>
    <t xml:space="preserve">ע"פ שלב 2 - 260,000 ₪ </t>
  </si>
  <si>
    <t xml:space="preserve">ע"פ שלב 1 - 1,100,000 ₪ </t>
  </si>
  <si>
    <t>תב"ע</t>
  </si>
  <si>
    <t>שכ"ט בעלי מקצוע</t>
  </si>
  <si>
    <t>היתר בניה - דמי היתר</t>
  </si>
  <si>
    <t>דמי היתר 455,000 ₪ + היטל השבחה</t>
  </si>
  <si>
    <t>לפי שומת חכמון</t>
  </si>
  <si>
    <t>אחוז שנתי</t>
  </si>
  <si>
    <t>שנים להיוון</t>
  </si>
  <si>
    <t>שווי עדכני</t>
  </si>
  <si>
    <t>תחשיב לפי מכירות בהרחבה</t>
  </si>
  <si>
    <t>גו"ח</t>
  </si>
  <si>
    <t>תאריך</t>
  </si>
  <si>
    <t>מחיר עסקה</t>
  </si>
  <si>
    <t>שטח המגרש</t>
  </si>
  <si>
    <t>שטח בנוי</t>
  </si>
  <si>
    <t>שנת בניה</t>
  </si>
  <si>
    <t>התאמה למועד קובע</t>
  </si>
  <si>
    <t>בניכוי יזמי 5%</t>
  </si>
  <si>
    <t>עלויות בניה למ"ר</t>
  </si>
  <si>
    <t>יתרה לקרע כולל</t>
  </si>
  <si>
    <t>שטח אקו'</t>
  </si>
  <si>
    <t>שווי מתואם כולל מעמ ופיתוח</t>
  </si>
  <si>
    <t>שווי לשומה</t>
  </si>
  <si>
    <t>בליטת גג</t>
  </si>
  <si>
    <t>מפת מדידה - מפרט רמ"י</t>
  </si>
  <si>
    <t>השבחה</t>
  </si>
  <si>
    <t>היטל</t>
  </si>
  <si>
    <t>לפני חצר שולית</t>
  </si>
  <si>
    <t>אחרי מגרש מפוצל</t>
  </si>
  <si>
    <t>שומת</t>
  </si>
  <si>
    <t>היטל השבחה פיצול בית שלישי (מגרש ראשון)</t>
  </si>
  <si>
    <t>עבור 1 מ"ר אקו'</t>
  </si>
  <si>
    <t>עבור מגרש 350</t>
  </si>
  <si>
    <t>מגרש מפוצל הרחבת אביגדור רק במקום 180 220 עיקרי</t>
  </si>
  <si>
    <t>היטל השבחה פיצול בית שני (מגרש שני)</t>
  </si>
  <si>
    <t>לפני מגרש לא מפוצל</t>
  </si>
  <si>
    <t>חתימת רמ"י</t>
  </si>
  <si>
    <t>חתימת ועדה</t>
  </si>
  <si>
    <t>V</t>
  </si>
  <si>
    <t>X</t>
  </si>
  <si>
    <t>מקור</t>
  </si>
  <si>
    <t>מס' תבע</t>
  </si>
  <si>
    <t>זכויות</t>
  </si>
  <si>
    <t>XPLAN</t>
  </si>
  <si>
    <t>פל"ח</t>
  </si>
  <si>
    <t>גובמאפ</t>
  </si>
  <si>
    <t>בתים</t>
  </si>
  <si>
    <t>פיצול</t>
  </si>
  <si>
    <t>תב"עות</t>
  </si>
  <si>
    <t>פלח</t>
  </si>
  <si>
    <t>חריגה מקו</t>
  </si>
  <si>
    <t>עדיפות לאומית</t>
  </si>
  <si>
    <t>גבול</t>
  </si>
  <si>
    <t>סיווג</t>
  </si>
  <si>
    <t>קישור לפרק 4.2 סימן א רשימת איזורי עדיפות</t>
  </si>
  <si>
    <t>בניין</t>
  </si>
  <si>
    <t>לא</t>
  </si>
  <si>
    <t>מיפוי</t>
  </si>
  <si>
    <t>חריגה מקווים</t>
  </si>
  <si>
    <t>מבנים</t>
  </si>
  <si>
    <t>גודל קיים</t>
  </si>
  <si>
    <t>גודל בהיתר</t>
  </si>
  <si>
    <t>שימוש</t>
  </si>
  <si>
    <t>שווי שימוש</t>
  </si>
  <si>
    <t>שיעור דמי שימוש</t>
  </si>
  <si>
    <t>דמי שימוש לשנה</t>
  </si>
  <si>
    <t>שיעור דמי היתר</t>
  </si>
  <si>
    <t>דמי היתר</t>
  </si>
  <si>
    <t>מבנה 1 - בית ראשון</t>
  </si>
  <si>
    <t>מבנה 1 - פרגולה</t>
  </si>
  <si>
    <t>מבנה 7 - יח"ד שניה</t>
  </si>
  <si>
    <t>מבנה 4 - יח"ד שלישית</t>
  </si>
  <si>
    <t>מבנה 4 - פל"ח</t>
  </si>
  <si>
    <t>דמי היתר שנרכשו</t>
  </si>
  <si>
    <t>גודל בית ראשון בהיתר</t>
  </si>
  <si>
    <t>שטח פטור</t>
  </si>
  <si>
    <t>שטח שנרכש</t>
  </si>
  <si>
    <t>גודל בית שני בהיתר</t>
  </si>
  <si>
    <t>סה"כ שטח שנרכש</t>
  </si>
  <si>
    <t>סה"כ שטח אקו' לחישוב דמי רכישה</t>
  </si>
  <si>
    <t>סיכום עלויות פיצול/ים לאחר הסדרה</t>
  </si>
  <si>
    <t>סוג תשלום</t>
  </si>
  <si>
    <t>פיצול בית קיים</t>
  </si>
  <si>
    <t>פיצול מגרש ריק + בית קיים</t>
  </si>
  <si>
    <t>דמי היוון 3.75%/33%</t>
  </si>
  <si>
    <t>תשלום בעבור פיצול</t>
  </si>
  <si>
    <t>-</t>
  </si>
  <si>
    <t>מס רכישה</t>
  </si>
  <si>
    <t>דמי היתר לרכוש במשק</t>
  </si>
  <si>
    <t>היטל השבחה - בעת מכר</t>
  </si>
  <si>
    <t>כמפורט בכל אפשרות</t>
  </si>
  <si>
    <t>תחשיבי פיצול</t>
  </si>
  <si>
    <t>סעיף</t>
  </si>
  <si>
    <t>מ"ר בנוי</t>
  </si>
  <si>
    <t>פטור</t>
  </si>
  <si>
    <t>זכויות חוזיות</t>
  </si>
  <si>
    <t>עלות לרמ"י ליח'</t>
  </si>
  <si>
    <t>סה"כ רמ"י</t>
  </si>
  <si>
    <t>עלות ליח'</t>
  </si>
  <si>
    <t>היטל השבחה</t>
  </si>
  <si>
    <t>הסדרה</t>
  </si>
  <si>
    <t xml:space="preserve">בית שלישי </t>
  </si>
  <si>
    <t>יח"ד הורים</t>
  </si>
  <si>
    <t>היוון</t>
  </si>
  <si>
    <t>חוזה חכירה לאחר הסדרה והיוון</t>
  </si>
  <si>
    <t>פיצול בית 1</t>
  </si>
  <si>
    <t>חוזה חכירה לאחר פיצול</t>
  </si>
  <si>
    <t>רכישת דמי היתר בעקבות פיצול</t>
  </si>
  <si>
    <t>מצב בנוי לאחר פיצול</t>
  </si>
  <si>
    <t>יתרת זכויות / רכישת דמי היתר</t>
  </si>
  <si>
    <t>סה"כ היטל השבחה</t>
  </si>
  <si>
    <t>סה"כ מס רכישה</t>
  </si>
  <si>
    <t>מס' מבנה</t>
  </si>
  <si>
    <t>סיווג המבנה</t>
  </si>
  <si>
    <t>שטח במ"ר</t>
  </si>
  <si>
    <t>עלות הסדרה</t>
  </si>
  <si>
    <t>מבנה 1 - בית מגורים ראשון</t>
  </si>
  <si>
    <t>מבנה 2 - בית מגורים שלישי</t>
  </si>
  <si>
    <t>מבנה 3 - מגורי עובדים</t>
  </si>
  <si>
    <t>מבנה 4 -חקלאי</t>
  </si>
  <si>
    <t>מבנה 5 - חקלאי</t>
  </si>
  <si>
    <t>מבנה 6 - חקלאי</t>
  </si>
  <si>
    <t>מבנה 7 - סככות חקלאיות</t>
  </si>
  <si>
    <t>מבנה 8 - בית מגורים שני</t>
  </si>
  <si>
    <t>היתר שנת 2006 - חקלאי</t>
  </si>
  <si>
    <t xml:space="preserve">היתר שנת 98 </t>
  </si>
  <si>
    <t>מבנה 9 - קונטיינר</t>
  </si>
  <si>
    <t>616-0894105</t>
  </si>
  <si>
    <t>616-0770735</t>
  </si>
  <si>
    <t>אתר הוועדה</t>
  </si>
  <si>
    <t>59/</t>
  </si>
  <si>
    <t>בריכה</t>
  </si>
  <si>
    <t>111/03/8</t>
  </si>
  <si>
    <t>300+150</t>
  </si>
  <si>
    <t>2 בתים</t>
  </si>
  <si>
    <t xml:space="preserve"> פיצול 1 - 350</t>
  </si>
  <si>
    <t>מס"ד</t>
  </si>
  <si>
    <t>גוש חלקה</t>
  </si>
  <si>
    <t>יום מכירה</t>
  </si>
  <si>
    <t>תמורה מוצהרת בש"ח</t>
  </si>
  <si>
    <t>בניכוי יזמות 5%</t>
  </si>
  <si>
    <t>מהות</t>
  </si>
  <si>
    <t>חלק נמכר</t>
  </si>
  <si>
    <t>ישוב</t>
  </si>
  <si>
    <t>שטח מגרש</t>
  </si>
  <si>
    <t>שטח</t>
  </si>
  <si>
    <t>תרומת הבנוי</t>
  </si>
  <si>
    <t>שווי יתרת מגרש</t>
  </si>
  <si>
    <t>שווי מ"ר</t>
  </si>
  <si>
    <t>002934-0078</t>
  </si>
  <si>
    <t>קוטג' חד משפחתי</t>
  </si>
  <si>
    <t>ניר בנים</t>
  </si>
  <si>
    <t>002934-0081</t>
  </si>
  <si>
    <t>ממוצע\</t>
  </si>
  <si>
    <t>בהתאמה לבעלות / 0.97</t>
  </si>
  <si>
    <t>מקדם התאמה לנחלה</t>
  </si>
  <si>
    <t>שווי לנחלה</t>
  </si>
  <si>
    <t>לשומה</t>
  </si>
  <si>
    <t>ניתוח שטח אקו' מס"ד1</t>
  </si>
  <si>
    <t>יתרת שירות</t>
  </si>
  <si>
    <t>מרתף</t>
  </si>
  <si>
    <t>תכסית</t>
  </si>
  <si>
    <t>חצר עד 500</t>
  </si>
  <si>
    <t>סה"כ שטח אקו'</t>
  </si>
  <si>
    <t xml:space="preserve">שווי מגרש </t>
  </si>
  <si>
    <t>שומה בניר בנים מועד קובע 03/2023</t>
  </si>
  <si>
    <t>שווי בהרחבה</t>
  </si>
  <si>
    <t>מקדם זמן</t>
  </si>
  <si>
    <t>שווי מתואם</t>
  </si>
  <si>
    <t>מקדם לנחלה</t>
  </si>
  <si>
    <t>ממד</t>
  </si>
  <si>
    <t>היטל השבחה פיצול בית שני</t>
  </si>
  <si>
    <t>מצב קודם</t>
  </si>
  <si>
    <t>שירות</t>
  </si>
  <si>
    <t>שטח מגרש\</t>
  </si>
  <si>
    <t>מקדם אי סחירות</t>
  </si>
  <si>
    <t>סה"כ מצב קודם</t>
  </si>
  <si>
    <t>שטח אקו' מצב חדש</t>
  </si>
  <si>
    <t>מקדם הפחתה בגין מגרש משולש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</si>
</sst>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₪&quot;\ #,##0;[Red]&quot;₪&quot;\ \-#,##0"/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_ &quot;₪&quot;\ * #,##0_ ;_ &quot;₪&quot;\ * \-#,##0_ ;_ &quot;₪&quot;\ * &quot;-&quot;??_ ;_ @_ "/>
    <numFmt numFmtId="165" formatCode="_ * #,##0_ ;_ * \-#,##0_ ;_ * &quot;-&quot;??_ ;_ @_ "/>
    <numFmt numFmtId="166" formatCode="&quot;₪&quot;\ #,##0"/>
  </numFmts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6"/>
      <color theme="1"/>
      <name val="Arial"/>
      <family val="2"/>
      <charset val="177"/>
      <scheme val="minor"/>
    </font>
    <font>
      <u/>
      <sz val="16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theme="1"/>
      <name val="Arial"/>
      <family val="2"/>
      <scheme val="minor"/>
    </font>
    <font>
      <u val="singleAccounting"/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1"/>
      <color theme="9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Arial"/>
      <family val="2"/>
      <scheme val="minor"/>
    </font>
    <font>
      <b/>
      <sz val="11"/>
      <color rgb="FFC0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u/>
      <sz val="11"/>
      <color rgb="FFFF0000"/>
      <name val="Arial"/>
      <family val="2"/>
      <charset val="177"/>
      <scheme val="minor"/>
    </font>
    <font>
      <u/>
      <sz val="11"/>
      <color theme="8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CF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DDFF"/>
        <bgColor indexed="64"/>
      </patternFill>
    </fill>
    <fill>
      <patternFill patternType="solid">
        <fgColor rgb="FFFFFF00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401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2" fillId="0" borderId="0" xfId="2" applyNumberFormat="1" applyFont="1"/>
    <xf numFmtId="164" fontId="2" fillId="0" borderId="0" xfId="0" applyNumberFormat="1" applyFont="1"/>
    <xf numFmtId="9" fontId="2" fillId="0" borderId="0" xfId="0" applyNumberFormat="1" applyFont="1"/>
    <xf numFmtId="43" fontId="2" fillId="0" borderId="0" xfId="1" applyFont="1"/>
    <xf numFmtId="44" fontId="2" fillId="0" borderId="0" xfId="0" applyNumberFormat="1" applyFont="1"/>
    <xf numFmtId="0" fontId="0" fillId="0" borderId="1" xfId="0" applyBorder="1"/>
    <xf numFmtId="165" fontId="0" fillId="0" borderId="2" xfId="1" applyNumberFormat="1" applyFont="1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165" fontId="0" fillId="0" borderId="0" xfId="1" applyNumberFormat="1" applyFont="1"/>
    <xf numFmtId="0" fontId="0" fillId="0" borderId="7" xfId="0" applyBorder="1"/>
    <xf numFmtId="165" fontId="0" fillId="0" borderId="0" xfId="1" applyNumberFormat="1" applyFont="1" applyBorder="1"/>
    <xf numFmtId="43" fontId="0" fillId="0" borderId="0" xfId="1" applyFont="1" applyBorder="1"/>
    <xf numFmtId="0" fontId="0" fillId="0" borderId="8" xfId="0" applyBorder="1"/>
    <xf numFmtId="0" fontId="0" fillId="0" borderId="4" xfId="0" applyBorder="1"/>
    <xf numFmtId="165" fontId="0" fillId="0" borderId="5" xfId="1" applyNumberFormat="1" applyFont="1" applyBorder="1"/>
    <xf numFmtId="43" fontId="0" fillId="0" borderId="5" xfId="1" applyFont="1" applyBorder="1"/>
    <xf numFmtId="0" fontId="0" fillId="0" borderId="6" xfId="0" applyBorder="1"/>
    <xf numFmtId="0" fontId="0" fillId="0" borderId="9" xfId="0" applyBorder="1"/>
    <xf numFmtId="165" fontId="0" fillId="0" borderId="10" xfId="1" applyNumberFormat="1" applyFont="1" applyBorder="1"/>
    <xf numFmtId="43" fontId="0" fillId="0" borderId="11" xfId="1" applyFont="1" applyBorder="1"/>
    <xf numFmtId="0" fontId="0" fillId="0" borderId="12" xfId="0" applyBorder="1"/>
    <xf numFmtId="0" fontId="6" fillId="0" borderId="9" xfId="0" applyFont="1" applyBorder="1"/>
    <xf numFmtId="165" fontId="6" fillId="0" borderId="10" xfId="0" applyNumberFormat="1" applyFont="1" applyBorder="1"/>
    <xf numFmtId="43" fontId="6" fillId="0" borderId="10" xfId="1" applyFont="1" applyBorder="1"/>
    <xf numFmtId="1" fontId="6" fillId="0" borderId="13" xfId="0" applyNumberFormat="1" applyFont="1" applyBorder="1"/>
    <xf numFmtId="0" fontId="6" fillId="0" borderId="14" xfId="0" applyFont="1" applyBorder="1"/>
    <xf numFmtId="165" fontId="6" fillId="0" borderId="15" xfId="0" applyNumberFormat="1" applyFont="1" applyBorder="1"/>
    <xf numFmtId="43" fontId="6" fillId="0" borderId="15" xfId="1" applyFont="1" applyBorder="1"/>
    <xf numFmtId="1" fontId="6" fillId="0" borderId="16" xfId="0" applyNumberFormat="1" applyFont="1" applyBorder="1"/>
    <xf numFmtId="43" fontId="0" fillId="0" borderId="0" xfId="1" applyFont="1"/>
    <xf numFmtId="0" fontId="5" fillId="0" borderId="0" xfId="0" applyFont="1"/>
    <xf numFmtId="0" fontId="0" fillId="0" borderId="5" xfId="0" applyBorder="1"/>
    <xf numFmtId="0" fontId="5" fillId="0" borderId="2" xfId="0" applyFont="1" applyBorder="1"/>
    <xf numFmtId="0" fontId="5" fillId="0" borderId="3" xfId="0" applyFont="1" applyBorder="1"/>
    <xf numFmtId="0" fontId="6" fillId="0" borderId="4" xfId="0" applyFont="1" applyBorder="1"/>
    <xf numFmtId="165" fontId="0" fillId="0" borderId="6" xfId="1" applyNumberFormat="1" applyFont="1" applyFill="1" applyBorder="1"/>
    <xf numFmtId="0" fontId="0" fillId="0" borderId="15" xfId="0" applyBorder="1"/>
    <xf numFmtId="165" fontId="0" fillId="0" borderId="16" xfId="0" applyNumberFormat="1" applyBorder="1"/>
    <xf numFmtId="0" fontId="5" fillId="3" borderId="17" xfId="0" applyFont="1" applyFill="1" applyBorder="1" applyAlignment="1">
      <alignment horizontal="center" vertical="center" wrapText="1"/>
    </xf>
    <xf numFmtId="0" fontId="0" fillId="5" borderId="20" xfId="0" applyFill="1" applyBorder="1"/>
    <xf numFmtId="0" fontId="0" fillId="5" borderId="21" xfId="0" applyFill="1" applyBorder="1"/>
    <xf numFmtId="0" fontId="0" fillId="5" borderId="12" xfId="0" applyFill="1" applyBorder="1"/>
    <xf numFmtId="0" fontId="0" fillId="5" borderId="22" xfId="0" applyFill="1" applyBorder="1"/>
    <xf numFmtId="0" fontId="0" fillId="5" borderId="23" xfId="0" applyFill="1" applyBorder="1"/>
    <xf numFmtId="0" fontId="0" fillId="5" borderId="13" xfId="0" applyFill="1" applyBorder="1"/>
    <xf numFmtId="165" fontId="0" fillId="5" borderId="22" xfId="1" applyNumberFormat="1" applyFont="1" applyFill="1" applyBorder="1"/>
    <xf numFmtId="0" fontId="0" fillId="5" borderId="24" xfId="0" applyFill="1" applyBorder="1"/>
    <xf numFmtId="165" fontId="0" fillId="5" borderId="24" xfId="1" applyNumberFormat="1" applyFont="1" applyFill="1" applyBorder="1"/>
    <xf numFmtId="0" fontId="0" fillId="5" borderId="25" xfId="0" applyFill="1" applyBorder="1"/>
    <xf numFmtId="0" fontId="0" fillId="5" borderId="6" xfId="0" applyFill="1" applyBorder="1"/>
    <xf numFmtId="0" fontId="0" fillId="5" borderId="26" xfId="0" applyFill="1" applyBorder="1"/>
    <xf numFmtId="0" fontId="0" fillId="5" borderId="27" xfId="0" applyFill="1" applyBorder="1"/>
    <xf numFmtId="0" fontId="0" fillId="5" borderId="28" xfId="0" applyFill="1" applyBorder="1"/>
    <xf numFmtId="0" fontId="5" fillId="3" borderId="17" xfId="0" applyFont="1" applyFill="1" applyBorder="1"/>
    <xf numFmtId="0" fontId="5" fillId="3" borderId="19" xfId="0" applyFont="1" applyFill="1" applyBorder="1"/>
    <xf numFmtId="165" fontId="0" fillId="5" borderId="20" xfId="1" applyNumberFormat="1" applyFont="1" applyFill="1" applyBorder="1"/>
    <xf numFmtId="43" fontId="6" fillId="5" borderId="20" xfId="1" applyFont="1" applyFill="1" applyBorder="1"/>
    <xf numFmtId="0" fontId="4" fillId="0" borderId="0" xfId="0" applyFont="1"/>
    <xf numFmtId="0" fontId="8" fillId="0" borderId="0" xfId="0" applyFont="1"/>
    <xf numFmtId="0" fontId="6" fillId="0" borderId="0" xfId="0" applyFont="1"/>
    <xf numFmtId="43" fontId="6" fillId="0" borderId="0" xfId="1" applyFont="1"/>
    <xf numFmtId="165" fontId="6" fillId="0" borderId="5" xfId="1" applyNumberFormat="1" applyFont="1" applyBorder="1"/>
    <xf numFmtId="165" fontId="0" fillId="0" borderId="11" xfId="1" applyNumberFormat="1" applyFont="1" applyBorder="1"/>
    <xf numFmtId="43" fontId="0" fillId="0" borderId="0" xfId="0" applyNumberFormat="1"/>
    <xf numFmtId="0" fontId="4" fillId="0" borderId="0" xfId="0" applyFont="1" applyAlignment="1">
      <alignment wrapText="1"/>
    </xf>
    <xf numFmtId="1" fontId="0" fillId="0" borderId="0" xfId="0" applyNumberFormat="1"/>
    <xf numFmtId="165" fontId="2" fillId="0" borderId="0" xfId="1" applyNumberFormat="1" applyFont="1"/>
    <xf numFmtId="1" fontId="2" fillId="0" borderId="0" xfId="0" applyNumberFormat="1" applyFont="1"/>
    <xf numFmtId="0" fontId="11" fillId="0" borderId="0" xfId="0" applyFont="1"/>
    <xf numFmtId="10" fontId="11" fillId="0" borderId="0" xfId="0" applyNumberFormat="1" applyFont="1"/>
    <xf numFmtId="164" fontId="11" fillId="0" borderId="0" xfId="2" applyNumberFormat="1" applyFont="1"/>
    <xf numFmtId="9" fontId="11" fillId="0" borderId="0" xfId="0" applyNumberFormat="1" applyFont="1"/>
    <xf numFmtId="1" fontId="11" fillId="0" borderId="0" xfId="0" applyNumberFormat="1" applyFont="1"/>
    <xf numFmtId="0" fontId="12" fillId="0" borderId="0" xfId="0" applyFont="1"/>
    <xf numFmtId="9" fontId="12" fillId="0" borderId="0" xfId="0" applyNumberFormat="1" applyFont="1"/>
    <xf numFmtId="164" fontId="12" fillId="0" borderId="0" xfId="2" applyNumberFormat="1" applyFont="1"/>
    <xf numFmtId="166" fontId="2" fillId="2" borderId="0" xfId="0" applyNumberFormat="1" applyFont="1" applyFill="1"/>
    <xf numFmtId="43" fontId="2" fillId="0" borderId="0" xfId="0" applyNumberFormat="1" applyFont="1"/>
    <xf numFmtId="165" fontId="2" fillId="0" borderId="0" xfId="0" applyNumberFormat="1" applyFont="1"/>
    <xf numFmtId="164" fontId="11" fillId="0" borderId="0" xfId="0" applyNumberFormat="1" applyFont="1"/>
    <xf numFmtId="164" fontId="11" fillId="0" borderId="5" xfId="0" applyNumberFormat="1" applyFont="1" applyBorder="1"/>
    <xf numFmtId="165" fontId="0" fillId="5" borderId="26" xfId="1" applyNumberFormat="1" applyFont="1" applyFill="1" applyBorder="1"/>
    <xf numFmtId="165" fontId="0" fillId="0" borderId="0" xfId="0" applyNumberFormat="1"/>
    <xf numFmtId="165" fontId="5" fillId="3" borderId="18" xfId="1" applyNumberFormat="1" applyFont="1" applyFill="1" applyBorder="1" applyAlignment="1">
      <alignment horizontal="center" vertical="center" wrapText="1"/>
    </xf>
    <xf numFmtId="165" fontId="0" fillId="5" borderId="21" xfId="1" applyNumberFormat="1" applyFont="1" applyFill="1" applyBorder="1"/>
    <xf numFmtId="165" fontId="0" fillId="5" borderId="23" xfId="1" applyNumberFormat="1" applyFont="1" applyFill="1" applyBorder="1"/>
    <xf numFmtId="165" fontId="0" fillId="5" borderId="25" xfId="1" applyNumberFormat="1" applyFont="1" applyFill="1" applyBorder="1"/>
    <xf numFmtId="165" fontId="0" fillId="5" borderId="27" xfId="1" applyNumberFormat="1" applyFont="1" applyFill="1" applyBorder="1"/>
    <xf numFmtId="165" fontId="5" fillId="3" borderId="17" xfId="1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165" fontId="0" fillId="0" borderId="2" xfId="1" applyNumberFormat="1" applyFont="1" applyBorder="1" applyAlignment="1">
      <alignment wrapText="1"/>
    </xf>
    <xf numFmtId="0" fontId="0" fillId="0" borderId="32" xfId="0" applyBorder="1"/>
    <xf numFmtId="0" fontId="6" fillId="0" borderId="33" xfId="0" applyFont="1" applyBorder="1"/>
    <xf numFmtId="165" fontId="6" fillId="0" borderId="34" xfId="0" applyNumberFormat="1" applyFont="1" applyBorder="1"/>
    <xf numFmtId="0" fontId="6" fillId="0" borderId="34" xfId="0" applyFont="1" applyBorder="1"/>
    <xf numFmtId="165" fontId="6" fillId="0" borderId="35" xfId="0" applyNumberFormat="1" applyFont="1" applyBorder="1"/>
    <xf numFmtId="165" fontId="0" fillId="0" borderId="10" xfId="0" applyNumberFormat="1" applyBorder="1"/>
    <xf numFmtId="43" fontId="0" fillId="0" borderId="10" xfId="1" applyFont="1" applyBorder="1"/>
    <xf numFmtId="165" fontId="0" fillId="0" borderId="13" xfId="0" applyNumberFormat="1" applyBorder="1"/>
    <xf numFmtId="0" fontId="6" fillId="0" borderId="5" xfId="0" applyFont="1" applyBorder="1"/>
    <xf numFmtId="0" fontId="6" fillId="0" borderId="6" xfId="0" applyFont="1" applyBorder="1"/>
    <xf numFmtId="10" fontId="0" fillId="0" borderId="0" xfId="3" applyNumberFormat="1" applyFont="1"/>
    <xf numFmtId="0" fontId="11" fillId="0" borderId="5" xfId="0" applyFont="1" applyBorder="1"/>
    <xf numFmtId="165" fontId="11" fillId="0" borderId="5" xfId="0" applyNumberFormat="1" applyFont="1" applyBorder="1"/>
    <xf numFmtId="164" fontId="11" fillId="0" borderId="5" xfId="2" applyNumberFormat="1" applyFont="1" applyBorder="1"/>
    <xf numFmtId="165" fontId="12" fillId="0" borderId="0" xfId="0" applyNumberFormat="1" applyFont="1"/>
    <xf numFmtId="10" fontId="12" fillId="0" borderId="0" xfId="0" applyNumberFormat="1" applyFont="1"/>
    <xf numFmtId="0" fontId="2" fillId="0" borderId="5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43" fontId="6" fillId="7" borderId="37" xfId="1" applyFont="1" applyFill="1" applyBorder="1"/>
    <xf numFmtId="0" fontId="5" fillId="3" borderId="36" xfId="0" applyFont="1" applyFill="1" applyBorder="1" applyAlignment="1">
      <alignment horizontal="center" vertical="center" wrapText="1"/>
    </xf>
    <xf numFmtId="0" fontId="0" fillId="4" borderId="39" xfId="0" applyFill="1" applyBorder="1"/>
    <xf numFmtId="0" fontId="0" fillId="4" borderId="40" xfId="0" applyFill="1" applyBorder="1"/>
    <xf numFmtId="0" fontId="0" fillId="4" borderId="41" xfId="0" applyFill="1" applyBorder="1"/>
    <xf numFmtId="0" fontId="0" fillId="4" borderId="42" xfId="0" applyFill="1" applyBorder="1"/>
    <xf numFmtId="0" fontId="6" fillId="4" borderId="43" xfId="0" applyFont="1" applyFill="1" applyBorder="1"/>
    <xf numFmtId="0" fontId="0" fillId="3" borderId="36" xfId="0" applyFill="1" applyBorder="1"/>
    <xf numFmtId="0" fontId="6" fillId="4" borderId="39" xfId="0" applyFont="1" applyFill="1" applyBorder="1"/>
    <xf numFmtId="43" fontId="0" fillId="0" borderId="8" xfId="0" applyNumberFormat="1" applyBorder="1"/>
    <xf numFmtId="164" fontId="2" fillId="0" borderId="0" xfId="2" applyNumberFormat="1" applyFont="1" applyFill="1"/>
    <xf numFmtId="0" fontId="16" fillId="0" borderId="0" xfId="0" applyFont="1"/>
    <xf numFmtId="165" fontId="9" fillId="0" borderId="0" xfId="1" applyNumberFormat="1" applyFont="1"/>
    <xf numFmtId="165" fontId="6" fillId="0" borderId="5" xfId="0" applyNumberFormat="1" applyFont="1" applyBorder="1"/>
    <xf numFmtId="0" fontId="6" fillId="4" borderId="0" xfId="0" applyFont="1" applyFill="1"/>
    <xf numFmtId="1" fontId="6" fillId="4" borderId="0" xfId="0" applyNumberFormat="1" applyFont="1" applyFill="1"/>
    <xf numFmtId="43" fontId="4" fillId="0" borderId="2" xfId="0" applyNumberFormat="1" applyFont="1" applyBorder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65" fontId="3" fillId="0" borderId="0" xfId="1" applyNumberFormat="1" applyFont="1"/>
    <xf numFmtId="43" fontId="17" fillId="6" borderId="30" xfId="1" applyFont="1" applyFill="1" applyBorder="1"/>
    <xf numFmtId="43" fontId="6" fillId="5" borderId="12" xfId="1" applyFont="1" applyFill="1" applyBorder="1"/>
    <xf numFmtId="0" fontId="5" fillId="3" borderId="18" xfId="0" applyFont="1" applyFill="1" applyBorder="1"/>
    <xf numFmtId="43" fontId="6" fillId="5" borderId="21" xfId="1" applyFont="1" applyFill="1" applyBorder="1"/>
    <xf numFmtId="43" fontId="17" fillId="6" borderId="38" xfId="1" applyFont="1" applyFill="1" applyBorder="1"/>
    <xf numFmtId="43" fontId="13" fillId="6" borderId="38" xfId="1" applyFont="1" applyFill="1" applyBorder="1"/>
    <xf numFmtId="165" fontId="0" fillId="5" borderId="45" xfId="1" applyNumberFormat="1" applyFont="1" applyFill="1" applyBorder="1"/>
    <xf numFmtId="0" fontId="0" fillId="5" borderId="46" xfId="0" applyFill="1" applyBorder="1"/>
    <xf numFmtId="43" fontId="13" fillId="6" borderId="16" xfId="1" applyFont="1" applyFill="1" applyBorder="1"/>
    <xf numFmtId="165" fontId="6" fillId="0" borderId="0" xfId="0" applyNumberFormat="1" applyFont="1"/>
    <xf numFmtId="0" fontId="7" fillId="0" borderId="0" xfId="0" applyFont="1" applyAlignment="1">
      <alignment wrapText="1"/>
    </xf>
    <xf numFmtId="164" fontId="0" fillId="0" borderId="0" xfId="2" applyNumberFormat="1" applyFont="1"/>
    <xf numFmtId="164" fontId="0" fillId="0" borderId="0" xfId="0" applyNumberFormat="1"/>
    <xf numFmtId="44" fontId="0" fillId="0" borderId="0" xfId="0" applyNumberFormat="1"/>
    <xf numFmtId="0" fontId="5" fillId="9" borderId="44" xfId="0" applyFont="1" applyFill="1" applyBorder="1" applyAlignment="1">
      <alignment horizontal="center" vertical="center"/>
    </xf>
    <xf numFmtId="0" fontId="5" fillId="9" borderId="44" xfId="0" applyFont="1" applyFill="1" applyBorder="1" applyAlignment="1">
      <alignment horizontal="center" vertical="center" wrapText="1"/>
    </xf>
    <xf numFmtId="164" fontId="9" fillId="9" borderId="48" xfId="2" applyNumberFormat="1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9" borderId="19" xfId="0" applyFont="1" applyFill="1" applyBorder="1" applyAlignment="1">
      <alignment horizontal="center" vertical="center"/>
    </xf>
    <xf numFmtId="0" fontId="0" fillId="2" borderId="47" xfId="0" applyFill="1" applyBorder="1" applyAlignment="1">
      <alignment wrapText="1"/>
    </xf>
    <xf numFmtId="164" fontId="0" fillId="2" borderId="34" xfId="2" applyNumberFormat="1" applyFont="1" applyFill="1" applyBorder="1"/>
    <xf numFmtId="164" fontId="0" fillId="2" borderId="29" xfId="2" applyNumberFormat="1" applyFont="1" applyFill="1" applyBorder="1"/>
    <xf numFmtId="165" fontId="0" fillId="2" borderId="34" xfId="1" applyNumberFormat="1" applyFont="1" applyFill="1" applyBorder="1"/>
    <xf numFmtId="164" fontId="0" fillId="2" borderId="35" xfId="2" applyNumberFormat="1" applyFont="1" applyFill="1" applyBorder="1"/>
    <xf numFmtId="0" fontId="0" fillId="10" borderId="7" xfId="0" applyFill="1" applyBorder="1" applyAlignment="1">
      <alignment wrapText="1"/>
    </xf>
    <xf numFmtId="164" fontId="0" fillId="10" borderId="48" xfId="2" applyNumberFormat="1" applyFont="1" applyFill="1" applyBorder="1"/>
    <xf numFmtId="0" fontId="0" fillId="10" borderId="0" xfId="0" applyFill="1"/>
    <xf numFmtId="0" fontId="0" fillId="10" borderId="8" xfId="0" applyFill="1" applyBorder="1"/>
    <xf numFmtId="0" fontId="0" fillId="2" borderId="49" xfId="0" applyFill="1" applyBorder="1" applyAlignment="1">
      <alignment vertical="top" wrapText="1"/>
    </xf>
    <xf numFmtId="165" fontId="0" fillId="2" borderId="50" xfId="1" applyNumberFormat="1" applyFont="1" applyFill="1" applyBorder="1" applyAlignment="1">
      <alignment horizontal="right" indent="3"/>
    </xf>
    <xf numFmtId="164" fontId="0" fillId="2" borderId="51" xfId="2" applyNumberFormat="1" applyFont="1" applyFill="1" applyBorder="1"/>
    <xf numFmtId="165" fontId="0" fillId="2" borderId="50" xfId="1" applyNumberFormat="1" applyFont="1" applyFill="1" applyBorder="1" applyAlignment="1">
      <alignment horizontal="center"/>
    </xf>
    <xf numFmtId="164" fontId="0" fillId="2" borderId="52" xfId="2" applyNumberFormat="1" applyFont="1" applyFill="1" applyBorder="1"/>
    <xf numFmtId="0" fontId="0" fillId="2" borderId="45" xfId="0" applyFill="1" applyBorder="1" applyAlignment="1">
      <alignment wrapText="1"/>
    </xf>
    <xf numFmtId="164" fontId="0" fillId="2" borderId="11" xfId="2" applyNumberFormat="1" applyFont="1" applyFill="1" applyBorder="1"/>
    <xf numFmtId="164" fontId="0" fillId="2" borderId="21" xfId="2" applyNumberFormat="1" applyFont="1" applyFill="1" applyBorder="1"/>
    <xf numFmtId="164" fontId="0" fillId="2" borderId="12" xfId="2" applyNumberFormat="1" applyFont="1" applyFill="1" applyBorder="1"/>
    <xf numFmtId="0" fontId="0" fillId="2" borderId="45" xfId="0" applyFill="1" applyBorder="1"/>
    <xf numFmtId="165" fontId="0" fillId="2" borderId="11" xfId="1" applyNumberFormat="1" applyFont="1" applyFill="1" applyBorder="1" applyAlignment="1">
      <alignment horizontal="center"/>
    </xf>
    <xf numFmtId="6" fontId="0" fillId="2" borderId="54" xfId="2" applyNumberFormat="1" applyFont="1" applyFill="1" applyBorder="1" applyAlignment="1">
      <alignment horizontal="center" vertical="center"/>
    </xf>
    <xf numFmtId="6" fontId="0" fillId="2" borderId="55" xfId="2" applyNumberFormat="1" applyFont="1" applyFill="1" applyBorder="1" applyAlignment="1">
      <alignment horizontal="center" vertical="center"/>
    </xf>
    <xf numFmtId="6" fontId="0" fillId="2" borderId="56" xfId="2" applyNumberFormat="1" applyFont="1" applyFill="1" applyBorder="1" applyAlignment="1">
      <alignment horizontal="center" vertical="center"/>
    </xf>
    <xf numFmtId="0" fontId="0" fillId="2" borderId="46" xfId="0" applyFill="1" applyBorder="1"/>
    <xf numFmtId="0" fontId="0" fillId="2" borderId="46" xfId="0" applyFill="1" applyBorder="1" applyAlignment="1">
      <alignment wrapText="1"/>
    </xf>
    <xf numFmtId="164" fontId="0" fillId="2" borderId="20" xfId="2" applyNumberFormat="1" applyFont="1" applyFill="1" applyBorder="1" applyAlignment="1">
      <alignment horizontal="center" vertical="center"/>
    </xf>
    <xf numFmtId="0" fontId="0" fillId="2" borderId="50" xfId="1" applyNumberFormat="1" applyFont="1" applyFill="1" applyBorder="1" applyAlignment="1">
      <alignment horizontal="center"/>
    </xf>
    <xf numFmtId="0" fontId="0" fillId="2" borderId="11" xfId="1" applyNumberFormat="1" applyFont="1" applyFill="1" applyBorder="1" applyAlignment="1">
      <alignment horizontal="center"/>
    </xf>
    <xf numFmtId="166" fontId="2" fillId="0" borderId="0" xfId="0" applyNumberFormat="1" applyFont="1"/>
    <xf numFmtId="9" fontId="0" fillId="0" borderId="0" xfId="3" applyFont="1"/>
    <xf numFmtId="14" fontId="0" fillId="0" borderId="0" xfId="0" applyNumberFormat="1"/>
    <xf numFmtId="165" fontId="1" fillId="0" borderId="0" xfId="1" applyNumberFormat="1" applyFont="1" applyAlignment="1">
      <alignment horizontal="center" vertical="center" wrapText="1"/>
    </xf>
    <xf numFmtId="9" fontId="0" fillId="0" borderId="0" xfId="0" applyNumberFormat="1"/>
    <xf numFmtId="9" fontId="2" fillId="0" borderId="0" xfId="3" applyFont="1"/>
    <xf numFmtId="0" fontId="5" fillId="3" borderId="60" xfId="0" applyFont="1" applyFill="1" applyBorder="1" applyAlignment="1">
      <alignment horizontal="center" vertical="center" wrapText="1"/>
    </xf>
    <xf numFmtId="0" fontId="0" fillId="4" borderId="32" xfId="0" applyFill="1" applyBorder="1"/>
    <xf numFmtId="0" fontId="0" fillId="4" borderId="7" xfId="0" applyFill="1" applyBorder="1"/>
    <xf numFmtId="0" fontId="0" fillId="4" borderId="4" xfId="0" applyFill="1" applyBorder="1"/>
    <xf numFmtId="0" fontId="0" fillId="4" borderId="61" xfId="0" applyFill="1" applyBorder="1"/>
    <xf numFmtId="0" fontId="0" fillId="4" borderId="9" xfId="0" applyFill="1" applyBorder="1"/>
    <xf numFmtId="0" fontId="6" fillId="4" borderId="32" xfId="0" applyFont="1" applyFill="1" applyBorder="1"/>
    <xf numFmtId="0" fontId="6" fillId="4" borderId="33" xfId="0" applyFont="1" applyFill="1" applyBorder="1"/>
    <xf numFmtId="0" fontId="6" fillId="4" borderId="62" xfId="0" applyFont="1" applyFill="1" applyBorder="1"/>
    <xf numFmtId="43" fontId="6" fillId="6" borderId="63" xfId="1" applyFont="1" applyFill="1" applyBorder="1"/>
    <xf numFmtId="43" fontId="6" fillId="6" borderId="64" xfId="1" applyFont="1" applyFill="1" applyBorder="1"/>
    <xf numFmtId="43" fontId="6" fillId="6" borderId="65" xfId="1" applyFont="1" applyFill="1" applyBorder="1"/>
    <xf numFmtId="43" fontId="6" fillId="6" borderId="8" xfId="1" applyFont="1" applyFill="1" applyBorder="1"/>
    <xf numFmtId="165" fontId="5" fillId="3" borderId="17" xfId="1" applyNumberFormat="1" applyFont="1" applyFill="1" applyBorder="1"/>
    <xf numFmtId="165" fontId="5" fillId="3" borderId="18" xfId="1" applyNumberFormat="1" applyFont="1" applyFill="1" applyBorder="1"/>
    <xf numFmtId="43" fontId="6" fillId="6" borderId="66" xfId="1" applyFont="1" applyFill="1" applyBorder="1"/>
    <xf numFmtId="43" fontId="10" fillId="7" borderId="67" xfId="1" applyFont="1" applyFill="1" applyBorder="1"/>
    <xf numFmtId="0" fontId="0" fillId="4" borderId="62" xfId="0" applyFill="1" applyBorder="1"/>
    <xf numFmtId="0" fontId="6" fillId="4" borderId="8" xfId="0" applyFont="1" applyFill="1" applyBorder="1"/>
    <xf numFmtId="0" fontId="6" fillId="4" borderId="68" xfId="0" applyFont="1" applyFill="1" applyBorder="1"/>
    <xf numFmtId="0" fontId="0" fillId="0" borderId="0" xfId="0" applyAlignment="1">
      <alignment readingOrder="2"/>
    </xf>
    <xf numFmtId="0" fontId="18" fillId="0" borderId="0" xfId="4"/>
    <xf numFmtId="0" fontId="5" fillId="0" borderId="1" xfId="0" applyFont="1" applyBorder="1"/>
    <xf numFmtId="165" fontId="0" fillId="0" borderId="3" xfId="1" applyNumberFormat="1" applyFont="1" applyBorder="1"/>
    <xf numFmtId="165" fontId="0" fillId="0" borderId="8" xfId="1" applyNumberFormat="1" applyFont="1" applyBorder="1"/>
    <xf numFmtId="165" fontId="6" fillId="0" borderId="35" xfId="1" applyNumberFormat="1" applyFont="1" applyBorder="1"/>
    <xf numFmtId="0" fontId="6" fillId="0" borderId="60" xfId="0" applyFont="1" applyBorder="1"/>
    <xf numFmtId="0" fontId="6" fillId="0" borderId="48" xfId="0" applyFont="1" applyBorder="1"/>
    <xf numFmtId="165" fontId="6" fillId="0" borderId="19" xfId="1" applyNumberFormat="1" applyFont="1" applyBorder="1"/>
    <xf numFmtId="0" fontId="16" fillId="0" borderId="72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0" fillId="0" borderId="55" xfId="0" applyBorder="1"/>
    <xf numFmtId="0" fontId="0" fillId="0" borderId="56" xfId="0" applyBorder="1"/>
    <xf numFmtId="164" fontId="0" fillId="0" borderId="49" xfId="2" applyNumberFormat="1" applyFont="1" applyBorder="1"/>
    <xf numFmtId="164" fontId="0" fillId="0" borderId="52" xfId="2" applyNumberFormat="1" applyFont="1" applyBorder="1"/>
    <xf numFmtId="9" fontId="0" fillId="0" borderId="49" xfId="3" applyFont="1" applyBorder="1"/>
    <xf numFmtId="0" fontId="0" fillId="0" borderId="22" xfId="0" applyBorder="1"/>
    <xf numFmtId="0" fontId="0" fillId="0" borderId="69" xfId="0" applyBorder="1"/>
    <xf numFmtId="164" fontId="0" fillId="0" borderId="46" xfId="2" applyNumberFormat="1" applyFont="1" applyBorder="1"/>
    <xf numFmtId="164" fontId="0" fillId="0" borderId="13" xfId="2" applyNumberFormat="1" applyFont="1" applyBorder="1"/>
    <xf numFmtId="9" fontId="0" fillId="0" borderId="46" xfId="3" applyFont="1" applyBorder="1"/>
    <xf numFmtId="0" fontId="0" fillId="0" borderId="26" xfId="0" applyBorder="1"/>
    <xf numFmtId="0" fontId="0" fillId="0" borderId="76" xfId="0" applyBorder="1"/>
    <xf numFmtId="164" fontId="0" fillId="0" borderId="77" xfId="2" applyNumberFormat="1" applyFont="1" applyBorder="1"/>
    <xf numFmtId="164" fontId="0" fillId="0" borderId="28" xfId="2" applyNumberFormat="1" applyFont="1" applyBorder="1"/>
    <xf numFmtId="9" fontId="0" fillId="0" borderId="77" xfId="3" applyFont="1" applyBorder="1"/>
    <xf numFmtId="0" fontId="6" fillId="0" borderId="78" xfId="0" applyFont="1" applyBorder="1"/>
    <xf numFmtId="164" fontId="6" fillId="0" borderId="47" xfId="2" applyNumberFormat="1" applyFont="1" applyBorder="1"/>
    <xf numFmtId="164" fontId="6" fillId="0" borderId="35" xfId="2" applyNumberFormat="1" applyFont="1" applyBorder="1"/>
    <xf numFmtId="9" fontId="6" fillId="0" borderId="47" xfId="3" applyFont="1" applyBorder="1"/>
    <xf numFmtId="10" fontId="0" fillId="0" borderId="58" xfId="0" applyNumberFormat="1" applyBorder="1"/>
    <xf numFmtId="0" fontId="0" fillId="0" borderId="51" xfId="0" applyBorder="1"/>
    <xf numFmtId="164" fontId="8" fillId="0" borderId="49" xfId="2" applyNumberFormat="1" applyFont="1" applyBorder="1"/>
    <xf numFmtId="164" fontId="8" fillId="0" borderId="52" xfId="2" applyNumberFormat="1" applyFont="1" applyBorder="1"/>
    <xf numFmtId="9" fontId="8" fillId="0" borderId="49" xfId="3" applyFont="1" applyBorder="1"/>
    <xf numFmtId="0" fontId="0" fillId="0" borderId="30" xfId="0" applyBorder="1"/>
    <xf numFmtId="0" fontId="0" fillId="0" borderId="71" xfId="0" applyBorder="1"/>
    <xf numFmtId="164" fontId="0" fillId="0" borderId="70" xfId="2" applyNumberFormat="1" applyFont="1" applyBorder="1"/>
    <xf numFmtId="164" fontId="0" fillId="0" borderId="16" xfId="2" applyNumberFormat="1" applyFont="1" applyBorder="1"/>
    <xf numFmtId="9" fontId="0" fillId="0" borderId="70" xfId="3" applyFont="1" applyBorder="1"/>
    <xf numFmtId="0" fontId="0" fillId="0" borderId="58" xfId="0" applyBorder="1"/>
    <xf numFmtId="164" fontId="6" fillId="0" borderId="48" xfId="0" applyNumberFormat="1" applyFont="1" applyBorder="1"/>
    <xf numFmtId="164" fontId="6" fillId="0" borderId="19" xfId="0" applyNumberFormat="1" applyFont="1" applyBorder="1"/>
    <xf numFmtId="165" fontId="19" fillId="3" borderId="18" xfId="1" applyNumberFormat="1" applyFont="1" applyFill="1" applyBorder="1" applyAlignment="1">
      <alignment horizontal="center" vertical="center" wrapText="1"/>
    </xf>
    <xf numFmtId="0" fontId="19" fillId="3" borderId="17" xfId="0" applyFont="1" applyFill="1" applyBorder="1" applyAlignment="1">
      <alignment horizontal="center" vertical="center" wrapText="1"/>
    </xf>
    <xf numFmtId="0" fontId="19" fillId="3" borderId="18" xfId="0" applyFont="1" applyFill="1" applyBorder="1" applyAlignment="1">
      <alignment horizontal="center" vertical="center" wrapText="1"/>
    </xf>
    <xf numFmtId="0" fontId="20" fillId="3" borderId="18" xfId="0" applyFont="1" applyFill="1" applyBorder="1" applyAlignment="1">
      <alignment horizontal="center" vertical="center" wrapText="1"/>
    </xf>
    <xf numFmtId="0" fontId="4" fillId="5" borderId="21" xfId="0" applyFont="1" applyFill="1" applyBorder="1"/>
    <xf numFmtId="0" fontId="21" fillId="13" borderId="81" xfId="0" applyFont="1" applyFill="1" applyBorder="1" applyAlignment="1">
      <alignment horizontal="center" vertical="center" wrapText="1"/>
    </xf>
    <xf numFmtId="0" fontId="21" fillId="13" borderId="82" xfId="0" applyFont="1" applyFill="1" applyBorder="1" applyAlignment="1">
      <alignment horizontal="center" vertical="center" wrapText="1"/>
    </xf>
    <xf numFmtId="0" fontId="21" fillId="13" borderId="83" xfId="0" applyFont="1" applyFill="1" applyBorder="1" applyAlignment="1">
      <alignment horizontal="center" vertical="center" wrapText="1"/>
    </xf>
    <xf numFmtId="0" fontId="0" fillId="0" borderId="36" xfId="0" applyBorder="1"/>
    <xf numFmtId="0" fontId="22" fillId="0" borderId="49" xfId="0" applyFont="1" applyBorder="1" applyAlignment="1">
      <alignment wrapText="1"/>
    </xf>
    <xf numFmtId="14" fontId="22" fillId="0" borderId="55" xfId="0" applyNumberFormat="1" applyFont="1" applyBorder="1" applyAlignment="1">
      <alignment wrapText="1"/>
    </xf>
    <xf numFmtId="3" fontId="22" fillId="0" borderId="55" xfId="0" applyNumberFormat="1" applyFont="1" applyBorder="1" applyAlignment="1">
      <alignment wrapText="1"/>
    </xf>
    <xf numFmtId="0" fontId="22" fillId="0" borderId="55" xfId="0" applyFont="1" applyBorder="1" applyAlignment="1">
      <alignment wrapText="1"/>
    </xf>
    <xf numFmtId="164" fontId="22" fillId="0" borderId="55" xfId="2" applyNumberFormat="1" applyFont="1" applyFill="1" applyBorder="1" applyAlignment="1">
      <alignment wrapText="1"/>
    </xf>
    <xf numFmtId="164" fontId="22" fillId="0" borderId="58" xfId="2" applyNumberFormat="1" applyFont="1" applyFill="1" applyBorder="1" applyAlignment="1">
      <alignment wrapText="1"/>
    </xf>
    <xf numFmtId="164" fontId="0" fillId="0" borderId="56" xfId="0" applyNumberFormat="1" applyBorder="1"/>
    <xf numFmtId="0" fontId="22" fillId="0" borderId="70" xfId="0" applyFont="1" applyBorder="1" applyAlignment="1">
      <alignment wrapText="1"/>
    </xf>
    <xf numFmtId="14" fontId="22" fillId="0" borderId="30" xfId="0" applyNumberFormat="1" applyFont="1" applyBorder="1" applyAlignment="1">
      <alignment wrapText="1"/>
    </xf>
    <xf numFmtId="3" fontId="22" fillId="0" borderId="30" xfId="0" applyNumberFormat="1" applyFont="1" applyBorder="1" applyAlignment="1">
      <alignment wrapText="1"/>
    </xf>
    <xf numFmtId="0" fontId="22" fillId="0" borderId="30" xfId="0" applyFont="1" applyBorder="1" applyAlignment="1">
      <alignment wrapText="1"/>
    </xf>
    <xf numFmtId="164" fontId="22" fillId="0" borderId="30" xfId="2" applyNumberFormat="1" applyFont="1" applyFill="1" applyBorder="1" applyAlignment="1">
      <alignment wrapText="1"/>
    </xf>
    <xf numFmtId="164" fontId="22" fillId="0" borderId="57" xfId="2" applyNumberFormat="1" applyFont="1" applyFill="1" applyBorder="1" applyAlignment="1">
      <alignment wrapText="1"/>
    </xf>
    <xf numFmtId="164" fontId="0" fillId="0" borderId="69" xfId="0" applyNumberFormat="1" applyBorder="1"/>
    <xf numFmtId="164" fontId="6" fillId="0" borderId="71" xfId="2" applyNumberFormat="1" applyFont="1" applyBorder="1"/>
    <xf numFmtId="0" fontId="0" fillId="0" borderId="84" xfId="0" applyBorder="1"/>
    <xf numFmtId="0" fontId="6" fillId="0" borderId="46" xfId="0" applyFont="1" applyBorder="1"/>
    <xf numFmtId="0" fontId="6" fillId="0" borderId="22" xfId="0" applyFont="1" applyBorder="1"/>
    <xf numFmtId="0" fontId="6" fillId="0" borderId="69" xfId="0" applyFont="1" applyBorder="1"/>
    <xf numFmtId="0" fontId="0" fillId="0" borderId="85" xfId="0" applyBorder="1"/>
    <xf numFmtId="0" fontId="0" fillId="0" borderId="46" xfId="0" applyBorder="1"/>
    <xf numFmtId="0" fontId="6" fillId="0" borderId="80" xfId="0" applyFont="1" applyBorder="1"/>
    <xf numFmtId="164" fontId="6" fillId="0" borderId="71" xfId="0" applyNumberFormat="1" applyFont="1" applyBorder="1"/>
    <xf numFmtId="164" fontId="0" fillId="0" borderId="0" xfId="2" applyNumberFormat="1" applyFont="1" applyBorder="1"/>
    <xf numFmtId="0" fontId="0" fillId="0" borderId="33" xfId="0" applyBorder="1"/>
    <xf numFmtId="0" fontId="0" fillId="0" borderId="34" xfId="0" applyBorder="1"/>
    <xf numFmtId="43" fontId="0" fillId="0" borderId="34" xfId="1" applyFont="1" applyBorder="1"/>
    <xf numFmtId="0" fontId="0" fillId="0" borderId="35" xfId="0" applyBorder="1"/>
    <xf numFmtId="165" fontId="6" fillId="0" borderId="34" xfId="1" applyNumberFormat="1" applyFont="1" applyBorder="1"/>
    <xf numFmtId="165" fontId="0" fillId="0" borderId="34" xfId="1" applyNumberFormat="1" applyFont="1" applyBorder="1"/>
    <xf numFmtId="0" fontId="0" fillId="0" borderId="49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4" fontId="0" fillId="0" borderId="55" xfId="2" applyNumberFormat="1" applyFont="1" applyBorder="1" applyAlignment="1">
      <alignment horizontal="center" vertical="center"/>
    </xf>
    <xf numFmtId="164" fontId="0" fillId="0" borderId="22" xfId="2" applyNumberFormat="1" applyFont="1" applyBorder="1" applyAlignment="1">
      <alignment horizontal="center" vertical="center"/>
    </xf>
    <xf numFmtId="164" fontId="0" fillId="0" borderId="56" xfId="2" applyNumberFormat="1" applyFont="1" applyBorder="1" applyAlignment="1">
      <alignment horizontal="center" vertical="center"/>
    </xf>
    <xf numFmtId="164" fontId="0" fillId="0" borderId="69" xfId="2" applyNumberFormat="1" applyFont="1" applyBorder="1" applyAlignment="1">
      <alignment horizontal="center" vertical="center"/>
    </xf>
    <xf numFmtId="0" fontId="0" fillId="11" borderId="60" xfId="0" applyFill="1" applyBorder="1" applyAlignment="1">
      <alignment horizontal="center"/>
    </xf>
    <xf numFmtId="0" fontId="0" fillId="11" borderId="48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7" xfId="0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0" fontId="0" fillId="0" borderId="69" xfId="0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64" fontId="0" fillId="0" borderId="69" xfId="0" applyNumberForma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64" fontId="6" fillId="0" borderId="22" xfId="0" applyNumberFormat="1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0" fontId="6" fillId="14" borderId="60" xfId="0" applyFont="1" applyFill="1" applyBorder="1" applyAlignment="1">
      <alignment horizontal="center"/>
    </xf>
    <xf numFmtId="0" fontId="6" fillId="14" borderId="48" xfId="0" applyFont="1" applyFill="1" applyBorder="1" applyAlignment="1">
      <alignment horizontal="center"/>
    </xf>
    <xf numFmtId="0" fontId="6" fillId="14" borderId="19" xfId="0" applyFont="1" applyFill="1" applyBorder="1" applyAlignment="1">
      <alignment horizontal="center"/>
    </xf>
    <xf numFmtId="0" fontId="0" fillId="0" borderId="72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6" fillId="0" borderId="59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69" xfId="0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6" fillId="0" borderId="56" xfId="0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6" fillId="0" borderId="55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7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79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0" fillId="0" borderId="46" xfId="0" applyBorder="1" applyAlignment="1">
      <alignment horizontal="center"/>
    </xf>
    <xf numFmtId="0" fontId="6" fillId="0" borderId="70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48" xfId="0" applyBorder="1" applyAlignment="1">
      <alignment horizontal="center"/>
    </xf>
    <xf numFmtId="0" fontId="6" fillId="0" borderId="60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0" borderId="55" xfId="0" applyFont="1" applyBorder="1" applyAlignment="1">
      <alignment horizontal="center"/>
    </xf>
    <xf numFmtId="0" fontId="6" fillId="0" borderId="56" xfId="0" applyFont="1" applyBorder="1" applyAlignment="1">
      <alignment horizontal="center"/>
    </xf>
    <xf numFmtId="6" fontId="0" fillId="2" borderId="58" xfId="2" applyNumberFormat="1" applyFont="1" applyFill="1" applyBorder="1" applyAlignment="1">
      <alignment horizontal="center" vertical="center"/>
    </xf>
    <xf numFmtId="6" fontId="0" fillId="2" borderId="50" xfId="2" applyNumberFormat="1" applyFont="1" applyFill="1" applyBorder="1" applyAlignment="1">
      <alignment horizontal="center" vertical="center"/>
    </xf>
    <xf numFmtId="6" fontId="0" fillId="2" borderId="52" xfId="2" applyNumberFormat="1" applyFont="1" applyFill="1" applyBorder="1" applyAlignment="1">
      <alignment horizontal="center" vertical="center"/>
    </xf>
    <xf numFmtId="6" fontId="0" fillId="2" borderId="31" xfId="2" applyNumberFormat="1" applyFont="1" applyFill="1" applyBorder="1" applyAlignment="1">
      <alignment horizontal="center" vertical="center"/>
    </xf>
    <xf numFmtId="6" fontId="0" fillId="2" borderId="11" xfId="2" applyNumberFormat="1" applyFont="1" applyFill="1" applyBorder="1" applyAlignment="1">
      <alignment horizontal="center" vertical="center"/>
    </xf>
    <xf numFmtId="6" fontId="0" fillId="2" borderId="12" xfId="2" applyNumberFormat="1" applyFont="1" applyFill="1" applyBorder="1" applyAlignment="1">
      <alignment horizontal="center" vertical="center"/>
    </xf>
    <xf numFmtId="6" fontId="0" fillId="2" borderId="59" xfId="2" applyNumberFormat="1" applyFont="1" applyFill="1" applyBorder="1" applyAlignment="1">
      <alignment horizontal="center" vertical="center"/>
    </xf>
    <xf numFmtId="6" fontId="0" fillId="2" borderId="34" xfId="2" applyNumberFormat="1" applyFont="1" applyFill="1" applyBorder="1" applyAlignment="1">
      <alignment horizontal="center" vertical="center"/>
    </xf>
    <xf numFmtId="6" fontId="0" fillId="2" borderId="35" xfId="2" applyNumberFormat="1" applyFont="1" applyFill="1" applyBorder="1" applyAlignment="1">
      <alignment horizontal="center" vertical="center"/>
    </xf>
    <xf numFmtId="6" fontId="0" fillId="2" borderId="53" xfId="2" applyNumberFormat="1" applyFont="1" applyFill="1" applyBorder="1" applyAlignment="1">
      <alignment horizontal="center" vertical="center"/>
    </xf>
    <xf numFmtId="6" fontId="0" fillId="2" borderId="13" xfId="2" applyNumberFormat="1" applyFont="1" applyFill="1" applyBorder="1" applyAlignment="1">
      <alignment horizontal="center" vertical="center"/>
    </xf>
    <xf numFmtId="164" fontId="0" fillId="2" borderId="10" xfId="2" applyNumberFormat="1" applyFont="1" applyFill="1" applyBorder="1" applyAlignment="1">
      <alignment horizontal="center"/>
    </xf>
    <xf numFmtId="164" fontId="0" fillId="2" borderId="13" xfId="2" applyNumberFormat="1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9" borderId="48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center"/>
    </xf>
    <xf numFmtId="164" fontId="0" fillId="2" borderId="12" xfId="2" applyNumberFormat="1" applyFont="1" applyFill="1" applyBorder="1" applyAlignment="1">
      <alignment horizontal="center"/>
    </xf>
    <xf numFmtId="164" fontId="0" fillId="2" borderId="11" xfId="2" applyNumberFormat="1" applyFont="1" applyFill="1" applyBorder="1" applyAlignment="1">
      <alignment horizontal="center" vertical="center"/>
    </xf>
    <xf numFmtId="164" fontId="0" fillId="2" borderId="21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center" vertical="center"/>
    </xf>
    <xf numFmtId="164" fontId="0" fillId="2" borderId="34" xfId="2" applyNumberFormat="1" applyFont="1" applyFill="1" applyBorder="1" applyAlignment="1">
      <alignment horizontal="center" vertical="center"/>
    </xf>
    <xf numFmtId="164" fontId="0" fillId="2" borderId="29" xfId="2" applyNumberFormat="1" applyFont="1" applyFill="1" applyBorder="1" applyAlignment="1">
      <alignment horizontal="center" vertical="center"/>
    </xf>
    <xf numFmtId="164" fontId="0" fillId="2" borderId="35" xfId="2" applyNumberFormat="1" applyFont="1" applyFill="1" applyBorder="1" applyAlignment="1">
      <alignment horizontal="center" vertical="center"/>
    </xf>
    <xf numFmtId="164" fontId="0" fillId="2" borderId="57" xfId="2" applyNumberFormat="1" applyFont="1" applyFill="1" applyBorder="1" applyAlignment="1">
      <alignment horizontal="center"/>
    </xf>
    <xf numFmtId="164" fontId="0" fillId="2" borderId="15" xfId="2" applyNumberFormat="1" applyFont="1" applyFill="1" applyBorder="1" applyAlignment="1">
      <alignment horizontal="center"/>
    </xf>
    <xf numFmtId="164" fontId="0" fillId="2" borderId="16" xfId="2" applyNumberFormat="1" applyFont="1" applyFill="1" applyBorder="1" applyAlignment="1">
      <alignment horizontal="center"/>
    </xf>
    <xf numFmtId="164" fontId="0" fillId="2" borderId="50" xfId="2" applyNumberFormat="1" applyFont="1" applyFill="1" applyBorder="1" applyAlignment="1">
      <alignment horizontal="center" vertical="center"/>
    </xf>
    <xf numFmtId="164" fontId="0" fillId="2" borderId="51" xfId="2" applyNumberFormat="1" applyFont="1" applyFill="1" applyBorder="1" applyAlignment="1">
      <alignment horizontal="center" vertical="center"/>
    </xf>
    <xf numFmtId="164" fontId="0" fillId="2" borderId="52" xfId="2" applyNumberFormat="1" applyFont="1" applyFill="1" applyBorder="1" applyAlignment="1">
      <alignment horizontal="center" vertical="center"/>
    </xf>
    <xf numFmtId="6" fontId="0" fillId="2" borderId="23" xfId="2" applyNumberFormat="1" applyFont="1" applyFill="1" applyBorder="1" applyAlignment="1">
      <alignment horizontal="center" vertical="center"/>
    </xf>
  </cellXfs>
  <cellStyles count="5">
    <cellStyle name="Comma" xfId="1" builtinId="3"/>
    <cellStyle name="Currency" xfId="2" builtinId="4"/>
    <cellStyle name="Normal" xfId="0" builtinId="0"/>
    <cellStyle name="Percent" xfId="3" builtinId="5"/>
    <cellStyle name="היפר-קישור" xfId="4" builtinId="8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457200</xdr:colOff>
      <xdr:row>33</xdr:row>
      <xdr:rowOff>38100</xdr:rowOff>
    </xdr:from>
    <xdr:to>
      <xdr:col>13</xdr:col>
      <xdr:colOff>292</xdr:colOff>
      <xdr:row>42</xdr:row>
      <xdr:rowOff>133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6AD018D-E4D1-EBAC-4438-94AB39C31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7421358" y="5762625"/>
          <a:ext cx="3372142" cy="15298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460484</xdr:colOff>
      <xdr:row>25</xdr:row>
      <xdr:rowOff>133350</xdr:rowOff>
    </xdr:from>
    <xdr:to>
      <xdr:col>25</xdr:col>
      <xdr:colOff>398172</xdr:colOff>
      <xdr:row>60</xdr:row>
      <xdr:rowOff>54280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15CC800C-F39D-406A-8E44-B9B0CC0C7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7821168" y="4853940"/>
          <a:ext cx="7444548" cy="5925490"/>
        </a:xfrm>
        <a:prstGeom prst="rect">
          <a:avLst/>
        </a:prstGeom>
      </xdr:spPr>
    </xdr:pic>
    <xdr:clientData/>
  </xdr:twoCellAnchor>
  <xdr:twoCellAnchor editAs="oneCell">
    <xdr:from>
      <xdr:col>3</xdr:col>
      <xdr:colOff>224790</xdr:colOff>
      <xdr:row>53</xdr:row>
      <xdr:rowOff>167640</xdr:rowOff>
    </xdr:from>
    <xdr:to>
      <xdr:col>10</xdr:col>
      <xdr:colOff>508523</xdr:colOff>
      <xdr:row>77</xdr:row>
      <xdr:rowOff>19604</xdr:rowOff>
    </xdr:to>
    <xdr:pic>
      <xdr:nvPicPr>
        <xdr:cNvPr id="4" name="תמונה 3">
          <a:extLst>
            <a:ext uri="{FF2B5EF4-FFF2-40B4-BE49-F238E27FC236}">
              <a16:creationId xmlns:a16="http://schemas.microsoft.com/office/drawing/2014/main" id="{B677C13D-8523-4920-B16E-92B1131C41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298"/>
        <a:stretch>
          <a:fillRect/>
        </a:stretch>
      </xdr:blipFill>
      <xdr:spPr>
        <a:xfrm>
          <a:off x="10918915170" y="9734550"/>
          <a:ext cx="6892290" cy="396295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ostil-my.sharepoint.com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Relationship Id="rId1" Type="http://schemas.openxmlformats.org/officeDocument/2006/relationships/externalLinkPath" Target="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תחשיב לפי שווי שומה (2)"/>
      <sheetName val="מ&quot;ר אקו' נחלה"/>
      <sheetName val="ניתוח איזור לעסקאות דמה"/>
      <sheetName val="חישוב גדלי בתים"/>
      <sheetName val="אזור עדיפות לאומית"/>
      <sheetName val="תבעות"/>
      <sheetName val="בקרה"/>
      <sheetName val="גיליון1"/>
    </sheetNames>
    <sheetDataSet>
      <sheetData sheetId="0">
        <row r="26">
          <cell r="B26">
            <v>1800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31AD8-2590-43E9-8254-0866976D2BC9}" name="טבלה2" displayName="טבלה2" ref="N7:N10" totalsRowShown="0">
  <autoFilter ref="N7:N10" xr:uid="{DA4A1B72-4432-47C7-953E-8ECD16EC9486}"/>
  <tableColumns count="1">
    <tableColumn id="1" xr3:uid="{46FA9493-ACF6-44D5-8DD2-BF404F7C306B}" name="חריגה מקו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apps.land.gov.il/councilDecis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E754-A9A3-4B42-BA31-68CF52DAF731}">
  <sheetPr>
    <pageSetUpPr fitToPage="1"/>
  </sheetPr>
  <dimension ref="A2:K43"/>
  <sheetViews>
    <sheetView rightToLeft="1" zoomScale="70" zoomScaleNormal="70" workbookViewId="0">
      <selection activeCell="I27" sqref="I27"/>
    </sheetView>
  </sheetViews>
  <sheetFormatPr defaultColWidth="8.69921875" defaultRowHeight="20.399999999999999" x14ac:dyDescent="0.35"/>
  <cols>
    <col min="1" max="1" width="35.796875" style="1" bestFit="1" customWidth="1"/>
    <col min="2" max="2" width="21.796875" style="1" bestFit="1" customWidth="1"/>
    <col min="3" max="3" width="21.69921875" style="1" bestFit="1" customWidth="1"/>
    <col min="4" max="4" width="23.3984375" style="1" customWidth="1"/>
    <col min="5" max="5" width="21.69921875" style="1" bestFit="1" customWidth="1"/>
    <col min="6" max="6" width="21.296875" style="1" customWidth="1"/>
    <col min="7" max="7" width="19.296875" style="1" bestFit="1" customWidth="1"/>
    <col min="8" max="8" width="23.09765625" style="1" customWidth="1"/>
    <col min="9" max="9" width="35.19921875" style="1" customWidth="1"/>
    <col min="10" max="10" width="21.796875" style="1" bestFit="1" customWidth="1"/>
    <col min="11" max="11" width="21.69921875" style="75" bestFit="1" customWidth="1"/>
    <col min="12" max="12" width="20" style="1" bestFit="1" customWidth="1"/>
    <col min="13" max="13" width="18.5" style="1" bestFit="1" customWidth="1"/>
    <col min="14" max="14" width="10.796875" style="1" bestFit="1" customWidth="1"/>
    <col min="15" max="16384" width="8.69921875" style="1"/>
  </cols>
  <sheetData>
    <row r="2" spans="1:11" x14ac:dyDescent="0.35">
      <c r="A2" s="1" t="s">
        <v>42</v>
      </c>
      <c r="B2" s="76">
        <f>'מ"ר אקו'' נחלה'!I14</f>
        <v>1194.2</v>
      </c>
      <c r="K2" s="1"/>
    </row>
    <row r="3" spans="1:11" x14ac:dyDescent="0.35">
      <c r="A3" s="1" t="s">
        <v>17</v>
      </c>
      <c r="B3" s="76">
        <f>'מ"ר אקו'' נחלה'!D14</f>
        <v>1144.2</v>
      </c>
      <c r="K3" s="1"/>
    </row>
    <row r="4" spans="1:11" x14ac:dyDescent="0.35">
      <c r="A4" s="1" t="s">
        <v>88</v>
      </c>
      <c r="B4" s="76">
        <f>'מ"ר אקו'' נחלה'!D28</f>
        <v>0</v>
      </c>
      <c r="K4" s="1"/>
    </row>
    <row r="5" spans="1:11" x14ac:dyDescent="0.35">
      <c r="A5" s="1" t="s">
        <v>194</v>
      </c>
      <c r="B5" s="76">
        <f>'מ"ר אקו'' נחלה'!D38</f>
        <v>13</v>
      </c>
      <c r="K5" s="1"/>
    </row>
    <row r="6" spans="1:11" x14ac:dyDescent="0.35">
      <c r="A6" s="1" t="s">
        <v>3</v>
      </c>
      <c r="B6" s="1">
        <f>'מ"ר אקו'' נחלה'!D70</f>
        <v>806.25</v>
      </c>
      <c r="F6" s="7"/>
      <c r="K6" s="1"/>
    </row>
    <row r="7" spans="1:11" x14ac:dyDescent="0.35">
      <c r="A7" s="1" t="s">
        <v>53</v>
      </c>
      <c r="B7" s="1">
        <f>'מ"ר אקו'' נחלה'!D57</f>
        <v>406.95000000000005</v>
      </c>
      <c r="C7" s="1" t="s">
        <v>54</v>
      </c>
      <c r="D7" s="75">
        <f>'מ"ר אקו'' נחלה'!I50</f>
        <v>245</v>
      </c>
      <c r="F7" s="75"/>
      <c r="K7" s="1"/>
    </row>
    <row r="8" spans="1:11" x14ac:dyDescent="0.35">
      <c r="A8" s="1" t="s">
        <v>12</v>
      </c>
      <c r="B8" s="129">
        <f>'ניתוח איזור לעסקאות דמה'!C7</f>
        <v>9000</v>
      </c>
      <c r="C8" s="1" t="s">
        <v>81</v>
      </c>
      <c r="D8" s="5">
        <v>2500</v>
      </c>
      <c r="F8" s="75"/>
      <c r="K8" s="1"/>
    </row>
    <row r="9" spans="1:11" x14ac:dyDescent="0.35">
      <c r="A9" s="3"/>
      <c r="B9" s="5"/>
      <c r="C9" s="1" t="s">
        <v>89</v>
      </c>
      <c r="D9" s="1" t="e">
        <f>'ניתוח איזור לעסקאות דמה'!#REF!</f>
        <v>#REF!</v>
      </c>
      <c r="E9" s="8">
        <v>1.17</v>
      </c>
    </row>
    <row r="10" spans="1:11" x14ac:dyDescent="0.35">
      <c r="B10" s="2" t="s">
        <v>0</v>
      </c>
      <c r="C10" s="4" t="s">
        <v>4</v>
      </c>
      <c r="D10" s="2" t="s">
        <v>1</v>
      </c>
      <c r="E10" s="2" t="s">
        <v>6</v>
      </c>
      <c r="F10" s="2" t="s">
        <v>2</v>
      </c>
      <c r="G10" s="2" t="s">
        <v>63</v>
      </c>
      <c r="J10" s="2"/>
    </row>
    <row r="11" spans="1:11" ht="21" x14ac:dyDescent="0.4">
      <c r="A11" s="77" t="s">
        <v>16</v>
      </c>
      <c r="B11" s="77">
        <f>B6</f>
        <v>806.25</v>
      </c>
      <c r="C11" s="78">
        <v>3.7499999999999999E-2</v>
      </c>
      <c r="D11" s="77">
        <f t="shared" ref="D11:D21" si="0">C11*B11</f>
        <v>30.234375</v>
      </c>
      <c r="E11" s="77">
        <v>1</v>
      </c>
      <c r="F11" s="79">
        <f>D11*$B$8*E11</f>
        <v>272109.375</v>
      </c>
      <c r="G11" s="75">
        <f>'מ"ר אקו'' נחלה'!D71*-3.75%</f>
        <v>-6562.5</v>
      </c>
      <c r="H11" s="88">
        <f>SUM(F11:G11)</f>
        <v>265546.875</v>
      </c>
      <c r="I11" s="9"/>
      <c r="J11" s="75"/>
    </row>
    <row r="12" spans="1:11" x14ac:dyDescent="0.35">
      <c r="A12" s="82" t="s">
        <v>59</v>
      </c>
      <c r="B12" s="114">
        <f>D7</f>
        <v>245</v>
      </c>
      <c r="C12" s="115">
        <v>0.29249999999999998</v>
      </c>
      <c r="D12" s="82">
        <f t="shared" si="0"/>
        <v>71.662499999999994</v>
      </c>
      <c r="E12" s="82">
        <v>1</v>
      </c>
      <c r="F12" s="84">
        <f>D12*$B$8*E12</f>
        <v>644962.5</v>
      </c>
      <c r="G12" s="75">
        <f>-'מ"ר אקו'' נחלה'!D58*C12</f>
        <v>-29250</v>
      </c>
      <c r="H12" s="6">
        <f>SUM(F12:G12)</f>
        <v>615712.5</v>
      </c>
      <c r="J12" s="87"/>
    </row>
    <row r="13" spans="1:11" x14ac:dyDescent="0.35">
      <c r="A13" s="82" t="s">
        <v>60</v>
      </c>
      <c r="B13" s="114">
        <f>B7-B12</f>
        <v>161.95000000000005</v>
      </c>
      <c r="C13" s="115">
        <v>0.33</v>
      </c>
      <c r="D13" s="82">
        <f t="shared" si="0"/>
        <v>53.443500000000014</v>
      </c>
      <c r="E13" s="82">
        <v>1</v>
      </c>
      <c r="F13" s="84">
        <f>D13*$B$8*E13</f>
        <v>480991.50000000012</v>
      </c>
      <c r="G13" s="87">
        <f>G12*53/245</f>
        <v>-6327.5510204081629</v>
      </c>
      <c r="H13" s="6">
        <f>SUM(F13:G13)</f>
        <v>474663.94897959195</v>
      </c>
      <c r="I13" s="9"/>
      <c r="J13" s="75"/>
    </row>
    <row r="14" spans="1:11" ht="21" x14ac:dyDescent="0.4">
      <c r="A14" s="111" t="s">
        <v>61</v>
      </c>
      <c r="B14" s="112">
        <f>SUM(B12:B13)</f>
        <v>406.95000000000005</v>
      </c>
      <c r="C14" s="113"/>
      <c r="D14" s="113"/>
      <c r="E14" s="113"/>
      <c r="F14" s="113">
        <f>SUM(F12:F13)</f>
        <v>1125954</v>
      </c>
      <c r="G14" s="116"/>
      <c r="H14" s="89">
        <f>SUM(H12:H13)</f>
        <v>1090376.448979592</v>
      </c>
      <c r="J14" s="75"/>
    </row>
    <row r="15" spans="1:11" ht="21" x14ac:dyDescent="0.4">
      <c r="A15" s="77" t="s">
        <v>7</v>
      </c>
      <c r="B15" s="77">
        <f>'מ"ר אקו'' נחלה'!I50</f>
        <v>245</v>
      </c>
      <c r="C15" s="80">
        <f>C35</f>
        <v>0.42499999999999999</v>
      </c>
      <c r="D15" s="77">
        <f>B15*C15</f>
        <v>104.125</v>
      </c>
      <c r="E15" s="77">
        <v>1</v>
      </c>
      <c r="F15" s="79">
        <f>D15*$B$8</f>
        <v>937125</v>
      </c>
      <c r="G15" s="9"/>
      <c r="J15" s="86"/>
    </row>
    <row r="16" spans="1:11" ht="21" x14ac:dyDescent="0.4">
      <c r="A16" s="77" t="s">
        <v>5</v>
      </c>
      <c r="B16" s="81">
        <f>B3+B4-B5</f>
        <v>1131.2</v>
      </c>
      <c r="C16" s="80">
        <v>0.33</v>
      </c>
      <c r="D16" s="77">
        <f t="shared" si="0"/>
        <v>373.29600000000005</v>
      </c>
      <c r="E16" s="77">
        <v>1</v>
      </c>
      <c r="F16" s="79">
        <f>D16*$B$8*E16</f>
        <v>3359664.0000000005</v>
      </c>
      <c r="G16" s="75">
        <f>-'מ"ר אקו'' נחלה'!D15*C16</f>
        <v>-81510</v>
      </c>
      <c r="H16" s="88">
        <f>SUM(F16:G16)</f>
        <v>3278154.0000000005</v>
      </c>
      <c r="J16" s="137"/>
    </row>
    <row r="17" spans="1:10" ht="21" x14ac:dyDescent="0.4">
      <c r="A17" s="1" t="s">
        <v>9</v>
      </c>
      <c r="B17" s="1">
        <v>1</v>
      </c>
      <c r="C17" s="7">
        <v>0.91</v>
      </c>
      <c r="D17" s="1">
        <f t="shared" si="0"/>
        <v>0.91</v>
      </c>
      <c r="E17" s="77">
        <v>1</v>
      </c>
      <c r="F17" s="5">
        <v>1486</v>
      </c>
      <c r="G17" s="9"/>
      <c r="I17" s="6"/>
      <c r="J17" s="6"/>
    </row>
    <row r="18" spans="1:10" ht="21" x14ac:dyDescent="0.4">
      <c r="A18" s="1" t="s">
        <v>10</v>
      </c>
      <c r="B18" s="1">
        <v>0.5</v>
      </c>
      <c r="C18" s="7">
        <v>0.91</v>
      </c>
      <c r="D18" s="1">
        <f t="shared" si="0"/>
        <v>0.45500000000000002</v>
      </c>
      <c r="E18" s="77">
        <v>1</v>
      </c>
      <c r="F18" s="5">
        <f>F17/2</f>
        <v>743</v>
      </c>
      <c r="G18" s="9" t="e">
        <f>F18*#REF!*5%*1.17</f>
        <v>#REF!</v>
      </c>
      <c r="I18" s="75"/>
      <c r="J18" s="75"/>
    </row>
    <row r="19" spans="1:10" ht="21" x14ac:dyDescent="0.4">
      <c r="A19" s="1" t="s">
        <v>11</v>
      </c>
      <c r="B19" s="1">
        <v>0.7</v>
      </c>
      <c r="C19" s="7">
        <v>0.91</v>
      </c>
      <c r="D19" s="1">
        <f t="shared" si="0"/>
        <v>0.63700000000000001</v>
      </c>
      <c r="E19" s="77">
        <v>1</v>
      </c>
      <c r="F19" s="5">
        <f>D19*$B$8*E19</f>
        <v>5733</v>
      </c>
      <c r="I19" s="75"/>
      <c r="J19" s="6"/>
    </row>
    <row r="20" spans="1:10" ht="21" x14ac:dyDescent="0.4">
      <c r="A20" s="82" t="s">
        <v>13</v>
      </c>
      <c r="B20" s="82">
        <v>7.4999999999999997E-2</v>
      </c>
      <c r="C20" s="83">
        <v>0.91</v>
      </c>
      <c r="D20" s="82">
        <f t="shared" si="0"/>
        <v>6.8250000000000005E-2</v>
      </c>
      <c r="E20" s="77">
        <v>1</v>
      </c>
      <c r="F20" s="84">
        <f>D20*$B$8*E20</f>
        <v>614.25</v>
      </c>
      <c r="G20" s="9"/>
      <c r="I20" s="6"/>
      <c r="J20" s="9"/>
    </row>
    <row r="21" spans="1:10" ht="21" x14ac:dyDescent="0.4">
      <c r="A21" s="1" t="s">
        <v>67</v>
      </c>
      <c r="B21" s="1">
        <v>1</v>
      </c>
      <c r="C21" s="7">
        <v>0.05</v>
      </c>
      <c r="D21" s="1">
        <f t="shared" si="0"/>
        <v>0.05</v>
      </c>
      <c r="E21" s="77">
        <v>1</v>
      </c>
      <c r="F21" s="5">
        <f>D21*$D$8*E21</f>
        <v>125</v>
      </c>
      <c r="I21" s="9"/>
    </row>
    <row r="22" spans="1:10" ht="21" x14ac:dyDescent="0.4">
      <c r="A22" s="1" t="s">
        <v>43</v>
      </c>
      <c r="B22" s="1">
        <v>0.3</v>
      </c>
      <c r="C22" s="7">
        <v>0.91</v>
      </c>
      <c r="D22" s="1">
        <f>C22*B22</f>
        <v>0.27300000000000002</v>
      </c>
      <c r="E22" s="77">
        <v>1</v>
      </c>
      <c r="F22" s="5">
        <f>D22*$B$8*E22</f>
        <v>2457</v>
      </c>
    </row>
    <row r="23" spans="1:10" ht="21" x14ac:dyDescent="0.4">
      <c r="A23" s="82" t="s">
        <v>82</v>
      </c>
      <c r="B23" s="82">
        <v>1</v>
      </c>
      <c r="C23" s="83">
        <v>0.91</v>
      </c>
      <c r="D23" s="82">
        <f>C23*B23</f>
        <v>0.91</v>
      </c>
      <c r="E23" s="77">
        <v>1</v>
      </c>
      <c r="F23" s="84">
        <f>E23*D23*$D$8</f>
        <v>2275</v>
      </c>
      <c r="I23" s="6"/>
    </row>
    <row r="24" spans="1:10" ht="21" x14ac:dyDescent="0.4">
      <c r="A24" s="1" t="s">
        <v>44</v>
      </c>
      <c r="B24" s="1">
        <v>1</v>
      </c>
      <c r="C24" s="7">
        <v>0.05</v>
      </c>
      <c r="D24" s="1">
        <f>C24*B24</f>
        <v>0.05</v>
      </c>
      <c r="E24" s="77">
        <v>1</v>
      </c>
      <c r="F24" s="5">
        <f>D24*E24*B8</f>
        <v>450</v>
      </c>
      <c r="I24" s="9"/>
    </row>
    <row r="25" spans="1:10" x14ac:dyDescent="0.35">
      <c r="C25" s="7"/>
      <c r="F25" s="5"/>
      <c r="J25" s="9"/>
    </row>
    <row r="26" spans="1:10" x14ac:dyDescent="0.35">
      <c r="C26" s="7"/>
      <c r="F26" s="5"/>
    </row>
    <row r="27" spans="1:10" x14ac:dyDescent="0.35">
      <c r="A27" s="1" t="s">
        <v>45</v>
      </c>
      <c r="B27" s="85"/>
      <c r="C27" s="8"/>
      <c r="D27" s="186"/>
      <c r="E27" s="186"/>
      <c r="F27" s="5"/>
      <c r="I27" s="75"/>
    </row>
    <row r="29" spans="1:10" x14ac:dyDescent="0.35">
      <c r="A29" s="2" t="s">
        <v>151</v>
      </c>
      <c r="C29" s="75"/>
    </row>
    <row r="30" spans="1:10" x14ac:dyDescent="0.35">
      <c r="A30" s="2"/>
      <c r="B30" s="2" t="s">
        <v>153</v>
      </c>
      <c r="C30" s="2" t="s">
        <v>21</v>
      </c>
      <c r="D30" s="2" t="s">
        <v>152</v>
      </c>
    </row>
    <row r="31" spans="1:10" x14ac:dyDescent="0.35">
      <c r="A31" s="1" t="s">
        <v>149</v>
      </c>
      <c r="B31" s="5">
        <f>'מ"ר אקו'' נחלה'!D57*'תחשיב לפי שווי שומה (2)'!$B$8</f>
        <v>3662550.0000000005</v>
      </c>
      <c r="C31" s="191">
        <v>1</v>
      </c>
      <c r="D31" s="6">
        <f>C31*$B$8</f>
        <v>9000</v>
      </c>
    </row>
    <row r="32" spans="1:10" x14ac:dyDescent="0.35">
      <c r="A32" s="1" t="s">
        <v>148</v>
      </c>
      <c r="B32" s="6">
        <f>350*$B$8*C32</f>
        <v>472500</v>
      </c>
      <c r="C32" s="191">
        <v>0.15</v>
      </c>
      <c r="D32" s="6">
        <f>C32*$B$8</f>
        <v>1350</v>
      </c>
    </row>
    <row r="33" spans="1:6" x14ac:dyDescent="0.35">
      <c r="C33" s="75"/>
    </row>
    <row r="34" spans="1:6" x14ac:dyDescent="0.35">
      <c r="A34" s="1" t="s">
        <v>146</v>
      </c>
      <c r="B34" s="6">
        <f>B31-B32</f>
        <v>3190050.0000000005</v>
      </c>
      <c r="C34" s="191">
        <f>C31-C32</f>
        <v>0.85</v>
      </c>
      <c r="D34" s="6">
        <f>C34*$B$8</f>
        <v>7650</v>
      </c>
    </row>
    <row r="35" spans="1:6" x14ac:dyDescent="0.35">
      <c r="A35" s="1" t="s">
        <v>147</v>
      </c>
      <c r="B35" s="6">
        <f>B34*50%</f>
        <v>1595025.0000000002</v>
      </c>
      <c r="C35" s="191">
        <f>C34*50%</f>
        <v>0.42499999999999999</v>
      </c>
      <c r="D35" s="6">
        <f>C35*$B$8</f>
        <v>3825</v>
      </c>
    </row>
    <row r="37" spans="1:6" x14ac:dyDescent="0.35">
      <c r="A37" s="2" t="s">
        <v>155</v>
      </c>
      <c r="C37" s="75"/>
    </row>
    <row r="38" spans="1:6" x14ac:dyDescent="0.35">
      <c r="A38" s="2"/>
      <c r="B38" s="2" t="s">
        <v>153</v>
      </c>
      <c r="C38" s="2" t="s">
        <v>21</v>
      </c>
      <c r="D38" s="2" t="s">
        <v>152</v>
      </c>
    </row>
    <row r="39" spans="1:6" x14ac:dyDescent="0.35">
      <c r="A39" s="1" t="s">
        <v>149</v>
      </c>
      <c r="B39" s="5">
        <f>'מ"ר אקו'' נחלה'!D57*'תחשיב לפי שווי שומה (2)'!$B$8</f>
        <v>3662550.0000000005</v>
      </c>
      <c r="C39" s="191">
        <v>1</v>
      </c>
      <c r="D39" s="6">
        <f>C39*$B$8</f>
        <v>9000</v>
      </c>
    </row>
    <row r="40" spans="1:6" x14ac:dyDescent="0.35">
      <c r="A40" s="1" t="s">
        <v>156</v>
      </c>
      <c r="B40" s="6">
        <f>B39*70%</f>
        <v>2563785</v>
      </c>
      <c r="C40" s="191">
        <v>0.7</v>
      </c>
      <c r="D40" s="6">
        <f>C40*$B$8</f>
        <v>6300</v>
      </c>
    </row>
    <row r="41" spans="1:6" x14ac:dyDescent="0.35">
      <c r="C41" s="75"/>
    </row>
    <row r="42" spans="1:6" x14ac:dyDescent="0.35">
      <c r="A42" s="1" t="s">
        <v>146</v>
      </c>
      <c r="B42" s="6">
        <f>B39-B40</f>
        <v>1098765.0000000005</v>
      </c>
      <c r="C42" s="191">
        <f>C39-C40</f>
        <v>0.30000000000000004</v>
      </c>
      <c r="D42" s="6">
        <f>C42*$B$8</f>
        <v>2700.0000000000005</v>
      </c>
      <c r="F42" s="6"/>
    </row>
    <row r="43" spans="1:6" x14ac:dyDescent="0.35">
      <c r="A43" s="1" t="s">
        <v>147</v>
      </c>
      <c r="B43" s="6">
        <f>B42*50%</f>
        <v>549382.50000000023</v>
      </c>
      <c r="C43" s="191">
        <f>C42*50%</f>
        <v>0.15000000000000002</v>
      </c>
      <c r="D43" s="6">
        <f>C43*$B$8</f>
        <v>1350.0000000000002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4F99-8337-4BBE-8963-9A92657C83C2}">
  <dimension ref="H8:O23"/>
  <sheetViews>
    <sheetView rightToLeft="1" workbookViewId="0">
      <selection activeCell="H29" sqref="H28:H29"/>
    </sheetView>
  </sheetViews>
  <sheetFormatPr defaultRowHeight="13.8" x14ac:dyDescent="0.25"/>
  <sheetData>
    <row r="8" spans="8:15" ht="14.4" thickBot="1" x14ac:dyDescent="0.3"/>
    <row r="9" spans="8:15" ht="14.4" thickBot="1" x14ac:dyDescent="0.3">
      <c r="H9" s="304" t="s">
        <v>201</v>
      </c>
      <c r="I9" s="305"/>
      <c r="J9" s="305"/>
      <c r="K9" s="305"/>
      <c r="L9" s="305"/>
      <c r="M9" s="305"/>
      <c r="N9" s="305"/>
      <c r="O9" s="306"/>
    </row>
    <row r="10" spans="8:15" x14ac:dyDescent="0.25">
      <c r="H10" s="307" t="s">
        <v>202</v>
      </c>
      <c r="I10" s="308"/>
      <c r="J10" s="307" t="s">
        <v>203</v>
      </c>
      <c r="K10" s="308"/>
      <c r="L10" s="311" t="s">
        <v>204</v>
      </c>
      <c r="M10" s="312"/>
      <c r="N10" s="307" t="s">
        <v>5</v>
      </c>
      <c r="O10" s="308"/>
    </row>
    <row r="11" spans="8:15" ht="14.4" thickBot="1" x14ac:dyDescent="0.3">
      <c r="H11" s="309"/>
      <c r="I11" s="310"/>
      <c r="J11" s="309"/>
      <c r="K11" s="310"/>
      <c r="L11" s="313"/>
      <c r="M11" s="314"/>
      <c r="N11" s="309"/>
      <c r="O11" s="310"/>
    </row>
    <row r="12" spans="8:15" x14ac:dyDescent="0.25">
      <c r="H12" s="296" t="s">
        <v>205</v>
      </c>
      <c r="I12" s="297"/>
      <c r="J12" s="300">
        <f>240000</f>
        <v>240000</v>
      </c>
      <c r="K12" s="300"/>
      <c r="L12" s="300">
        <f>240000</f>
        <v>240000</v>
      </c>
      <c r="M12" s="300"/>
      <c r="N12" s="300">
        <v>2700000</v>
      </c>
      <c r="O12" s="302"/>
    </row>
    <row r="13" spans="8:15" x14ac:dyDescent="0.25">
      <c r="H13" s="298"/>
      <c r="I13" s="299"/>
      <c r="J13" s="301"/>
      <c r="K13" s="301"/>
      <c r="L13" s="301"/>
      <c r="M13" s="301"/>
      <c r="N13" s="301"/>
      <c r="O13" s="303"/>
    </row>
    <row r="14" spans="8:15" x14ac:dyDescent="0.25">
      <c r="H14" s="298" t="s">
        <v>206</v>
      </c>
      <c r="I14" s="299"/>
      <c r="J14" s="301">
        <f>1000000</f>
        <v>1000000</v>
      </c>
      <c r="K14" s="301"/>
      <c r="L14" s="301">
        <v>1730000</v>
      </c>
      <c r="M14" s="301"/>
      <c r="N14" s="299" t="s">
        <v>207</v>
      </c>
      <c r="O14" s="315"/>
    </row>
    <row r="15" spans="8:15" x14ac:dyDescent="0.25">
      <c r="H15" s="298"/>
      <c r="I15" s="299"/>
      <c r="J15" s="301"/>
      <c r="K15" s="301"/>
      <c r="L15" s="301"/>
      <c r="M15" s="301"/>
      <c r="N15" s="299"/>
      <c r="O15" s="315"/>
    </row>
    <row r="16" spans="8:15" x14ac:dyDescent="0.25">
      <c r="H16" s="298" t="s">
        <v>208</v>
      </c>
      <c r="I16" s="299"/>
      <c r="J16" s="316">
        <f>(J14+J12)*0.06</f>
        <v>74400</v>
      </c>
      <c r="K16" s="316"/>
      <c r="L16" s="316">
        <f>(L14+L12)*0.06</f>
        <v>118200</v>
      </c>
      <c r="M16" s="316"/>
      <c r="N16" s="316">
        <f>N12*0.06</f>
        <v>162000</v>
      </c>
      <c r="O16" s="317"/>
    </row>
    <row r="17" spans="8:15" x14ac:dyDescent="0.25">
      <c r="H17" s="298"/>
      <c r="I17" s="299"/>
      <c r="J17" s="316"/>
      <c r="K17" s="316"/>
      <c r="L17" s="316"/>
      <c r="M17" s="316"/>
      <c r="N17" s="316"/>
      <c r="O17" s="317"/>
    </row>
    <row r="18" spans="8:15" x14ac:dyDescent="0.25">
      <c r="H18" s="298" t="s">
        <v>209</v>
      </c>
      <c r="I18" s="299"/>
      <c r="J18" s="299" t="s">
        <v>207</v>
      </c>
      <c r="K18" s="299"/>
      <c r="L18" s="316">
        <v>144000</v>
      </c>
      <c r="M18" s="316"/>
      <c r="N18" s="299" t="s">
        <v>207</v>
      </c>
      <c r="O18" s="315"/>
    </row>
    <row r="19" spans="8:15" x14ac:dyDescent="0.25">
      <c r="H19" s="298"/>
      <c r="I19" s="299"/>
      <c r="J19" s="299"/>
      <c r="K19" s="299"/>
      <c r="L19" s="316"/>
      <c r="M19" s="316"/>
      <c r="N19" s="299"/>
      <c r="O19" s="315"/>
    </row>
    <row r="20" spans="8:15" x14ac:dyDescent="0.25">
      <c r="H20" s="321" t="s">
        <v>8</v>
      </c>
      <c r="I20" s="322"/>
      <c r="J20" s="323">
        <f>SUM(J12:K19)</f>
        <v>1314400</v>
      </c>
      <c r="K20" s="322"/>
      <c r="L20" s="323">
        <f>SUM(L12:M19)</f>
        <v>2232200</v>
      </c>
      <c r="M20" s="322"/>
      <c r="N20" s="323">
        <f>SUM(N12:O19)</f>
        <v>2862000</v>
      </c>
      <c r="O20" s="324"/>
    </row>
    <row r="21" spans="8:15" x14ac:dyDescent="0.25">
      <c r="H21" s="321"/>
      <c r="I21" s="322"/>
      <c r="J21" s="322"/>
      <c r="K21" s="322"/>
      <c r="L21" s="322"/>
      <c r="M21" s="322"/>
      <c r="N21" s="322"/>
      <c r="O21" s="324"/>
    </row>
    <row r="22" spans="8:15" x14ac:dyDescent="0.25">
      <c r="H22" s="298" t="s">
        <v>210</v>
      </c>
      <c r="I22" s="299"/>
      <c r="J22" s="316">
        <v>500000</v>
      </c>
      <c r="K22" s="299"/>
      <c r="L22" s="316">
        <v>1500000</v>
      </c>
      <c r="M22" s="299"/>
      <c r="N22" s="299" t="s">
        <v>211</v>
      </c>
      <c r="O22" s="315"/>
    </row>
    <row r="23" spans="8:15" ht="14.4" thickBot="1" x14ac:dyDescent="0.3">
      <c r="H23" s="318"/>
      <c r="I23" s="319"/>
      <c r="J23" s="319"/>
      <c r="K23" s="319"/>
      <c r="L23" s="319"/>
      <c r="M23" s="319"/>
      <c r="N23" s="319"/>
      <c r="O23" s="320"/>
    </row>
  </sheetData>
  <mergeCells count="29">
    <mergeCell ref="H22:I23"/>
    <mergeCell ref="J22:K23"/>
    <mergeCell ref="L22:M23"/>
    <mergeCell ref="N22:O23"/>
    <mergeCell ref="H18:I19"/>
    <mergeCell ref="J18:K19"/>
    <mergeCell ref="L18:M19"/>
    <mergeCell ref="N18:O19"/>
    <mergeCell ref="H20:I21"/>
    <mergeCell ref="J20:K21"/>
    <mergeCell ref="L20:M21"/>
    <mergeCell ref="N20:O21"/>
    <mergeCell ref="H14:I15"/>
    <mergeCell ref="J14:K15"/>
    <mergeCell ref="L14:M15"/>
    <mergeCell ref="N14:O15"/>
    <mergeCell ref="H16:I17"/>
    <mergeCell ref="J16:K17"/>
    <mergeCell ref="L16:M17"/>
    <mergeCell ref="N16:O17"/>
    <mergeCell ref="H12:I13"/>
    <mergeCell ref="J12:K13"/>
    <mergeCell ref="L12:M13"/>
    <mergeCell ref="N12:O13"/>
    <mergeCell ref="H9:O9"/>
    <mergeCell ref="H10:I11"/>
    <mergeCell ref="J10:K11"/>
    <mergeCell ref="L10:M11"/>
    <mergeCell ref="N10:O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669D-3680-477B-A3B0-3365DE37FEF9}">
  <dimension ref="A1:Y95"/>
  <sheetViews>
    <sheetView rightToLeft="1" tabSelected="1" topLeftCell="A69" workbookViewId="0">
      <selection activeCell="H82" sqref="H82"/>
    </sheetView>
  </sheetViews>
  <sheetFormatPr defaultRowHeight="13.8" x14ac:dyDescent="0.25"/>
  <cols>
    <col min="1" max="1" width="20.09765625" customWidth="1"/>
    <col min="2" max="2" width="9.796875" bestFit="1" customWidth="1"/>
    <col min="3" max="3" width="6.59765625" customWidth="1"/>
    <col min="4" max="4" width="11.5" customWidth="1"/>
    <col min="6" max="6" width="19.3984375" bestFit="1" customWidth="1"/>
    <col min="7" max="7" width="12.3984375" bestFit="1" customWidth="1"/>
    <col min="10" max="10" width="9.796875" bestFit="1" customWidth="1"/>
    <col min="11" max="11" width="12.19921875" bestFit="1" customWidth="1"/>
    <col min="13" max="13" width="10.69921875" bestFit="1" customWidth="1"/>
    <col min="14" max="14" width="8.796875" customWidth="1"/>
    <col min="15" max="15" width="12.8984375" customWidth="1"/>
    <col min="18" max="18" width="8.796875" customWidth="1"/>
    <col min="19" max="19" width="9.796875" customWidth="1"/>
    <col min="20" max="20" width="13" bestFit="1" customWidth="1"/>
    <col min="21" max="21" width="12" customWidth="1"/>
    <col min="22" max="22" width="15.59765625" customWidth="1"/>
    <col min="23" max="23" width="11" customWidth="1"/>
    <col min="24" max="24" width="13.19921875" bestFit="1" customWidth="1"/>
    <col min="25" max="25" width="9.5" bestFit="1" customWidth="1"/>
  </cols>
  <sheetData>
    <row r="1" spans="1:10" ht="14.4" thickBot="1" x14ac:dyDescent="0.3"/>
    <row r="2" spans="1:10" x14ac:dyDescent="0.25">
      <c r="A2" s="10" t="s">
        <v>19</v>
      </c>
      <c r="B2" s="11">
        <v>2500</v>
      </c>
      <c r="C2" s="12" t="s">
        <v>126</v>
      </c>
      <c r="D2" s="13"/>
      <c r="F2" s="10" t="s">
        <v>19</v>
      </c>
      <c r="G2" s="11">
        <v>3000</v>
      </c>
      <c r="H2" s="12"/>
      <c r="I2" s="13"/>
    </row>
    <row r="3" spans="1:10" x14ac:dyDescent="0.25">
      <c r="A3" s="14"/>
      <c r="B3" s="15" t="s">
        <v>20</v>
      </c>
      <c r="C3" s="15" t="s">
        <v>21</v>
      </c>
      <c r="D3" s="16" t="s">
        <v>22</v>
      </c>
      <c r="F3" s="14"/>
      <c r="G3" s="15" t="s">
        <v>20</v>
      </c>
      <c r="H3" s="15" t="s">
        <v>21</v>
      </c>
      <c r="I3" s="16" t="s">
        <v>22</v>
      </c>
    </row>
    <row r="4" spans="1:10" x14ac:dyDescent="0.25">
      <c r="A4" s="18" t="s">
        <v>52</v>
      </c>
      <c r="B4" s="19">
        <v>655</v>
      </c>
      <c r="C4" s="20">
        <v>1</v>
      </c>
      <c r="D4" s="21">
        <f>C4*B4</f>
        <v>655</v>
      </c>
      <c r="F4" s="18" t="str">
        <f t="shared" ref="F4:H7" si="0">A4</f>
        <v>עיקרי</v>
      </c>
      <c r="G4" s="19">
        <f t="shared" si="0"/>
        <v>655</v>
      </c>
      <c r="H4" s="20">
        <f t="shared" si="0"/>
        <v>1</v>
      </c>
      <c r="I4" s="21">
        <f>H4*G4</f>
        <v>655</v>
      </c>
    </row>
    <row r="5" spans="1:10" x14ac:dyDescent="0.25">
      <c r="A5" s="18" t="s">
        <v>23</v>
      </c>
      <c r="B5" s="19">
        <v>36</v>
      </c>
      <c r="C5" s="20">
        <v>0.9</v>
      </c>
      <c r="D5" s="21">
        <f>C5*B5</f>
        <v>32.4</v>
      </c>
      <c r="F5" s="18" t="str">
        <f t="shared" si="0"/>
        <v>מרחבים מוגנים</v>
      </c>
      <c r="G5" s="19">
        <f t="shared" si="0"/>
        <v>36</v>
      </c>
      <c r="H5" s="20">
        <f t="shared" si="0"/>
        <v>0.9</v>
      </c>
      <c r="I5" s="21">
        <f>H5*G5</f>
        <v>32.4</v>
      </c>
    </row>
    <row r="6" spans="1:10" x14ac:dyDescent="0.25">
      <c r="A6" s="18" t="s">
        <v>93</v>
      </c>
      <c r="B6" s="19">
        <f>186-B5</f>
        <v>150</v>
      </c>
      <c r="C6" s="20">
        <v>0.5</v>
      </c>
      <c r="D6" s="21">
        <f>C6*B6</f>
        <v>75</v>
      </c>
      <c r="F6" s="18" t="str">
        <f t="shared" si="0"/>
        <v>יתרת ש"ש</v>
      </c>
      <c r="G6" s="19">
        <f t="shared" si="0"/>
        <v>150</v>
      </c>
      <c r="H6" s="20">
        <f t="shared" si="0"/>
        <v>0.5</v>
      </c>
      <c r="I6" s="21">
        <f>H6*G6</f>
        <v>75</v>
      </c>
    </row>
    <row r="7" spans="1:10" x14ac:dyDescent="0.25">
      <c r="A7" s="18"/>
      <c r="B7" s="19"/>
      <c r="C7" s="20">
        <v>0.5</v>
      </c>
      <c r="D7" s="21">
        <f>C7*B7</f>
        <v>0</v>
      </c>
      <c r="F7" s="18">
        <f t="shared" si="0"/>
        <v>0</v>
      </c>
      <c r="G7" s="19">
        <f t="shared" si="0"/>
        <v>0</v>
      </c>
      <c r="H7" s="20">
        <f t="shared" si="0"/>
        <v>0.5</v>
      </c>
      <c r="I7" s="21">
        <f>H7*G7</f>
        <v>0</v>
      </c>
    </row>
    <row r="8" spans="1:10" x14ac:dyDescent="0.25">
      <c r="A8" s="22" t="s">
        <v>24</v>
      </c>
      <c r="B8" s="23">
        <f>SUM(B4:B7)</f>
        <v>841</v>
      </c>
      <c r="C8" s="24"/>
      <c r="D8" s="25"/>
      <c r="E8" s="91"/>
      <c r="F8" s="22" t="s">
        <v>24</v>
      </c>
      <c r="G8" s="23">
        <f>SUM(G4:G7)</f>
        <v>841</v>
      </c>
      <c r="H8" s="24"/>
      <c r="I8" s="25"/>
    </row>
    <row r="9" spans="1:10" x14ac:dyDescent="0.25">
      <c r="A9" s="26" t="s">
        <v>25</v>
      </c>
      <c r="B9" s="27">
        <f>B2-B8</f>
        <v>1659</v>
      </c>
      <c r="C9" s="28"/>
      <c r="D9" s="29"/>
      <c r="F9" s="26" t="s">
        <v>25</v>
      </c>
      <c r="G9" s="27">
        <f>G2-G8</f>
        <v>2159</v>
      </c>
      <c r="H9" s="28"/>
      <c r="I9" s="29"/>
    </row>
    <row r="10" spans="1:10" x14ac:dyDescent="0.25">
      <c r="A10" s="22" t="s">
        <v>26</v>
      </c>
      <c r="B10" s="23">
        <v>1000</v>
      </c>
      <c r="C10" s="24">
        <v>0.25</v>
      </c>
      <c r="D10" s="25">
        <f>C10*B10</f>
        <v>250</v>
      </c>
      <c r="F10" s="22" t="s">
        <v>26</v>
      </c>
      <c r="G10" s="23">
        <f>B10</f>
        <v>1000</v>
      </c>
      <c r="H10" s="24">
        <v>0.25</v>
      </c>
      <c r="I10" s="25">
        <f>H10*G10</f>
        <v>250</v>
      </c>
    </row>
    <row r="11" spans="1:10" x14ac:dyDescent="0.25">
      <c r="A11" s="18" t="s">
        <v>27</v>
      </c>
      <c r="B11" s="19">
        <f>B9-B10</f>
        <v>659</v>
      </c>
      <c r="C11" s="20">
        <v>0.2</v>
      </c>
      <c r="D11" s="21">
        <f>C11*B11</f>
        <v>131.80000000000001</v>
      </c>
      <c r="F11" s="18" t="s">
        <v>27</v>
      </c>
      <c r="G11" s="19">
        <f>B11</f>
        <v>659</v>
      </c>
      <c r="H11" s="20">
        <v>0.2</v>
      </c>
      <c r="I11" s="21">
        <f>H11*G11</f>
        <v>131.80000000000001</v>
      </c>
    </row>
    <row r="12" spans="1:10" x14ac:dyDescent="0.25">
      <c r="A12" s="18"/>
      <c r="B12" s="19"/>
      <c r="C12" s="20"/>
      <c r="D12" s="21"/>
      <c r="F12" s="18" t="s">
        <v>68</v>
      </c>
      <c r="G12" s="19">
        <v>500</v>
      </c>
      <c r="H12" s="20">
        <v>0.1</v>
      </c>
      <c r="I12" s="21">
        <f>G12*H12</f>
        <v>50</v>
      </c>
    </row>
    <row r="13" spans="1:10" x14ac:dyDescent="0.25">
      <c r="A13" s="30" t="s">
        <v>28</v>
      </c>
      <c r="B13" s="31">
        <f>SUM(B4:B11)</f>
        <v>5000</v>
      </c>
      <c r="C13" s="32"/>
      <c r="D13" s="33">
        <f>SUM(D4:D12)</f>
        <v>1144.2</v>
      </c>
      <c r="F13" s="30" t="s">
        <v>28</v>
      </c>
      <c r="G13" s="31">
        <f>SUM(G4:G11)</f>
        <v>5500</v>
      </c>
      <c r="H13" s="32"/>
      <c r="I13" s="33">
        <f>SUM(I4:I12)</f>
        <v>1194.2</v>
      </c>
      <c r="J13" s="74"/>
    </row>
    <row r="14" spans="1:10" ht="14.4" thickBot="1" x14ac:dyDescent="0.3">
      <c r="A14" s="34" t="s">
        <v>29</v>
      </c>
      <c r="B14" s="35"/>
      <c r="C14" s="36"/>
      <c r="D14" s="37">
        <f>D13</f>
        <v>1144.2</v>
      </c>
      <c r="E14" s="72"/>
      <c r="F14" s="34" t="s">
        <v>29</v>
      </c>
      <c r="G14" s="35"/>
      <c r="H14" s="36"/>
      <c r="I14" s="37">
        <f>I13</f>
        <v>1194.2</v>
      </c>
    </row>
    <row r="15" spans="1:10" x14ac:dyDescent="0.25">
      <c r="A15" t="s">
        <v>62</v>
      </c>
      <c r="D15" s="17">
        <v>247000</v>
      </c>
      <c r="F15" t="s">
        <v>62</v>
      </c>
      <c r="I15" s="17">
        <v>263000</v>
      </c>
    </row>
    <row r="16" spans="1:10" ht="14.4" thickBot="1" x14ac:dyDescent="0.3">
      <c r="D16" s="17"/>
      <c r="I16" s="17"/>
    </row>
    <row r="17" spans="1:9" x14ac:dyDescent="0.25">
      <c r="A17" s="10" t="s">
        <v>65</v>
      </c>
      <c r="B17" s="11">
        <v>2500</v>
      </c>
      <c r="C17" s="12" t="s">
        <v>94</v>
      </c>
      <c r="D17" s="13"/>
      <c r="I17" s="17"/>
    </row>
    <row r="18" spans="1:9" x14ac:dyDescent="0.25">
      <c r="A18" s="14"/>
      <c r="B18" s="15" t="s">
        <v>20</v>
      </c>
      <c r="C18" s="15" t="s">
        <v>21</v>
      </c>
      <c r="D18" s="16" t="s">
        <v>22</v>
      </c>
      <c r="I18" s="17"/>
    </row>
    <row r="19" spans="1:9" x14ac:dyDescent="0.25">
      <c r="A19" s="18" t="s">
        <v>52</v>
      </c>
      <c r="B19" s="19">
        <v>85</v>
      </c>
      <c r="C19" s="20">
        <v>1</v>
      </c>
      <c r="D19" s="21">
        <f>C19*B19</f>
        <v>85</v>
      </c>
      <c r="I19" s="17"/>
    </row>
    <row r="20" spans="1:9" x14ac:dyDescent="0.25">
      <c r="A20" s="18" t="s">
        <v>64</v>
      </c>
      <c r="B20" s="19">
        <v>12</v>
      </c>
      <c r="C20" s="20">
        <v>0.9</v>
      </c>
      <c r="D20" s="21">
        <f>C20*B20</f>
        <v>10.8</v>
      </c>
      <c r="I20" s="17"/>
    </row>
    <row r="21" spans="1:9" x14ac:dyDescent="0.25">
      <c r="A21" s="18" t="s">
        <v>95</v>
      </c>
      <c r="B21" s="19">
        <v>47.5</v>
      </c>
      <c r="C21" s="20">
        <v>0.5</v>
      </c>
      <c r="D21" s="21">
        <f>C21*B21</f>
        <v>23.75</v>
      </c>
      <c r="I21" s="17"/>
    </row>
    <row r="22" spans="1:9" x14ac:dyDescent="0.25">
      <c r="A22" s="18" t="s">
        <v>96</v>
      </c>
      <c r="B22" s="19">
        <v>180</v>
      </c>
      <c r="C22" s="20">
        <v>0.3</v>
      </c>
      <c r="D22" s="21">
        <f>C22*B22</f>
        <v>54</v>
      </c>
      <c r="I22" s="17"/>
    </row>
    <row r="23" spans="1:9" x14ac:dyDescent="0.25">
      <c r="A23" s="18"/>
      <c r="B23" s="19"/>
      <c r="C23" s="20"/>
      <c r="D23" s="21"/>
      <c r="I23" s="17"/>
    </row>
    <row r="24" spans="1:9" x14ac:dyDescent="0.25">
      <c r="A24" s="18"/>
      <c r="B24" s="19"/>
      <c r="C24" s="20"/>
      <c r="D24" s="21"/>
      <c r="H24">
        <f>876+73</f>
        <v>949</v>
      </c>
      <c r="I24" s="17"/>
    </row>
    <row r="25" spans="1:9" x14ac:dyDescent="0.25">
      <c r="A25" s="22" t="s">
        <v>66</v>
      </c>
      <c r="B25" s="23">
        <v>-145</v>
      </c>
      <c r="C25" s="24">
        <v>0.2</v>
      </c>
      <c r="D25" s="25">
        <f>B25*C25</f>
        <v>-29</v>
      </c>
      <c r="H25">
        <f>H24+137</f>
        <v>1086</v>
      </c>
      <c r="I25" s="17"/>
    </row>
    <row r="26" spans="1:9" x14ac:dyDescent="0.25">
      <c r="A26" s="18"/>
      <c r="B26" s="19"/>
      <c r="C26" s="20"/>
      <c r="D26" s="21"/>
      <c r="I26" s="17"/>
    </row>
    <row r="27" spans="1:9" x14ac:dyDescent="0.25">
      <c r="A27" s="30" t="s">
        <v>85</v>
      </c>
      <c r="B27" s="31"/>
      <c r="C27" s="32"/>
      <c r="D27" s="33"/>
      <c r="I27" s="17"/>
    </row>
    <row r="28" spans="1:9" ht="14.4" thickBot="1" x14ac:dyDescent="0.3">
      <c r="A28" s="34" t="s">
        <v>29</v>
      </c>
      <c r="B28" s="35"/>
      <c r="C28" s="36"/>
      <c r="D28" s="37">
        <v>0</v>
      </c>
      <c r="I28" s="17"/>
    </row>
    <row r="29" spans="1:9" ht="14.4" thickBot="1" x14ac:dyDescent="0.3">
      <c r="D29" s="17"/>
      <c r="I29" s="17"/>
    </row>
    <row r="30" spans="1:9" ht="14.4" thickBot="1" x14ac:dyDescent="0.3">
      <c r="A30" s="325" t="s">
        <v>194</v>
      </c>
      <c r="B30" s="326"/>
      <c r="C30" s="326"/>
      <c r="D30" s="327"/>
      <c r="I30" s="17"/>
    </row>
    <row r="31" spans="1:9" x14ac:dyDescent="0.25">
      <c r="A31" s="214" t="s">
        <v>195</v>
      </c>
      <c r="B31" s="12"/>
      <c r="C31" s="12"/>
      <c r="D31" s="215">
        <v>0</v>
      </c>
      <c r="I31" s="17"/>
    </row>
    <row r="32" spans="1:9" x14ac:dyDescent="0.25">
      <c r="A32" s="18" t="s">
        <v>196</v>
      </c>
      <c r="D32" s="216">
        <v>160</v>
      </c>
      <c r="I32" s="17"/>
    </row>
    <row r="33" spans="1:25" ht="14.4" thickBot="1" x14ac:dyDescent="0.3">
      <c r="A33" s="101" t="s">
        <v>197</v>
      </c>
      <c r="B33" s="103"/>
      <c r="C33" s="103"/>
      <c r="D33" s="217">
        <v>0</v>
      </c>
      <c r="I33" s="17"/>
    </row>
    <row r="34" spans="1:25" x14ac:dyDescent="0.25">
      <c r="A34" s="10" t="s">
        <v>198</v>
      </c>
      <c r="B34" s="12"/>
      <c r="C34" s="12"/>
      <c r="D34" s="215">
        <v>173</v>
      </c>
      <c r="I34" s="17"/>
    </row>
    <row r="35" spans="1:25" x14ac:dyDescent="0.25">
      <c r="A35" s="18" t="s">
        <v>196</v>
      </c>
      <c r="D35" s="216">
        <v>160</v>
      </c>
      <c r="I35" s="17"/>
    </row>
    <row r="36" spans="1:25" ht="14.4" thickBot="1" x14ac:dyDescent="0.3">
      <c r="A36" s="101" t="s">
        <v>197</v>
      </c>
      <c r="B36" s="103"/>
      <c r="C36" s="103"/>
      <c r="D36" s="217">
        <f>D34-D35</f>
        <v>13</v>
      </c>
      <c r="I36" s="17"/>
    </row>
    <row r="37" spans="1:25" ht="14.4" thickBot="1" x14ac:dyDescent="0.3">
      <c r="A37" s="18"/>
      <c r="D37" s="216"/>
      <c r="I37" s="17"/>
    </row>
    <row r="38" spans="1:25" ht="14.4" thickBot="1" x14ac:dyDescent="0.3">
      <c r="A38" s="218" t="s">
        <v>199</v>
      </c>
      <c r="B38" s="219"/>
      <c r="C38" s="219"/>
      <c r="D38" s="220">
        <f>D36+D33</f>
        <v>13</v>
      </c>
      <c r="I38" s="17"/>
    </row>
    <row r="39" spans="1:25" x14ac:dyDescent="0.25">
      <c r="D39" s="17"/>
      <c r="I39" s="17"/>
    </row>
    <row r="40" spans="1:25" x14ac:dyDescent="0.25">
      <c r="D40" s="17"/>
      <c r="I40" s="17"/>
    </row>
    <row r="41" spans="1:25" x14ac:dyDescent="0.25">
      <c r="A41" t="s">
        <v>200</v>
      </c>
      <c r="D41" s="17">
        <f>D14+D28-D38</f>
        <v>1131.2</v>
      </c>
      <c r="I41" s="17"/>
    </row>
    <row r="42" spans="1:25" x14ac:dyDescent="0.25">
      <c r="D42" s="17"/>
      <c r="I42" s="17"/>
    </row>
    <row r="43" spans="1:25" x14ac:dyDescent="0.25">
      <c r="D43" s="17"/>
      <c r="I43" s="17"/>
    </row>
    <row r="44" spans="1:25" x14ac:dyDescent="0.25">
      <c r="D44" s="17"/>
      <c r="I44" s="17"/>
    </row>
    <row r="45" spans="1:25" ht="14.4" thickBot="1" x14ac:dyDescent="0.3">
      <c r="D45" s="17"/>
      <c r="I45" s="17"/>
    </row>
    <row r="46" spans="1:25" ht="14.4" thickBot="1" x14ac:dyDescent="0.3">
      <c r="A46" s="39" t="s">
        <v>154</v>
      </c>
      <c r="O46" s="221" t="s">
        <v>212</v>
      </c>
      <c r="P46" s="222" t="s">
        <v>213</v>
      </c>
      <c r="Q46" s="222" t="s">
        <v>214</v>
      </c>
      <c r="R46" s="222" t="s">
        <v>215</v>
      </c>
      <c r="S46" s="223" t="s">
        <v>216</v>
      </c>
      <c r="T46" s="221" t="s">
        <v>217</v>
      </c>
      <c r="U46" s="224" t="s">
        <v>218</v>
      </c>
      <c r="V46" s="221" t="s">
        <v>219</v>
      </c>
      <c r="W46" s="224" t="s">
        <v>220</v>
      </c>
      <c r="X46" s="221" t="s">
        <v>219</v>
      </c>
      <c r="Y46" s="224" t="s">
        <v>208</v>
      </c>
    </row>
    <row r="47" spans="1:25" x14ac:dyDescent="0.25">
      <c r="A47" s="10" t="s">
        <v>48</v>
      </c>
      <c r="B47" s="99">
        <v>822</v>
      </c>
      <c r="C47" s="12" t="s">
        <v>70</v>
      </c>
      <c r="D47" s="13"/>
      <c r="F47" s="10" t="s">
        <v>55</v>
      </c>
      <c r="G47" s="12"/>
      <c r="H47" s="12"/>
      <c r="I47" s="13"/>
      <c r="J47" t="s">
        <v>58</v>
      </c>
      <c r="O47" s="328" t="s">
        <v>221</v>
      </c>
      <c r="P47" s="225" t="s">
        <v>14</v>
      </c>
      <c r="Q47" s="225">
        <v>300</v>
      </c>
      <c r="R47" s="225">
        <v>160</v>
      </c>
      <c r="S47" s="226">
        <f>Q47-R47</f>
        <v>140</v>
      </c>
      <c r="T47" s="227">
        <v>3000</v>
      </c>
      <c r="U47" s="228">
        <f>S47*T47</f>
        <v>420000</v>
      </c>
      <c r="V47" s="227">
        <v>0</v>
      </c>
      <c r="W47" s="228">
        <f>S47*V47</f>
        <v>0</v>
      </c>
      <c r="X47" s="229">
        <v>0</v>
      </c>
      <c r="Y47" s="228">
        <v>0</v>
      </c>
    </row>
    <row r="48" spans="1:25" x14ac:dyDescent="0.25">
      <c r="A48" s="22" t="s">
        <v>49</v>
      </c>
      <c r="B48" s="40">
        <v>220</v>
      </c>
      <c r="C48" s="24">
        <v>1</v>
      </c>
      <c r="D48" s="25">
        <f t="shared" ref="D48:D54" si="1">B48*C48</f>
        <v>220</v>
      </c>
      <c r="F48" s="18" t="str">
        <f>A48</f>
        <v>מגורים עיקרי בהרחבה</v>
      </c>
      <c r="G48">
        <v>160</v>
      </c>
      <c r="H48">
        <v>1</v>
      </c>
      <c r="I48" s="21">
        <f>G48*H48</f>
        <v>160</v>
      </c>
      <c r="J48" s="17"/>
      <c r="K48" s="17"/>
      <c r="O48" s="330"/>
      <c r="P48" s="230" t="s">
        <v>15</v>
      </c>
      <c r="Q48" s="230">
        <v>197</v>
      </c>
      <c r="R48" s="230">
        <v>160</v>
      </c>
      <c r="S48" s="231">
        <f>Q48-R48</f>
        <v>37</v>
      </c>
      <c r="T48" s="232">
        <v>3000</v>
      </c>
      <c r="U48" s="233">
        <f>S48*T48</f>
        <v>111000</v>
      </c>
      <c r="V48" s="232">
        <v>0</v>
      </c>
      <c r="W48" s="233">
        <v>0</v>
      </c>
      <c r="X48" s="234">
        <v>0</v>
      </c>
      <c r="Y48" s="233">
        <v>0</v>
      </c>
    </row>
    <row r="49" spans="1:25" x14ac:dyDescent="0.25">
      <c r="A49" s="18" t="s">
        <v>291</v>
      </c>
      <c r="B49" s="19">
        <v>12</v>
      </c>
      <c r="C49" s="20">
        <v>0.9</v>
      </c>
      <c r="D49" s="21">
        <f t="shared" si="1"/>
        <v>10.8</v>
      </c>
      <c r="F49" s="18" t="s">
        <v>50</v>
      </c>
      <c r="G49" s="91">
        <f>500-G48</f>
        <v>340</v>
      </c>
      <c r="H49">
        <v>0.25</v>
      </c>
      <c r="I49" s="21">
        <f>G49*H49</f>
        <v>85</v>
      </c>
      <c r="J49" s="17"/>
      <c r="K49" s="17"/>
      <c r="O49" s="330"/>
      <c r="P49" s="230" t="s">
        <v>222</v>
      </c>
      <c r="Q49" s="230">
        <v>130</v>
      </c>
      <c r="R49" s="230">
        <v>0</v>
      </c>
      <c r="S49" s="231">
        <f>Q49-R49</f>
        <v>130</v>
      </c>
      <c r="T49" s="232">
        <v>3000</v>
      </c>
      <c r="U49" s="233">
        <f>S49*T49</f>
        <v>390000</v>
      </c>
      <c r="V49" s="232">
        <v>0</v>
      </c>
      <c r="W49" s="233">
        <v>0</v>
      </c>
      <c r="X49" s="234">
        <v>0</v>
      </c>
      <c r="Y49" s="233">
        <v>0</v>
      </c>
    </row>
    <row r="50" spans="1:25" ht="14.4" thickBot="1" x14ac:dyDescent="0.3">
      <c r="A50" s="18" t="s">
        <v>280</v>
      </c>
      <c r="B50" s="19">
        <v>49</v>
      </c>
      <c r="C50" s="20">
        <v>0.5</v>
      </c>
      <c r="D50" s="21">
        <f t="shared" si="1"/>
        <v>24.5</v>
      </c>
      <c r="F50" s="43" t="s">
        <v>56</v>
      </c>
      <c r="G50" s="108"/>
      <c r="H50" s="108"/>
      <c r="I50" s="109">
        <f>I48+I49</f>
        <v>245</v>
      </c>
      <c r="J50" s="17">
        <v>9300</v>
      </c>
      <c r="K50" s="17">
        <f>I50*J50</f>
        <v>2278500</v>
      </c>
      <c r="L50" s="110">
        <v>0.29249999999999998</v>
      </c>
      <c r="M50" s="91">
        <f>K50*L50</f>
        <v>666461.25</v>
      </c>
      <c r="O50" s="330"/>
      <c r="P50" s="235" t="s">
        <v>223</v>
      </c>
      <c r="Q50" s="235">
        <v>55</v>
      </c>
      <c r="R50" s="235">
        <v>0</v>
      </c>
      <c r="S50" s="236">
        <f>Q50-R50</f>
        <v>55</v>
      </c>
      <c r="T50" s="237">
        <v>3000</v>
      </c>
      <c r="U50" s="238">
        <f>S50*T50</f>
        <v>165000</v>
      </c>
      <c r="V50" s="237">
        <v>0</v>
      </c>
      <c r="W50" s="238">
        <v>0</v>
      </c>
      <c r="X50" s="239">
        <v>0</v>
      </c>
      <c r="Y50" s="238">
        <v>0</v>
      </c>
    </row>
    <row r="51" spans="1:25" ht="15" thickTop="1" thickBot="1" x14ac:dyDescent="0.3">
      <c r="A51" s="18" t="s">
        <v>281</v>
      </c>
      <c r="B51" s="19">
        <v>100</v>
      </c>
      <c r="C51" s="20">
        <v>0.4</v>
      </c>
      <c r="D51" s="21">
        <f t="shared" si="1"/>
        <v>40</v>
      </c>
      <c r="F51" s="101" t="s">
        <v>57</v>
      </c>
      <c r="G51" s="103"/>
      <c r="H51" s="103"/>
      <c r="I51" s="104">
        <f>D57-I50</f>
        <v>161.95000000000005</v>
      </c>
      <c r="J51" s="17">
        <f>J50</f>
        <v>9300</v>
      </c>
      <c r="K51" s="17">
        <f>I51*J51</f>
        <v>1506135.0000000005</v>
      </c>
      <c r="L51" s="110">
        <v>0.33</v>
      </c>
      <c r="M51" s="91">
        <f>K51*L51</f>
        <v>497024.55000000016</v>
      </c>
      <c r="O51" s="329"/>
      <c r="P51" s="331" t="s">
        <v>8</v>
      </c>
      <c r="Q51" s="332"/>
      <c r="R51" s="333"/>
      <c r="S51" s="240">
        <f>SUM(S47:S50)</f>
        <v>362</v>
      </c>
      <c r="T51" s="241">
        <v>3000</v>
      </c>
      <c r="U51" s="242">
        <f>SUM(U47:U50)</f>
        <v>1086000</v>
      </c>
      <c r="V51" s="241">
        <v>0</v>
      </c>
      <c r="W51" s="242">
        <v>0</v>
      </c>
      <c r="X51" s="243">
        <v>0</v>
      </c>
      <c r="Y51" s="242">
        <v>0</v>
      </c>
    </row>
    <row r="52" spans="1:25" x14ac:dyDescent="0.25">
      <c r="A52" s="18" t="s">
        <v>282</v>
      </c>
      <c r="B52" s="19">
        <f>B47*30%</f>
        <v>246.6</v>
      </c>
      <c r="C52" s="20">
        <v>0</v>
      </c>
      <c r="D52" s="21">
        <f t="shared" si="1"/>
        <v>0</v>
      </c>
      <c r="J52" s="72"/>
      <c r="M52" s="91">
        <f>SUM(M50:M51)</f>
        <v>1163485.8000000003</v>
      </c>
      <c r="O52" s="296" t="s">
        <v>224</v>
      </c>
      <c r="P52" s="225" t="s">
        <v>224</v>
      </c>
      <c r="Q52" s="244">
        <v>3.7499999999999999E-2</v>
      </c>
      <c r="R52" s="245"/>
      <c r="S52" s="226">
        <v>375</v>
      </c>
      <c r="T52" s="246">
        <v>240000</v>
      </c>
      <c r="U52" s="247">
        <f>T52</f>
        <v>240000</v>
      </c>
      <c r="V52" s="246">
        <v>0</v>
      </c>
      <c r="W52" s="247">
        <v>0</v>
      </c>
      <c r="X52" s="248">
        <v>0.06</v>
      </c>
      <c r="Y52" s="247">
        <f>U52*6%</f>
        <v>14400</v>
      </c>
    </row>
    <row r="53" spans="1:25" ht="14.4" thickBot="1" x14ac:dyDescent="0.3">
      <c r="A53" s="100" t="s">
        <v>283</v>
      </c>
      <c r="B53" s="71">
        <f>500-B52</f>
        <v>253.4</v>
      </c>
      <c r="C53" s="28">
        <v>0.25</v>
      </c>
      <c r="D53" s="29">
        <f t="shared" si="1"/>
        <v>63.35</v>
      </c>
      <c r="O53" s="318"/>
      <c r="P53" s="249" t="s">
        <v>225</v>
      </c>
      <c r="Q53" s="249"/>
      <c r="R53" s="249"/>
      <c r="S53" s="250">
        <f>SUM(S51:S52)</f>
        <v>737</v>
      </c>
      <c r="T53" s="251"/>
      <c r="U53" s="252"/>
      <c r="V53" s="251"/>
      <c r="W53" s="252"/>
      <c r="X53" s="253"/>
      <c r="Y53" s="252">
        <v>0</v>
      </c>
    </row>
    <row r="54" spans="1:25" x14ac:dyDescent="0.25">
      <c r="A54" s="22" t="s">
        <v>27</v>
      </c>
      <c r="B54" s="23">
        <f>B47-500</f>
        <v>322</v>
      </c>
      <c r="C54" s="24">
        <v>0.15</v>
      </c>
      <c r="D54" s="25">
        <f t="shared" si="1"/>
        <v>48.3</v>
      </c>
      <c r="O54" s="328" t="s">
        <v>168</v>
      </c>
      <c r="P54" s="225" t="s">
        <v>226</v>
      </c>
      <c r="Q54" s="254"/>
      <c r="R54" s="245"/>
      <c r="S54" s="226">
        <v>-160</v>
      </c>
      <c r="T54" s="227">
        <v>950000</v>
      </c>
      <c r="U54" s="228">
        <f>T54</f>
        <v>950000</v>
      </c>
      <c r="V54" s="227">
        <v>450000</v>
      </c>
      <c r="W54" s="228">
        <f>V54</f>
        <v>450000</v>
      </c>
      <c r="X54" s="229">
        <v>0.06</v>
      </c>
      <c r="Y54" s="228">
        <f>U54*6%</f>
        <v>57000</v>
      </c>
    </row>
    <row r="55" spans="1:25" ht="14.4" thickBot="1" x14ac:dyDescent="0.3">
      <c r="A55" s="18" t="s">
        <v>25</v>
      </c>
      <c r="B55" s="19"/>
      <c r="C55" s="20"/>
      <c r="D55" s="21"/>
      <c r="O55" s="329"/>
      <c r="P55" s="249" t="s">
        <v>227</v>
      </c>
      <c r="Q55" s="249"/>
      <c r="R55" s="249"/>
      <c r="S55" s="250">
        <f>SUM(S53:S54)</f>
        <v>577</v>
      </c>
      <c r="T55" s="251"/>
      <c r="U55" s="252"/>
      <c r="V55" s="251"/>
      <c r="W55" s="252"/>
      <c r="X55" s="253"/>
      <c r="Y55" s="252"/>
    </row>
    <row r="56" spans="1:25" x14ac:dyDescent="0.25">
      <c r="A56" s="26"/>
      <c r="B56" s="105"/>
      <c r="C56" s="106"/>
      <c r="D56" s="107"/>
      <c r="O56" s="328" t="s">
        <v>228</v>
      </c>
      <c r="P56" s="225" t="s">
        <v>229</v>
      </c>
      <c r="Q56" s="225"/>
      <c r="R56" s="225"/>
      <c r="S56" s="226">
        <f>-Q48-Q49-Q50</f>
        <v>-382</v>
      </c>
      <c r="T56" s="227"/>
      <c r="U56" s="228"/>
      <c r="V56" s="227"/>
      <c r="W56" s="228">
        <v>0</v>
      </c>
      <c r="X56" s="229">
        <v>0</v>
      </c>
      <c r="Y56" s="228">
        <v>0</v>
      </c>
    </row>
    <row r="57" spans="1:25" ht="14.4" thickBot="1" x14ac:dyDescent="0.3">
      <c r="A57" s="101" t="s">
        <v>28</v>
      </c>
      <c r="B57" s="102"/>
      <c r="C57" s="103"/>
      <c r="D57" s="104">
        <f>SUM(D48:D56)</f>
        <v>406.95000000000005</v>
      </c>
      <c r="F57" s="91"/>
      <c r="O57" s="329"/>
      <c r="P57" s="249" t="s">
        <v>230</v>
      </c>
      <c r="Q57" s="249"/>
      <c r="R57" s="249"/>
      <c r="S57" s="250">
        <f>SUM(S55:S56)</f>
        <v>195</v>
      </c>
      <c r="T57" s="251">
        <v>0</v>
      </c>
      <c r="U57" s="252">
        <v>0</v>
      </c>
      <c r="V57" s="251"/>
      <c r="W57" s="252">
        <v>0</v>
      </c>
      <c r="X57" s="253">
        <v>0</v>
      </c>
      <c r="Y57" s="252">
        <v>0</v>
      </c>
    </row>
    <row r="58" spans="1:25" ht="14.4" thickBot="1" x14ac:dyDescent="0.3">
      <c r="A58" s="18" t="s">
        <v>71</v>
      </c>
      <c r="B58" s="19"/>
      <c r="D58" s="91">
        <v>100000</v>
      </c>
      <c r="T58" s="218" t="s">
        <v>218</v>
      </c>
      <c r="U58" s="255">
        <f>SUM(U51:U57)</f>
        <v>2276000</v>
      </c>
      <c r="V58" s="219" t="s">
        <v>231</v>
      </c>
      <c r="W58" s="255">
        <f>SUM(W47:W57)</f>
        <v>450000</v>
      </c>
      <c r="X58" s="219" t="s">
        <v>232</v>
      </c>
      <c r="Y58" s="256">
        <f>SUM(Y51:Y57)</f>
        <v>71400</v>
      </c>
    </row>
    <row r="60" spans="1:25" ht="14.4" thickBot="1" x14ac:dyDescent="0.3">
      <c r="A60" t="s">
        <v>92</v>
      </c>
      <c r="B60">
        <v>2500</v>
      </c>
      <c r="F60" t="str">
        <f>A60</f>
        <v>לפי שומת הררי 2021</v>
      </c>
      <c r="G60">
        <v>3000</v>
      </c>
    </row>
    <row r="61" spans="1:25" x14ac:dyDescent="0.25">
      <c r="A61" s="10" t="s">
        <v>16</v>
      </c>
      <c r="B61" s="41" t="s">
        <v>20</v>
      </c>
      <c r="C61" s="41" t="s">
        <v>21</v>
      </c>
      <c r="D61" s="42" t="s">
        <v>22</v>
      </c>
      <c r="F61" s="10" t="s">
        <v>16</v>
      </c>
      <c r="G61" s="41" t="s">
        <v>20</v>
      </c>
      <c r="H61" s="41" t="s">
        <v>21</v>
      </c>
      <c r="I61" s="42" t="s">
        <v>22</v>
      </c>
    </row>
    <row r="62" spans="1:25" x14ac:dyDescent="0.25">
      <c r="A62" s="18" t="s">
        <v>14</v>
      </c>
      <c r="B62">
        <v>160</v>
      </c>
      <c r="C62">
        <v>1</v>
      </c>
      <c r="D62" s="21">
        <f t="shared" ref="D62:D67" si="2">C62*B62</f>
        <v>160</v>
      </c>
      <c r="F62" s="18" t="s">
        <v>14</v>
      </c>
      <c r="G62">
        <v>160</v>
      </c>
      <c r="H62">
        <v>1</v>
      </c>
      <c r="I62" s="21">
        <f>H62*G62</f>
        <v>160</v>
      </c>
    </row>
    <row r="63" spans="1:25" x14ac:dyDescent="0.25">
      <c r="A63" s="18" t="s">
        <v>15</v>
      </c>
      <c r="B63">
        <v>160</v>
      </c>
      <c r="C63">
        <v>1</v>
      </c>
      <c r="D63" s="21">
        <f t="shared" si="2"/>
        <v>160</v>
      </c>
      <c r="F63" s="18" t="s">
        <v>15</v>
      </c>
      <c r="G63">
        <v>160</v>
      </c>
      <c r="H63">
        <v>1</v>
      </c>
      <c r="I63" s="21">
        <f>H63*G63</f>
        <v>160</v>
      </c>
    </row>
    <row r="64" spans="1:25" x14ac:dyDescent="0.25">
      <c r="A64" s="18" t="s">
        <v>30</v>
      </c>
      <c r="B64">
        <v>55</v>
      </c>
      <c r="C64">
        <v>1</v>
      </c>
      <c r="D64" s="21">
        <f t="shared" si="2"/>
        <v>55</v>
      </c>
      <c r="F64" s="18" t="s">
        <v>30</v>
      </c>
      <c r="G64">
        <v>55</v>
      </c>
      <c r="H64">
        <v>1</v>
      </c>
      <c r="I64" s="21">
        <f>H64*G64</f>
        <v>55</v>
      </c>
    </row>
    <row r="65" spans="1:9" x14ac:dyDescent="0.25">
      <c r="A65" s="18" t="s">
        <v>24</v>
      </c>
      <c r="B65" s="40">
        <f>SUM(B62:B64)</f>
        <v>375</v>
      </c>
      <c r="D65" s="21"/>
      <c r="F65" s="18" t="s">
        <v>24</v>
      </c>
      <c r="G65" s="40">
        <f>SUM(G62:G64)</f>
        <v>375</v>
      </c>
      <c r="I65" s="21"/>
    </row>
    <row r="66" spans="1:9" x14ac:dyDescent="0.25">
      <c r="A66" s="18" t="s">
        <v>31</v>
      </c>
      <c r="B66">
        <v>1125</v>
      </c>
      <c r="C66" s="20">
        <v>0.25</v>
      </c>
      <c r="D66" s="21">
        <f t="shared" si="2"/>
        <v>281.25</v>
      </c>
      <c r="F66" s="18" t="s">
        <v>31</v>
      </c>
      <c r="G66">
        <v>1125</v>
      </c>
      <c r="H66" s="20">
        <v>0.25</v>
      </c>
      <c r="I66" s="21">
        <f>H66*G66</f>
        <v>281.25</v>
      </c>
    </row>
    <row r="67" spans="1:9" x14ac:dyDescent="0.25">
      <c r="A67" s="18" t="s">
        <v>51</v>
      </c>
      <c r="B67">
        <f>B60-B65-B66</f>
        <v>1000</v>
      </c>
      <c r="C67" s="20">
        <v>0.15</v>
      </c>
      <c r="D67" s="21">
        <f t="shared" si="2"/>
        <v>150</v>
      </c>
      <c r="F67" s="18" t="s">
        <v>51</v>
      </c>
      <c r="G67">
        <v>1000</v>
      </c>
      <c r="H67" s="20">
        <v>0.15</v>
      </c>
      <c r="I67" s="21">
        <f>H67*G67</f>
        <v>150</v>
      </c>
    </row>
    <row r="68" spans="1:9" x14ac:dyDescent="0.25">
      <c r="A68" s="18"/>
      <c r="C68" s="20"/>
      <c r="D68" s="21"/>
      <c r="F68" s="18" t="s">
        <v>69</v>
      </c>
      <c r="G68">
        <v>500</v>
      </c>
      <c r="H68" s="20">
        <v>0.1</v>
      </c>
      <c r="I68" s="128">
        <f>G68*H68</f>
        <v>50</v>
      </c>
    </row>
    <row r="69" spans="1:9" x14ac:dyDescent="0.25">
      <c r="A69" s="43" t="s">
        <v>28</v>
      </c>
      <c r="B69" s="40">
        <f>SUM(B62:B67)</f>
        <v>2875</v>
      </c>
      <c r="C69" s="40"/>
      <c r="D69" s="44">
        <f>SUM(D62:D67)</f>
        <v>806.25</v>
      </c>
      <c r="F69" s="43" t="s">
        <v>28</v>
      </c>
      <c r="G69" s="40">
        <f>SUM(G62:G68)</f>
        <v>3375</v>
      </c>
      <c r="H69" s="40"/>
      <c r="I69" s="44">
        <f>SUM(I62:I68)</f>
        <v>856.25</v>
      </c>
    </row>
    <row r="70" spans="1:9" ht="14.4" thickBot="1" x14ac:dyDescent="0.3">
      <c r="A70" s="34" t="s">
        <v>29</v>
      </c>
      <c r="B70" s="45"/>
      <c r="C70" s="45"/>
      <c r="D70" s="46">
        <f>D69</f>
        <v>806.25</v>
      </c>
      <c r="E70" s="72"/>
      <c r="F70" s="34" t="s">
        <v>29</v>
      </c>
      <c r="G70" s="45"/>
      <c r="H70" s="45"/>
      <c r="I70" s="46">
        <f>I69</f>
        <v>856.25</v>
      </c>
    </row>
    <row r="71" spans="1:9" x14ac:dyDescent="0.25">
      <c r="A71" t="s">
        <v>62</v>
      </c>
      <c r="D71" s="17">
        <v>175000</v>
      </c>
      <c r="F71" t="s">
        <v>62</v>
      </c>
      <c r="I71" s="17">
        <v>190000</v>
      </c>
    </row>
    <row r="77" spans="1:9" x14ac:dyDescent="0.25">
      <c r="A77" s="353" t="s">
        <v>292</v>
      </c>
      <c r="B77" s="353"/>
      <c r="C77" s="353"/>
      <c r="D77" s="353"/>
      <c r="E77" t="s">
        <v>295</v>
      </c>
    </row>
    <row r="78" spans="1:9" x14ac:dyDescent="0.25">
      <c r="A78" s="353" t="s">
        <v>293</v>
      </c>
      <c r="B78" s="353"/>
      <c r="C78" s="353"/>
      <c r="D78" s="353"/>
      <c r="E78">
        <v>822</v>
      </c>
    </row>
    <row r="79" spans="1:9" x14ac:dyDescent="0.25">
      <c r="A79" t="s">
        <v>262</v>
      </c>
      <c r="B79" t="s">
        <v>266</v>
      </c>
      <c r="C79" t="s">
        <v>21</v>
      </c>
      <c r="D79" t="s">
        <v>8</v>
      </c>
    </row>
    <row r="80" spans="1:9" x14ac:dyDescent="0.25">
      <c r="A80" t="s">
        <v>52</v>
      </c>
      <c r="B80">
        <f>3000*10%/2</f>
        <v>150</v>
      </c>
      <c r="C80">
        <v>1</v>
      </c>
      <c r="D80">
        <f>C80*B80</f>
        <v>150</v>
      </c>
    </row>
    <row r="81" spans="1:4" x14ac:dyDescent="0.25">
      <c r="A81" t="s">
        <v>64</v>
      </c>
      <c r="B81">
        <v>12</v>
      </c>
      <c r="C81">
        <v>0.9</v>
      </c>
      <c r="D81">
        <f t="shared" ref="D81:D84" si="3">C81*B81</f>
        <v>10.8</v>
      </c>
    </row>
    <row r="82" spans="1:4" x14ac:dyDescent="0.25">
      <c r="A82" t="s">
        <v>294</v>
      </c>
      <c r="B82">
        <f>3000*5%/2-B81</f>
        <v>63</v>
      </c>
      <c r="C82">
        <v>0.5</v>
      </c>
      <c r="D82">
        <f t="shared" si="3"/>
        <v>31.5</v>
      </c>
    </row>
    <row r="83" spans="1:4" x14ac:dyDescent="0.25">
      <c r="A83" t="s">
        <v>283</v>
      </c>
      <c r="B83">
        <f>500-B80-B81-B82</f>
        <v>275</v>
      </c>
      <c r="C83">
        <v>0.25</v>
      </c>
      <c r="D83">
        <f t="shared" si="3"/>
        <v>68.75</v>
      </c>
    </row>
    <row r="84" spans="1:4" x14ac:dyDescent="0.25">
      <c r="A84" t="s">
        <v>27</v>
      </c>
      <c r="B84">
        <f>E78-500</f>
        <v>322</v>
      </c>
      <c r="C84">
        <v>0.15</v>
      </c>
      <c r="D84">
        <f t="shared" si="3"/>
        <v>48.3</v>
      </c>
    </row>
    <row r="85" spans="1:4" x14ac:dyDescent="0.25">
      <c r="A85" s="353" t="s">
        <v>284</v>
      </c>
      <c r="B85" s="353"/>
      <c r="C85" s="353"/>
      <c r="D85">
        <f>SUM(D80:D84)</f>
        <v>309.35000000000002</v>
      </c>
    </row>
    <row r="86" spans="1:4" x14ac:dyDescent="0.25">
      <c r="A86" s="353" t="s">
        <v>296</v>
      </c>
      <c r="B86" s="353"/>
      <c r="C86" s="353"/>
      <c r="D86">
        <v>0.7</v>
      </c>
    </row>
    <row r="87" spans="1:4" x14ac:dyDescent="0.25">
      <c r="A87" s="353" t="s">
        <v>297</v>
      </c>
      <c r="B87" s="353"/>
      <c r="C87" s="353"/>
      <c r="D87">
        <f>D86*D85</f>
        <v>216.54500000000002</v>
      </c>
    </row>
    <row r="89" spans="1:4" x14ac:dyDescent="0.25">
      <c r="A89" s="353" t="s">
        <v>298</v>
      </c>
      <c r="B89" s="353"/>
      <c r="C89" s="353"/>
      <c r="D89" s="91">
        <f>D57</f>
        <v>406.95000000000005</v>
      </c>
    </row>
    <row r="90" spans="1:4" x14ac:dyDescent="0.25">
      <c r="A90" s="353" t="s">
        <v>299</v>
      </c>
      <c r="B90" s="353"/>
      <c r="C90" s="353"/>
      <c r="D90" s="72">
        <f>D89*0.95</f>
        <v>386.60250000000002</v>
      </c>
    </row>
    <row r="92" spans="1:4" x14ac:dyDescent="0.25">
      <c r="A92" t="s">
        <v>146</v>
      </c>
      <c r="D92" s="91">
        <f>D90-D87</f>
        <v>170.0575</v>
      </c>
    </row>
    <row r="93" spans="1:4" x14ac:dyDescent="0.25">
      <c r="A93" t="s">
        <v>220</v>
      </c>
      <c r="D93" s="72">
        <f>D92/2</f>
        <v>85.028750000000002</v>
      </c>
    </row>
    <row r="94" spans="1:4" x14ac:dyDescent="0.25">
      <c r="A94" t="s">
        <v>269</v>
      </c>
      <c r="D94" s="91">
        <f>J50</f>
        <v>9300</v>
      </c>
    </row>
    <row r="95" spans="1:4" x14ac:dyDescent="0.25">
      <c r="A95" t="s">
        <v>231</v>
      </c>
      <c r="D95" s="149">
        <f>D94*D93</f>
        <v>790767.375</v>
      </c>
    </row>
  </sheetData>
  <mergeCells count="13">
    <mergeCell ref="A89:C89"/>
    <mergeCell ref="A90:C90"/>
    <mergeCell ref="A77:D77"/>
    <mergeCell ref="A78:D78"/>
    <mergeCell ref="A85:C85"/>
    <mergeCell ref="A86:C86"/>
    <mergeCell ref="A87:C87"/>
    <mergeCell ref="A30:D30"/>
    <mergeCell ref="O56:O57"/>
    <mergeCell ref="O54:O55"/>
    <mergeCell ref="O47:O51"/>
    <mergeCell ref="P51:R51"/>
    <mergeCell ref="O52:O5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6F41E-AD07-4ECE-B78D-396261D7684A}">
  <dimension ref="D1:J27"/>
  <sheetViews>
    <sheetView rightToLeft="1" workbookViewId="0">
      <selection activeCell="J31" sqref="J31"/>
    </sheetView>
  </sheetViews>
  <sheetFormatPr defaultRowHeight="13.8" x14ac:dyDescent="0.25"/>
  <cols>
    <col min="5" max="5" width="10.8984375" customWidth="1"/>
    <col min="6" max="7" width="10.59765625" customWidth="1"/>
    <col min="8" max="8" width="9.296875" customWidth="1"/>
    <col min="9" max="9" width="10.5" bestFit="1" customWidth="1"/>
    <col min="10" max="10" width="11" customWidth="1"/>
  </cols>
  <sheetData>
    <row r="1" spans="4:10" ht="14.4" thickBot="1" x14ac:dyDescent="0.3"/>
    <row r="2" spans="4:10" x14ac:dyDescent="0.25">
      <c r="D2" s="351" t="s">
        <v>233</v>
      </c>
      <c r="E2" s="349" t="s">
        <v>234</v>
      </c>
      <c r="F2" s="349" t="s">
        <v>235</v>
      </c>
      <c r="G2" s="349" t="s">
        <v>236</v>
      </c>
      <c r="H2" s="349" t="s">
        <v>8</v>
      </c>
      <c r="I2" s="349" t="s">
        <v>46</v>
      </c>
      <c r="J2" s="344" t="s">
        <v>220</v>
      </c>
    </row>
    <row r="3" spans="4:10" ht="14.4" thickBot="1" x14ac:dyDescent="0.3">
      <c r="D3" s="352"/>
      <c r="E3" s="350"/>
      <c r="F3" s="350"/>
      <c r="G3" s="350"/>
      <c r="H3" s="350"/>
      <c r="I3" s="350"/>
      <c r="J3" s="345"/>
    </row>
    <row r="4" spans="4:10" x14ac:dyDescent="0.25">
      <c r="D4" s="346">
        <v>1</v>
      </c>
      <c r="E4" s="347"/>
      <c r="F4" s="347"/>
      <c r="G4" s="347"/>
      <c r="H4" s="347"/>
      <c r="I4" s="347"/>
      <c r="J4" s="348"/>
    </row>
    <row r="5" spans="4:10" x14ac:dyDescent="0.25">
      <c r="D5" s="343"/>
      <c r="E5" s="340"/>
      <c r="F5" s="340"/>
      <c r="G5" s="340"/>
      <c r="H5" s="340"/>
      <c r="I5" s="340"/>
      <c r="J5" s="342"/>
    </row>
    <row r="6" spans="4:10" x14ac:dyDescent="0.25">
      <c r="D6" s="343">
        <v>2</v>
      </c>
      <c r="E6" s="340"/>
      <c r="F6" s="340"/>
      <c r="G6" s="340"/>
      <c r="H6" s="340"/>
      <c r="I6" s="340"/>
      <c r="J6" s="342"/>
    </row>
    <row r="7" spans="4:10" x14ac:dyDescent="0.25">
      <c r="D7" s="343"/>
      <c r="E7" s="340"/>
      <c r="F7" s="340"/>
      <c r="G7" s="340"/>
      <c r="H7" s="340"/>
      <c r="I7" s="340"/>
      <c r="J7" s="342"/>
    </row>
    <row r="8" spans="4:10" x14ac:dyDescent="0.25">
      <c r="D8" s="343">
        <v>3</v>
      </c>
      <c r="E8" s="340"/>
      <c r="F8" s="340"/>
      <c r="G8" s="340"/>
      <c r="H8" s="340"/>
      <c r="I8" s="340"/>
      <c r="J8" s="342"/>
    </row>
    <row r="9" spans="4:10" x14ac:dyDescent="0.25">
      <c r="D9" s="343"/>
      <c r="E9" s="340"/>
      <c r="F9" s="340"/>
      <c r="G9" s="340"/>
      <c r="H9" s="340"/>
      <c r="I9" s="340"/>
      <c r="J9" s="342"/>
    </row>
    <row r="10" spans="4:10" x14ac:dyDescent="0.25">
      <c r="D10" s="343">
        <v>4</v>
      </c>
      <c r="E10" s="340"/>
      <c r="F10" s="340"/>
      <c r="G10" s="340"/>
      <c r="H10" s="340"/>
      <c r="I10" s="340"/>
      <c r="J10" s="342"/>
    </row>
    <row r="11" spans="4:10" x14ac:dyDescent="0.25">
      <c r="D11" s="343"/>
      <c r="E11" s="340"/>
      <c r="F11" s="340"/>
      <c r="G11" s="340"/>
      <c r="H11" s="340"/>
      <c r="I11" s="340"/>
      <c r="J11" s="342"/>
    </row>
    <row r="12" spans="4:10" x14ac:dyDescent="0.25">
      <c r="D12" s="343">
        <v>5</v>
      </c>
      <c r="E12" s="340"/>
      <c r="F12" s="340"/>
      <c r="G12" s="340"/>
      <c r="H12" s="340"/>
      <c r="I12" s="340"/>
      <c r="J12" s="342"/>
    </row>
    <row r="13" spans="4:10" x14ac:dyDescent="0.25">
      <c r="D13" s="343"/>
      <c r="E13" s="340"/>
      <c r="F13" s="340"/>
      <c r="G13" s="340"/>
      <c r="H13" s="340"/>
      <c r="I13" s="340"/>
      <c r="J13" s="342"/>
    </row>
    <row r="14" spans="4:10" x14ac:dyDescent="0.25">
      <c r="D14" s="343">
        <v>6</v>
      </c>
      <c r="E14" s="340"/>
      <c r="F14" s="340"/>
      <c r="G14" s="340"/>
      <c r="H14" s="340"/>
      <c r="I14" s="340"/>
      <c r="J14" s="342"/>
    </row>
    <row r="15" spans="4:10" x14ac:dyDescent="0.25">
      <c r="D15" s="343"/>
      <c r="E15" s="340"/>
      <c r="F15" s="340"/>
      <c r="G15" s="340"/>
      <c r="H15" s="340"/>
      <c r="I15" s="340"/>
      <c r="J15" s="342"/>
    </row>
    <row r="16" spans="4:10" x14ac:dyDescent="0.25">
      <c r="D16" s="343">
        <v>7</v>
      </c>
      <c r="E16" s="340"/>
      <c r="F16" s="340"/>
      <c r="G16" s="340"/>
      <c r="H16" s="340"/>
      <c r="I16" s="340"/>
      <c r="J16" s="342"/>
    </row>
    <row r="17" spans="4:10" x14ac:dyDescent="0.25">
      <c r="D17" s="343"/>
      <c r="E17" s="340"/>
      <c r="F17" s="340"/>
      <c r="G17" s="340"/>
      <c r="H17" s="340"/>
      <c r="I17" s="340"/>
      <c r="J17" s="342"/>
    </row>
    <row r="18" spans="4:10" x14ac:dyDescent="0.25">
      <c r="D18" s="343">
        <v>8</v>
      </c>
      <c r="E18" s="340"/>
      <c r="F18" s="340"/>
      <c r="G18" s="340"/>
      <c r="H18" s="340"/>
      <c r="I18" s="340"/>
      <c r="J18" s="342"/>
    </row>
    <row r="19" spans="4:10" x14ac:dyDescent="0.25">
      <c r="D19" s="343"/>
      <c r="E19" s="340"/>
      <c r="F19" s="340"/>
      <c r="G19" s="340"/>
      <c r="H19" s="340"/>
      <c r="I19" s="340"/>
      <c r="J19" s="342"/>
    </row>
    <row r="20" spans="4:10" x14ac:dyDescent="0.25">
      <c r="D20" s="343">
        <v>9</v>
      </c>
      <c r="E20" s="340"/>
      <c r="F20" s="340"/>
      <c r="G20" s="340"/>
      <c r="H20" s="340"/>
      <c r="I20" s="340"/>
      <c r="J20" s="342"/>
    </row>
    <row r="21" spans="4:10" x14ac:dyDescent="0.25">
      <c r="D21" s="343"/>
      <c r="E21" s="340"/>
      <c r="F21" s="340"/>
      <c r="G21" s="340"/>
      <c r="H21" s="340"/>
      <c r="I21" s="340"/>
      <c r="J21" s="342"/>
    </row>
    <row r="22" spans="4:10" x14ac:dyDescent="0.25">
      <c r="D22" s="343">
        <v>10</v>
      </c>
      <c r="E22" s="340"/>
      <c r="F22" s="340"/>
      <c r="G22" s="340"/>
      <c r="H22" s="340"/>
      <c r="I22" s="340"/>
      <c r="J22" s="342"/>
    </row>
    <row r="23" spans="4:10" x14ac:dyDescent="0.25">
      <c r="D23" s="343"/>
      <c r="E23" s="340"/>
      <c r="F23" s="340"/>
      <c r="G23" s="340"/>
      <c r="H23" s="340"/>
      <c r="I23" s="340"/>
      <c r="J23" s="342"/>
    </row>
    <row r="24" spans="4:10" x14ac:dyDescent="0.25">
      <c r="D24" s="343">
        <v>11</v>
      </c>
      <c r="E24" s="340"/>
      <c r="F24" s="340"/>
      <c r="G24" s="340"/>
      <c r="H24" s="340"/>
      <c r="I24" s="340"/>
      <c r="J24" s="342"/>
    </row>
    <row r="25" spans="4:10" x14ac:dyDescent="0.25">
      <c r="D25" s="343"/>
      <c r="E25" s="340"/>
      <c r="F25" s="340"/>
      <c r="G25" s="340"/>
      <c r="H25" s="340"/>
      <c r="I25" s="340"/>
      <c r="J25" s="342"/>
    </row>
    <row r="26" spans="4:10" x14ac:dyDescent="0.25">
      <c r="D26" s="334" t="s">
        <v>8</v>
      </c>
      <c r="E26" s="335"/>
      <c r="F26" s="335"/>
      <c r="G26" s="336"/>
      <c r="H26" s="340">
        <f>SUM(H4:H25)</f>
        <v>0</v>
      </c>
      <c r="I26" s="340">
        <f t="shared" ref="I26:J26" si="0">SUM(I4:I25)</f>
        <v>0</v>
      </c>
      <c r="J26" s="340">
        <f t="shared" si="0"/>
        <v>0</v>
      </c>
    </row>
    <row r="27" spans="4:10" ht="14.4" thickBot="1" x14ac:dyDescent="0.3">
      <c r="D27" s="337"/>
      <c r="E27" s="338"/>
      <c r="F27" s="338"/>
      <c r="G27" s="339"/>
      <c r="H27" s="341"/>
      <c r="I27" s="341"/>
      <c r="J27" s="341"/>
    </row>
  </sheetData>
  <mergeCells count="88">
    <mergeCell ref="J2:J3"/>
    <mergeCell ref="D4:D5"/>
    <mergeCell ref="E4:E5"/>
    <mergeCell ref="F4:F5"/>
    <mergeCell ref="G4:G5"/>
    <mergeCell ref="H4:H5"/>
    <mergeCell ref="I4:I5"/>
    <mergeCell ref="J4:J5"/>
    <mergeCell ref="H2:H3"/>
    <mergeCell ref="D2:D3"/>
    <mergeCell ref="E2:E3"/>
    <mergeCell ref="F2:F3"/>
    <mergeCell ref="G2:G3"/>
    <mergeCell ref="I2:I3"/>
    <mergeCell ref="J6:J7"/>
    <mergeCell ref="D8:D9"/>
    <mergeCell ref="E8:E9"/>
    <mergeCell ref="F8:F9"/>
    <mergeCell ref="G8:G9"/>
    <mergeCell ref="H8:H9"/>
    <mergeCell ref="I8:I9"/>
    <mergeCell ref="J8:J9"/>
    <mergeCell ref="D6:D7"/>
    <mergeCell ref="E6:E7"/>
    <mergeCell ref="F6:F7"/>
    <mergeCell ref="G6:G7"/>
    <mergeCell ref="H6:H7"/>
    <mergeCell ref="I6:I7"/>
    <mergeCell ref="J10:J11"/>
    <mergeCell ref="D12:D13"/>
    <mergeCell ref="E12:E13"/>
    <mergeCell ref="F12:F13"/>
    <mergeCell ref="G12:G13"/>
    <mergeCell ref="H12:H13"/>
    <mergeCell ref="I12:I13"/>
    <mergeCell ref="J12:J13"/>
    <mergeCell ref="D10:D11"/>
    <mergeCell ref="E10:E11"/>
    <mergeCell ref="F10:F11"/>
    <mergeCell ref="G10:G11"/>
    <mergeCell ref="H10:H11"/>
    <mergeCell ref="I10:I11"/>
    <mergeCell ref="J14:J15"/>
    <mergeCell ref="D16:D17"/>
    <mergeCell ref="E16:E17"/>
    <mergeCell ref="F16:F17"/>
    <mergeCell ref="G16:G17"/>
    <mergeCell ref="H16:H17"/>
    <mergeCell ref="I16:I17"/>
    <mergeCell ref="J16:J17"/>
    <mergeCell ref="D14:D15"/>
    <mergeCell ref="E14:E15"/>
    <mergeCell ref="F14:F15"/>
    <mergeCell ref="G14:G15"/>
    <mergeCell ref="H14:H15"/>
    <mergeCell ref="I14:I15"/>
    <mergeCell ref="H22:H23"/>
    <mergeCell ref="I22:I23"/>
    <mergeCell ref="J18:J19"/>
    <mergeCell ref="D20:D21"/>
    <mergeCell ref="E20:E21"/>
    <mergeCell ref="F20:F21"/>
    <mergeCell ref="G20:G21"/>
    <mergeCell ref="H20:H21"/>
    <mergeCell ref="I20:I21"/>
    <mergeCell ref="J20:J21"/>
    <mergeCell ref="D18:D19"/>
    <mergeCell ref="E18:E19"/>
    <mergeCell ref="F18:F19"/>
    <mergeCell ref="G18:G19"/>
    <mergeCell ref="H18:H19"/>
    <mergeCell ref="I18:I19"/>
    <mergeCell ref="D26:G27"/>
    <mergeCell ref="H26:H27"/>
    <mergeCell ref="I26:I27"/>
    <mergeCell ref="J26:J27"/>
    <mergeCell ref="J22:J23"/>
    <mergeCell ref="D24:D25"/>
    <mergeCell ref="E24:E25"/>
    <mergeCell ref="F24:F25"/>
    <mergeCell ref="G24:G25"/>
    <mergeCell ref="H24:H25"/>
    <mergeCell ref="I24:I25"/>
    <mergeCell ref="J24:J25"/>
    <mergeCell ref="D22:D23"/>
    <mergeCell ref="E22:E23"/>
    <mergeCell ref="F22:F23"/>
    <mergeCell ref="G22:G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EFA6-6B93-4B0D-8A01-39A9859613B7}">
  <dimension ref="B2:P93"/>
  <sheetViews>
    <sheetView rightToLeft="1" topLeftCell="A16" zoomScale="85" zoomScaleNormal="85" workbookViewId="0">
      <selection activeCell="F43" sqref="F43"/>
    </sheetView>
  </sheetViews>
  <sheetFormatPr defaultRowHeight="13.8" x14ac:dyDescent="0.25"/>
  <cols>
    <col min="1" max="1" width="5.296875" customWidth="1"/>
    <col min="2" max="2" width="12.5" customWidth="1"/>
    <col min="3" max="3" width="8.69921875" bestFit="1" customWidth="1"/>
    <col min="4" max="4" width="10.296875" style="17" customWidth="1"/>
    <col min="5" max="5" width="10.796875" style="17" bestFit="1" customWidth="1"/>
    <col min="6" max="6" width="12.3984375" style="17" bestFit="1" customWidth="1"/>
    <col min="7" max="7" width="12" bestFit="1" customWidth="1"/>
    <col min="8" max="8" width="14.59765625" bestFit="1" customWidth="1"/>
    <col min="9" max="9" width="12.09765625" bestFit="1" customWidth="1"/>
    <col min="10" max="10" width="14.59765625" bestFit="1" customWidth="1"/>
    <col min="14" max="15" width="10.8984375" bestFit="1" customWidth="1"/>
  </cols>
  <sheetData>
    <row r="2" spans="2:16" ht="15.6" x14ac:dyDescent="0.4">
      <c r="B2" s="39" t="s">
        <v>150</v>
      </c>
      <c r="C2" s="39"/>
      <c r="D2" s="131"/>
    </row>
    <row r="3" spans="2:16" x14ac:dyDescent="0.25">
      <c r="B3" t="s">
        <v>91</v>
      </c>
      <c r="C3" s="149"/>
      <c r="D3" s="149"/>
      <c r="G3" s="190"/>
      <c r="H3" s="149"/>
      <c r="I3" s="150"/>
      <c r="J3" s="150"/>
    </row>
    <row r="4" spans="2:16" x14ac:dyDescent="0.25">
      <c r="B4" t="s">
        <v>127</v>
      </c>
      <c r="C4" s="187"/>
      <c r="D4" s="38"/>
      <c r="G4" s="190"/>
      <c r="J4" s="150"/>
    </row>
    <row r="5" spans="2:16" x14ac:dyDescent="0.25">
      <c r="B5" t="s">
        <v>128</v>
      </c>
    </row>
    <row r="6" spans="2:16" x14ac:dyDescent="0.25">
      <c r="B6" t="s">
        <v>129</v>
      </c>
      <c r="C6" s="150"/>
      <c r="D6" s="149"/>
    </row>
    <row r="7" spans="2:16" x14ac:dyDescent="0.25">
      <c r="B7" t="s">
        <v>143</v>
      </c>
      <c r="C7" s="150">
        <f>P22</f>
        <v>9000</v>
      </c>
    </row>
    <row r="8" spans="2:16" x14ac:dyDescent="0.25">
      <c r="C8" s="150"/>
    </row>
    <row r="9" spans="2:16" x14ac:dyDescent="0.25">
      <c r="B9" s="39" t="s">
        <v>130</v>
      </c>
      <c r="C9" s="151"/>
    </row>
    <row r="10" spans="2:16" ht="27.6" x14ac:dyDescent="0.4">
      <c r="B10" s="39" t="s">
        <v>132</v>
      </c>
      <c r="C10" s="39" t="s">
        <v>131</v>
      </c>
      <c r="D10" s="131" t="s">
        <v>133</v>
      </c>
      <c r="E10" s="131" t="s">
        <v>134</v>
      </c>
      <c r="F10" s="131" t="s">
        <v>135</v>
      </c>
      <c r="G10" s="131" t="s">
        <v>136</v>
      </c>
      <c r="H10" s="189" t="s">
        <v>137</v>
      </c>
      <c r="I10" s="131" t="s">
        <v>138</v>
      </c>
      <c r="J10" s="131" t="s">
        <v>139</v>
      </c>
      <c r="K10" s="131" t="s">
        <v>140</v>
      </c>
      <c r="L10" s="131" t="s">
        <v>141</v>
      </c>
      <c r="M10" s="131" t="s">
        <v>142</v>
      </c>
    </row>
    <row r="11" spans="2:16" x14ac:dyDescent="0.25">
      <c r="B11" s="188"/>
    </row>
    <row r="13" spans="2:16" x14ac:dyDescent="0.25">
      <c r="C13" s="150"/>
    </row>
    <row r="14" spans="2:16" ht="14.4" thickBot="1" x14ac:dyDescent="0.3">
      <c r="D14"/>
      <c r="E14"/>
      <c r="G14" s="17"/>
      <c r="H14" s="17"/>
    </row>
    <row r="15" spans="2:16" ht="27" thickBot="1" x14ac:dyDescent="0.3">
      <c r="B15" s="39"/>
      <c r="C15" s="262" t="s">
        <v>257</v>
      </c>
      <c r="D15" s="262" t="s">
        <v>258</v>
      </c>
      <c r="E15" s="262" t="s">
        <v>259</v>
      </c>
      <c r="F15" s="262" t="s">
        <v>260</v>
      </c>
      <c r="G15" s="262" t="s">
        <v>261</v>
      </c>
      <c r="H15" s="262" t="s">
        <v>262</v>
      </c>
      <c r="I15" s="262" t="s">
        <v>263</v>
      </c>
      <c r="J15" s="262" t="s">
        <v>264</v>
      </c>
      <c r="K15" s="262" t="s">
        <v>136</v>
      </c>
      <c r="L15" s="262" t="s">
        <v>265</v>
      </c>
      <c r="M15" s="262" t="s">
        <v>266</v>
      </c>
      <c r="N15" s="263" t="s">
        <v>267</v>
      </c>
      <c r="O15" s="264" t="s">
        <v>268</v>
      </c>
      <c r="P15" s="264" t="s">
        <v>269</v>
      </c>
    </row>
    <row r="16" spans="2:16" ht="27" thickBot="1" x14ac:dyDescent="0.3">
      <c r="C16" s="265">
        <v>1</v>
      </c>
      <c r="D16" s="266" t="s">
        <v>270</v>
      </c>
      <c r="E16" s="267">
        <v>45865</v>
      </c>
      <c r="F16" s="268">
        <v>5400000</v>
      </c>
      <c r="G16" s="268">
        <f>F16/1.05</f>
        <v>5142857.1428571427</v>
      </c>
      <c r="H16" s="269" t="s">
        <v>271</v>
      </c>
      <c r="I16" s="269">
        <v>1</v>
      </c>
      <c r="J16" s="269" t="s">
        <v>272</v>
      </c>
      <c r="K16" s="269">
        <v>0</v>
      </c>
      <c r="L16" s="269">
        <v>723</v>
      </c>
      <c r="M16" s="269">
        <f>177.25+12+8.8*0.5</f>
        <v>193.65</v>
      </c>
      <c r="N16" s="270">
        <f>M16*8500</f>
        <v>1646025</v>
      </c>
      <c r="O16" s="271">
        <f>G16-N16</f>
        <v>3496832.1428571427</v>
      </c>
      <c r="P16" s="272">
        <f>G46</f>
        <v>8752.4739199227643</v>
      </c>
    </row>
    <row r="17" spans="3:16" ht="27" thickBot="1" x14ac:dyDescent="0.3">
      <c r="C17" s="265">
        <v>2</v>
      </c>
      <c r="D17" s="273" t="s">
        <v>273</v>
      </c>
      <c r="E17" s="274">
        <v>45501</v>
      </c>
      <c r="F17" s="275">
        <v>5450000</v>
      </c>
      <c r="G17" s="275">
        <f>F17/1.05</f>
        <v>5190476.1904761903</v>
      </c>
      <c r="H17" s="276" t="s">
        <v>271</v>
      </c>
      <c r="I17" s="276">
        <v>1</v>
      </c>
      <c r="J17" s="276" t="s">
        <v>272</v>
      </c>
      <c r="K17" s="276">
        <v>1995</v>
      </c>
      <c r="L17" s="276">
        <v>719</v>
      </c>
      <c r="M17" s="276">
        <v>197</v>
      </c>
      <c r="N17" s="277">
        <f>M17*8500</f>
        <v>1674500</v>
      </c>
      <c r="O17" s="278">
        <f>G17-N17</f>
        <v>3515976.1904761903</v>
      </c>
      <c r="P17" s="279">
        <f>M46</f>
        <v>8807.0040465306283</v>
      </c>
    </row>
    <row r="18" spans="3:16" ht="14.4" thickBot="1" x14ac:dyDescent="0.3">
      <c r="C18" s="359" t="s">
        <v>274</v>
      </c>
      <c r="D18" s="360"/>
      <c r="E18" s="360"/>
      <c r="F18" s="360"/>
      <c r="G18" s="360"/>
      <c r="H18" s="360"/>
      <c r="I18" s="360"/>
      <c r="J18" s="360"/>
      <c r="K18" s="360"/>
      <c r="L18" s="360"/>
      <c r="M18" s="360"/>
      <c r="N18" s="360"/>
      <c r="O18" s="360"/>
      <c r="P18" s="279">
        <f>AVERAGE(P16:P17)</f>
        <v>8779.7389832266963</v>
      </c>
    </row>
    <row r="19" spans="3:16" ht="14.4" thickBot="1" x14ac:dyDescent="0.3">
      <c r="C19" s="359" t="s">
        <v>275</v>
      </c>
      <c r="D19" s="360"/>
      <c r="E19" s="360"/>
      <c r="F19" s="360"/>
      <c r="G19" s="360"/>
      <c r="H19" s="360"/>
      <c r="I19" s="360"/>
      <c r="J19" s="360"/>
      <c r="K19" s="360"/>
      <c r="L19" s="360"/>
      <c r="M19" s="360"/>
      <c r="N19" s="360"/>
      <c r="O19" s="360"/>
      <c r="P19" s="279">
        <f>P18/0.97</f>
        <v>9051.2773022955625</v>
      </c>
    </row>
    <row r="20" spans="3:16" ht="14.4" thickBot="1" x14ac:dyDescent="0.3">
      <c r="C20" s="359" t="s">
        <v>276</v>
      </c>
      <c r="D20" s="360"/>
      <c r="E20" s="360"/>
      <c r="F20" s="360"/>
      <c r="G20" s="360"/>
      <c r="H20" s="360"/>
      <c r="I20" s="360"/>
      <c r="J20" s="360"/>
      <c r="K20" s="360"/>
      <c r="L20" s="360"/>
      <c r="M20" s="360"/>
      <c r="N20" s="360"/>
      <c r="O20" s="360"/>
      <c r="P20" s="231">
        <v>0.9</v>
      </c>
    </row>
    <row r="21" spans="3:16" ht="14.4" thickBot="1" x14ac:dyDescent="0.3">
      <c r="C21" s="359" t="s">
        <v>277</v>
      </c>
      <c r="D21" s="360"/>
      <c r="E21" s="360"/>
      <c r="F21" s="360"/>
      <c r="G21" s="360"/>
      <c r="H21" s="360"/>
      <c r="I21" s="360"/>
      <c r="J21" s="360"/>
      <c r="K21" s="360"/>
      <c r="L21" s="360"/>
      <c r="M21" s="360"/>
      <c r="N21" s="360"/>
      <c r="O21" s="360"/>
      <c r="P21" s="279">
        <f>P20*P19</f>
        <v>8146.1495720660068</v>
      </c>
    </row>
    <row r="22" spans="3:16" ht="14.4" thickBot="1" x14ac:dyDescent="0.3">
      <c r="C22" s="361" t="s">
        <v>278</v>
      </c>
      <c r="D22" s="362"/>
      <c r="E22" s="362"/>
      <c r="F22" s="362"/>
      <c r="G22" s="362"/>
      <c r="H22" s="362"/>
      <c r="I22" s="362"/>
      <c r="J22" s="362"/>
      <c r="K22" s="362"/>
      <c r="L22" s="362"/>
      <c r="M22" s="362"/>
      <c r="N22" s="362"/>
      <c r="O22" s="362"/>
      <c r="P22" s="280">
        <v>9000</v>
      </c>
    </row>
    <row r="23" spans="3:16" x14ac:dyDescent="0.25">
      <c r="D23"/>
      <c r="E23"/>
      <c r="G23" s="17"/>
      <c r="H23" s="17"/>
    </row>
    <row r="24" spans="3:16" x14ac:dyDescent="0.25">
      <c r="D24"/>
      <c r="E24"/>
      <c r="G24" s="17"/>
      <c r="H24" s="17"/>
    </row>
    <row r="25" spans="3:16" x14ac:dyDescent="0.25">
      <c r="D25"/>
      <c r="E25"/>
      <c r="G25" s="17"/>
      <c r="H25" s="17"/>
    </row>
    <row r="26" spans="3:16" x14ac:dyDescent="0.25">
      <c r="D26"/>
      <c r="E26"/>
      <c r="G26" s="17"/>
      <c r="H26" s="17"/>
    </row>
    <row r="27" spans="3:16" x14ac:dyDescent="0.25">
      <c r="D27"/>
      <c r="E27"/>
      <c r="G27" s="17"/>
      <c r="H27" s="17"/>
    </row>
    <row r="28" spans="3:16" x14ac:dyDescent="0.25">
      <c r="D28"/>
      <c r="E28"/>
      <c r="G28" s="17"/>
      <c r="H28" s="17"/>
    </row>
    <row r="29" spans="3:16" x14ac:dyDescent="0.25">
      <c r="D29"/>
      <c r="E29"/>
      <c r="G29" s="17"/>
      <c r="H29" s="17"/>
    </row>
    <row r="30" spans="3:16" x14ac:dyDescent="0.25">
      <c r="D30"/>
      <c r="E30"/>
      <c r="G30" s="17"/>
      <c r="H30" s="17"/>
    </row>
    <row r="31" spans="3:16" x14ac:dyDescent="0.25">
      <c r="D31"/>
      <c r="E31"/>
      <c r="G31" s="17"/>
      <c r="H31" s="17"/>
    </row>
    <row r="32" spans="3:16" x14ac:dyDescent="0.25">
      <c r="D32"/>
      <c r="E32"/>
      <c r="G32" s="17"/>
      <c r="H32" s="17"/>
    </row>
    <row r="33" spans="4:14" x14ac:dyDescent="0.25">
      <c r="D33"/>
      <c r="E33"/>
      <c r="G33" s="17"/>
      <c r="H33" s="17"/>
    </row>
    <row r="34" spans="4:14" ht="14.4" thickBot="1" x14ac:dyDescent="0.3">
      <c r="D34"/>
      <c r="E34"/>
      <c r="G34" s="17"/>
      <c r="H34" s="17"/>
    </row>
    <row r="35" spans="4:14" x14ac:dyDescent="0.25">
      <c r="D35" s="346" t="s">
        <v>279</v>
      </c>
      <c r="E35" s="363"/>
      <c r="F35" s="363"/>
      <c r="G35" s="364"/>
      <c r="H35" s="281" t="s">
        <v>265</v>
      </c>
      <c r="J35" s="346" t="s">
        <v>279</v>
      </c>
      <c r="K35" s="363"/>
      <c r="L35" s="363"/>
      <c r="M35" s="364"/>
      <c r="N35" s="281" t="s">
        <v>265</v>
      </c>
    </row>
    <row r="36" spans="4:14" ht="14.4" thickBot="1" x14ac:dyDescent="0.3">
      <c r="D36" s="282" t="s">
        <v>262</v>
      </c>
      <c r="E36" s="283" t="s">
        <v>266</v>
      </c>
      <c r="F36" s="283" t="s">
        <v>21</v>
      </c>
      <c r="G36" s="284" t="s">
        <v>8</v>
      </c>
      <c r="H36" s="285">
        <f>L16</f>
        <v>723</v>
      </c>
      <c r="J36" s="282" t="s">
        <v>262</v>
      </c>
      <c r="K36" s="283" t="s">
        <v>266</v>
      </c>
      <c r="L36" s="283" t="s">
        <v>21</v>
      </c>
      <c r="M36" s="284" t="s">
        <v>8</v>
      </c>
      <c r="N36" s="285">
        <f>L17</f>
        <v>719</v>
      </c>
    </row>
    <row r="37" spans="4:14" x14ac:dyDescent="0.25">
      <c r="D37" s="286" t="s">
        <v>52</v>
      </c>
      <c r="E37" s="230">
        <v>220</v>
      </c>
      <c r="F37" s="230">
        <v>1</v>
      </c>
      <c r="G37" s="231">
        <f>F37*E37</f>
        <v>220</v>
      </c>
      <c r="J37" s="286" t="s">
        <v>52</v>
      </c>
      <c r="K37" s="230">
        <v>220</v>
      </c>
      <c r="L37" s="230">
        <v>1</v>
      </c>
      <c r="M37" s="231">
        <f>L37*K37</f>
        <v>220</v>
      </c>
    </row>
    <row r="38" spans="4:14" x14ac:dyDescent="0.25">
      <c r="D38" s="286" t="s">
        <v>64</v>
      </c>
      <c r="E38" s="230">
        <v>12</v>
      </c>
      <c r="F38" s="230">
        <v>0.9</v>
      </c>
      <c r="G38" s="231">
        <f t="shared" ref="G38:G43" si="0">F38*E38</f>
        <v>10.8</v>
      </c>
      <c r="J38" s="286" t="s">
        <v>64</v>
      </c>
      <c r="K38" s="230">
        <v>12</v>
      </c>
      <c r="L38" s="230">
        <v>0.9</v>
      </c>
      <c r="M38" s="231">
        <f t="shared" ref="M38:M40" si="1">L38*K38</f>
        <v>10.8</v>
      </c>
    </row>
    <row r="39" spans="4:14" x14ac:dyDescent="0.25">
      <c r="D39" s="286" t="s">
        <v>280</v>
      </c>
      <c r="E39" s="230">
        <f>61-E38</f>
        <v>49</v>
      </c>
      <c r="F39" s="230">
        <v>0.5</v>
      </c>
      <c r="G39" s="231">
        <f t="shared" si="0"/>
        <v>24.5</v>
      </c>
      <c r="J39" s="286" t="s">
        <v>280</v>
      </c>
      <c r="K39" s="230">
        <f>61-K38</f>
        <v>49</v>
      </c>
      <c r="L39" s="230">
        <v>0.5</v>
      </c>
      <c r="M39" s="231">
        <f t="shared" si="1"/>
        <v>24.5</v>
      </c>
    </row>
    <row r="40" spans="4:14" x14ac:dyDescent="0.25">
      <c r="D40" s="286" t="s">
        <v>281</v>
      </c>
      <c r="E40" s="230">
        <v>100</v>
      </c>
      <c r="F40" s="230">
        <v>0.4</v>
      </c>
      <c r="G40" s="231">
        <f t="shared" si="0"/>
        <v>40</v>
      </c>
      <c r="J40" s="286" t="s">
        <v>281</v>
      </c>
      <c r="K40" s="230">
        <v>100</v>
      </c>
      <c r="L40" s="230">
        <v>0.4</v>
      </c>
      <c r="M40" s="231">
        <f t="shared" si="1"/>
        <v>40</v>
      </c>
    </row>
    <row r="41" spans="4:14" x14ac:dyDescent="0.25">
      <c r="D41" s="286" t="s">
        <v>282</v>
      </c>
      <c r="E41" s="230">
        <f>30%*H36</f>
        <v>216.9</v>
      </c>
      <c r="F41" s="230" t="s">
        <v>207</v>
      </c>
      <c r="G41" s="231"/>
      <c r="J41" s="286" t="s">
        <v>282</v>
      </c>
      <c r="K41" s="230">
        <f>30%*N36</f>
        <v>215.7</v>
      </c>
      <c r="L41" s="230" t="s">
        <v>207</v>
      </c>
      <c r="M41" s="231"/>
    </row>
    <row r="42" spans="4:14" x14ac:dyDescent="0.25">
      <c r="D42" s="286" t="s">
        <v>283</v>
      </c>
      <c r="E42" s="230">
        <f>500-E41</f>
        <v>283.10000000000002</v>
      </c>
      <c r="F42" s="230">
        <v>0.25</v>
      </c>
      <c r="G42" s="231">
        <f t="shared" si="0"/>
        <v>70.775000000000006</v>
      </c>
      <c r="J42" s="286" t="s">
        <v>283</v>
      </c>
      <c r="K42" s="230">
        <f>500-K41</f>
        <v>284.3</v>
      </c>
      <c r="L42" s="230">
        <v>0.25</v>
      </c>
      <c r="M42" s="231">
        <f t="shared" ref="M42:M43" si="2">L42*K42</f>
        <v>71.075000000000003</v>
      </c>
    </row>
    <row r="43" spans="4:14" x14ac:dyDescent="0.25">
      <c r="D43" s="286" t="s">
        <v>27</v>
      </c>
      <c r="E43" s="230">
        <f>H36-500</f>
        <v>223</v>
      </c>
      <c r="F43" s="230">
        <v>0.15</v>
      </c>
      <c r="G43" s="231">
        <f t="shared" si="0"/>
        <v>33.449999999999996</v>
      </c>
      <c r="J43" s="286" t="s">
        <v>27</v>
      </c>
      <c r="K43" s="230">
        <f>N36-500</f>
        <v>219</v>
      </c>
      <c r="L43" s="230">
        <v>0.15</v>
      </c>
      <c r="M43" s="231">
        <f t="shared" si="2"/>
        <v>32.85</v>
      </c>
    </row>
    <row r="44" spans="4:14" x14ac:dyDescent="0.25">
      <c r="D44" s="354" t="s">
        <v>284</v>
      </c>
      <c r="E44" s="355"/>
      <c r="F44" s="355"/>
      <c r="G44" s="287">
        <f>SUM(G37:G43)</f>
        <v>399.52500000000003</v>
      </c>
      <c r="J44" s="354" t="s">
        <v>284</v>
      </c>
      <c r="K44" s="355"/>
      <c r="L44" s="355"/>
      <c r="M44" s="287">
        <f>SUM(M37:M43)</f>
        <v>399.22500000000002</v>
      </c>
    </row>
    <row r="45" spans="4:14" x14ac:dyDescent="0.25">
      <c r="D45" s="356" t="s">
        <v>285</v>
      </c>
      <c r="E45" s="340"/>
      <c r="F45" s="340"/>
      <c r="G45" s="279">
        <f>O16</f>
        <v>3496832.1428571427</v>
      </c>
      <c r="J45" s="356" t="s">
        <v>285</v>
      </c>
      <c r="K45" s="340"/>
      <c r="L45" s="340"/>
      <c r="M45" s="279">
        <f>O17</f>
        <v>3515976.1904761903</v>
      </c>
    </row>
    <row r="46" spans="4:14" ht="14.4" thickBot="1" x14ac:dyDescent="0.3">
      <c r="D46" s="357" t="s">
        <v>269</v>
      </c>
      <c r="E46" s="358"/>
      <c r="F46" s="358"/>
      <c r="G46" s="288">
        <f>G45/G44</f>
        <v>8752.4739199227643</v>
      </c>
      <c r="J46" s="357" t="s">
        <v>269</v>
      </c>
      <c r="K46" s="358"/>
      <c r="L46" s="358"/>
      <c r="M46" s="288">
        <f>M45/M44</f>
        <v>8807.0040465306283</v>
      </c>
    </row>
    <row r="47" spans="4:14" x14ac:dyDescent="0.25">
      <c r="D47"/>
      <c r="E47"/>
      <c r="G47" s="17"/>
      <c r="H47" s="17"/>
    </row>
    <row r="48" spans="4:14" x14ac:dyDescent="0.25">
      <c r="D48"/>
      <c r="E48"/>
      <c r="G48" s="17"/>
      <c r="H48" s="17"/>
    </row>
    <row r="49" spans="4:13" x14ac:dyDescent="0.25">
      <c r="D49"/>
      <c r="E49"/>
      <c r="G49" s="17"/>
      <c r="H49" s="17"/>
    </row>
    <row r="50" spans="4:13" ht="14.4" thickBot="1" x14ac:dyDescent="0.3">
      <c r="D50"/>
      <c r="E50"/>
      <c r="G50" s="17"/>
      <c r="H50" s="17"/>
    </row>
    <row r="51" spans="4:13" x14ac:dyDescent="0.25">
      <c r="D51" s="10"/>
      <c r="E51" s="12"/>
      <c r="F51" s="12"/>
      <c r="G51" s="12"/>
      <c r="H51" s="12"/>
      <c r="I51" s="12"/>
      <c r="J51" s="12"/>
      <c r="K51" s="12"/>
      <c r="L51" s="12"/>
      <c r="M51" s="13"/>
    </row>
    <row r="52" spans="4:13" x14ac:dyDescent="0.25">
      <c r="D52" s="18"/>
      <c r="E52"/>
      <c r="F52" s="353" t="s">
        <v>286</v>
      </c>
      <c r="G52" s="353"/>
      <c r="H52" s="353"/>
      <c r="I52" s="353"/>
      <c r="J52" s="353"/>
      <c r="M52" s="21"/>
    </row>
    <row r="53" spans="4:13" x14ac:dyDescent="0.25">
      <c r="D53" s="18"/>
      <c r="E53"/>
      <c r="F53"/>
      <c r="M53" s="21"/>
    </row>
    <row r="54" spans="4:13" x14ac:dyDescent="0.25">
      <c r="D54" s="18"/>
      <c r="E54"/>
      <c r="F54"/>
      <c r="M54" s="21"/>
    </row>
    <row r="55" spans="4:13" x14ac:dyDescent="0.25">
      <c r="D55" s="18"/>
      <c r="E55"/>
      <c r="F55"/>
      <c r="M55" s="21"/>
    </row>
    <row r="56" spans="4:13" x14ac:dyDescent="0.25">
      <c r="D56" s="18"/>
      <c r="E56"/>
      <c r="F56"/>
      <c r="M56" s="21"/>
    </row>
    <row r="57" spans="4:13" x14ac:dyDescent="0.25">
      <c r="D57" s="18"/>
      <c r="E57"/>
      <c r="F57"/>
      <c r="M57" s="21"/>
    </row>
    <row r="58" spans="4:13" x14ac:dyDescent="0.25">
      <c r="D58" s="18"/>
      <c r="E58"/>
      <c r="F58"/>
      <c r="M58" s="21"/>
    </row>
    <row r="59" spans="4:13" x14ac:dyDescent="0.25">
      <c r="D59" s="18"/>
      <c r="E59"/>
      <c r="F59"/>
      <c r="M59" s="21"/>
    </row>
    <row r="60" spans="4:13" x14ac:dyDescent="0.25">
      <c r="D60" s="18"/>
      <c r="E60"/>
      <c r="F60"/>
      <c r="M60" s="21"/>
    </row>
    <row r="61" spans="4:13" x14ac:dyDescent="0.25">
      <c r="D61" s="18"/>
      <c r="E61"/>
      <c r="F61"/>
      <c r="M61" s="21"/>
    </row>
    <row r="62" spans="4:13" x14ac:dyDescent="0.25">
      <c r="D62" s="18"/>
      <c r="E62"/>
      <c r="F62"/>
      <c r="M62" s="21"/>
    </row>
    <row r="63" spans="4:13" x14ac:dyDescent="0.25">
      <c r="D63" s="18"/>
      <c r="E63"/>
      <c r="F63"/>
      <c r="M63" s="21"/>
    </row>
    <row r="64" spans="4:13" x14ac:dyDescent="0.25">
      <c r="D64" s="18"/>
      <c r="E64"/>
      <c r="F64"/>
      <c r="M64" s="21"/>
    </row>
    <row r="65" spans="4:13" x14ac:dyDescent="0.25">
      <c r="D65" s="18"/>
      <c r="E65"/>
      <c r="F65"/>
      <c r="M65" s="21"/>
    </row>
    <row r="66" spans="4:13" x14ac:dyDescent="0.25">
      <c r="D66" s="18"/>
      <c r="E66"/>
      <c r="F66"/>
      <c r="M66" s="21"/>
    </row>
    <row r="67" spans="4:13" x14ac:dyDescent="0.25">
      <c r="D67" s="18"/>
      <c r="E67"/>
      <c r="F67"/>
      <c r="M67" s="21"/>
    </row>
    <row r="68" spans="4:13" x14ac:dyDescent="0.25">
      <c r="D68" s="18"/>
      <c r="E68"/>
      <c r="F68"/>
      <c r="M68" s="21"/>
    </row>
    <row r="69" spans="4:13" x14ac:dyDescent="0.25">
      <c r="D69" s="18"/>
      <c r="E69"/>
      <c r="F69"/>
      <c r="M69" s="21"/>
    </row>
    <row r="70" spans="4:13" x14ac:dyDescent="0.25">
      <c r="D70" s="18"/>
      <c r="E70"/>
      <c r="F70"/>
      <c r="M70" s="21"/>
    </row>
    <row r="71" spans="4:13" x14ac:dyDescent="0.25">
      <c r="D71" s="18"/>
      <c r="E71"/>
      <c r="F71"/>
      <c r="M71" s="21"/>
    </row>
    <row r="72" spans="4:13" x14ac:dyDescent="0.25">
      <c r="D72" s="18"/>
      <c r="E72"/>
      <c r="F72"/>
      <c r="M72" s="21"/>
    </row>
    <row r="73" spans="4:13" x14ac:dyDescent="0.25">
      <c r="D73" s="18"/>
      <c r="E73"/>
      <c r="F73"/>
      <c r="M73" s="21"/>
    </row>
    <row r="74" spans="4:13" x14ac:dyDescent="0.25">
      <c r="D74" s="18"/>
      <c r="E74"/>
      <c r="F74"/>
      <c r="M74" s="21"/>
    </row>
    <row r="75" spans="4:13" x14ac:dyDescent="0.25">
      <c r="D75" s="18"/>
      <c r="E75"/>
      <c r="F75"/>
      <c r="M75" s="21"/>
    </row>
    <row r="76" spans="4:13" x14ac:dyDescent="0.25">
      <c r="D76" s="18"/>
      <c r="E76"/>
      <c r="F76"/>
      <c r="M76" s="21"/>
    </row>
    <row r="77" spans="4:13" x14ac:dyDescent="0.25">
      <c r="D77" s="18"/>
      <c r="E77"/>
      <c r="F77"/>
      <c r="M77" s="21"/>
    </row>
    <row r="78" spans="4:13" x14ac:dyDescent="0.25">
      <c r="D78" s="18"/>
      <c r="E78"/>
      <c r="F78"/>
      <c r="M78" s="21"/>
    </row>
    <row r="79" spans="4:13" x14ac:dyDescent="0.25">
      <c r="D79" s="18"/>
      <c r="E79"/>
      <c r="F79"/>
      <c r="M79" s="21"/>
    </row>
    <row r="80" spans="4:13" x14ac:dyDescent="0.25">
      <c r="D80" s="18"/>
      <c r="E80" t="s">
        <v>287</v>
      </c>
      <c r="F80">
        <v>8600</v>
      </c>
      <c r="M80" s="21"/>
    </row>
    <row r="81" spans="4:13" x14ac:dyDescent="0.25">
      <c r="D81" s="18"/>
      <c r="E81" t="s">
        <v>288</v>
      </c>
      <c r="F81">
        <f>1.07^2.5</f>
        <v>1.1842937687499671</v>
      </c>
      <c r="M81" s="21"/>
    </row>
    <row r="82" spans="4:13" x14ac:dyDescent="0.25">
      <c r="D82" s="18"/>
      <c r="E82" t="s">
        <v>289</v>
      </c>
      <c r="F82" s="289">
        <f>F80*F81</f>
        <v>10184.926411249717</v>
      </c>
      <c r="M82" s="21"/>
    </row>
    <row r="83" spans="4:13" ht="14.4" thickBot="1" x14ac:dyDescent="0.3">
      <c r="D83" s="290"/>
      <c r="E83" s="291" t="s">
        <v>290</v>
      </c>
      <c r="F83" s="292">
        <v>0.85</v>
      </c>
      <c r="G83" s="291"/>
      <c r="H83" s="291"/>
      <c r="I83" s="291"/>
      <c r="J83" s="291"/>
      <c r="K83" s="291"/>
      <c r="L83" s="291"/>
      <c r="M83" s="293"/>
    </row>
    <row r="84" spans="4:13" x14ac:dyDescent="0.25">
      <c r="D84" s="18"/>
      <c r="E84" t="s">
        <v>277</v>
      </c>
      <c r="F84" s="19">
        <f>F82*F83</f>
        <v>8657.1874495622596</v>
      </c>
      <c r="G84" s="19"/>
      <c r="H84" s="19"/>
      <c r="M84" s="21"/>
    </row>
    <row r="85" spans="4:13" ht="14.4" thickBot="1" x14ac:dyDescent="0.3">
      <c r="D85" s="290"/>
      <c r="E85" s="103" t="s">
        <v>278</v>
      </c>
      <c r="F85" s="294">
        <v>9000</v>
      </c>
      <c r="G85" s="295"/>
      <c r="H85" s="295"/>
      <c r="I85" s="291"/>
      <c r="J85" s="291"/>
      <c r="K85" s="291"/>
      <c r="L85" s="291"/>
      <c r="M85" s="293"/>
    </row>
    <row r="86" spans="4:13" x14ac:dyDescent="0.25">
      <c r="D86"/>
      <c r="E86"/>
      <c r="G86" s="17"/>
      <c r="H86" s="17"/>
    </row>
    <row r="87" spans="4:13" x14ac:dyDescent="0.25">
      <c r="D87"/>
      <c r="E87"/>
      <c r="G87" s="17"/>
      <c r="H87" s="17"/>
    </row>
    <row r="88" spans="4:13" x14ac:dyDescent="0.25">
      <c r="D88"/>
      <c r="E88"/>
      <c r="G88" s="17"/>
      <c r="H88" s="17"/>
    </row>
    <row r="89" spans="4:13" x14ac:dyDescent="0.25">
      <c r="D89"/>
      <c r="E89"/>
      <c r="G89" s="17"/>
      <c r="H89" s="17"/>
    </row>
    <row r="90" spans="4:13" x14ac:dyDescent="0.25">
      <c r="D90"/>
      <c r="E90"/>
      <c r="G90" s="17"/>
      <c r="H90" s="17"/>
    </row>
    <row r="91" spans="4:13" x14ac:dyDescent="0.25">
      <c r="D91"/>
      <c r="E91"/>
      <c r="G91" s="17"/>
      <c r="H91" s="17"/>
    </row>
    <row r="92" spans="4:13" x14ac:dyDescent="0.25">
      <c r="D92"/>
      <c r="E92"/>
      <c r="G92" s="17"/>
      <c r="H92" s="17"/>
    </row>
    <row r="93" spans="4:13" x14ac:dyDescent="0.25">
      <c r="D93"/>
      <c r="E93"/>
      <c r="G93" s="17"/>
      <c r="H93" s="17"/>
    </row>
  </sheetData>
  <mergeCells count="14">
    <mergeCell ref="D35:G35"/>
    <mergeCell ref="J35:M35"/>
    <mergeCell ref="C18:O18"/>
    <mergeCell ref="C19:O19"/>
    <mergeCell ref="C20:O20"/>
    <mergeCell ref="C21:O21"/>
    <mergeCell ref="C22:O22"/>
    <mergeCell ref="F52:J52"/>
    <mergeCell ref="D44:F44"/>
    <mergeCell ref="J44:L44"/>
    <mergeCell ref="D45:F45"/>
    <mergeCell ref="J45:L45"/>
    <mergeCell ref="D46:F46"/>
    <mergeCell ref="J46:L46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62F1-17A9-430F-B2C4-D5EB8640EA03}">
  <dimension ref="A1:R60"/>
  <sheetViews>
    <sheetView rightToLeft="1" zoomScale="130" zoomScaleNormal="130" workbookViewId="0">
      <selection activeCell="L10" sqref="L10"/>
    </sheetView>
  </sheetViews>
  <sheetFormatPr defaultRowHeight="13.8" x14ac:dyDescent="0.25"/>
  <cols>
    <col min="1" max="1" width="19.796875" customWidth="1"/>
    <col min="2" max="3" width="6" customWidth="1"/>
    <col min="4" max="4" width="17.5" customWidth="1"/>
    <col min="5" max="5" width="14.09765625" style="17" customWidth="1"/>
    <col min="6" max="6" width="14.69921875" customWidth="1"/>
    <col min="7" max="7" width="12.69921875" customWidth="1"/>
    <col min="8" max="8" width="13.3984375" customWidth="1"/>
    <col min="9" max="9" width="11.59765625" customWidth="1"/>
    <col min="10" max="10" width="11.19921875" customWidth="1"/>
    <col min="11" max="11" width="10.296875" customWidth="1"/>
    <col min="12" max="12" width="9.19921875" customWidth="1"/>
    <col min="13" max="19" width="9.59765625" customWidth="1"/>
  </cols>
  <sheetData>
    <row r="1" spans="1:18" ht="16.5" customHeight="1" thickBot="1" x14ac:dyDescent="0.3">
      <c r="D1" s="66"/>
      <c r="E1"/>
    </row>
    <row r="2" spans="1:18" ht="42" thickBot="1" x14ac:dyDescent="0.3">
      <c r="A2" s="120" t="s">
        <v>32</v>
      </c>
      <c r="B2" s="192" t="s">
        <v>157</v>
      </c>
      <c r="C2" s="120" t="s">
        <v>158</v>
      </c>
      <c r="D2" s="92" t="s">
        <v>237</v>
      </c>
      <c r="E2" s="97" t="s">
        <v>238</v>
      </c>
      <c r="F2" s="257" t="s">
        <v>239</v>
      </c>
      <c r="G2" s="92" t="s">
        <v>240</v>
      </c>
      <c r="H2" s="47" t="s">
        <v>241</v>
      </c>
      <c r="I2" s="258" t="s">
        <v>242</v>
      </c>
      <c r="J2" s="260" t="s">
        <v>243</v>
      </c>
      <c r="K2" s="117" t="s">
        <v>244</v>
      </c>
      <c r="L2" s="259" t="s">
        <v>247</v>
      </c>
      <c r="M2" s="47"/>
      <c r="N2" s="47"/>
      <c r="O2" s="47"/>
      <c r="P2" s="117"/>
      <c r="Q2" s="117"/>
      <c r="R2" s="118"/>
    </row>
    <row r="3" spans="1:18" x14ac:dyDescent="0.25">
      <c r="A3" s="121" t="s">
        <v>145</v>
      </c>
      <c r="B3" s="193"/>
      <c r="C3" s="121"/>
      <c r="D3" s="93">
        <v>124</v>
      </c>
      <c r="E3" s="144">
        <v>53</v>
      </c>
      <c r="F3" s="93">
        <v>93</v>
      </c>
      <c r="G3" s="64">
        <v>252</v>
      </c>
      <c r="H3" s="64">
        <v>139</v>
      </c>
      <c r="I3" s="64">
        <v>738</v>
      </c>
      <c r="J3" s="261">
        <v>5491</v>
      </c>
      <c r="K3" s="49">
        <v>202</v>
      </c>
      <c r="L3" s="49">
        <v>9</v>
      </c>
      <c r="M3" s="48"/>
      <c r="N3" s="48"/>
      <c r="O3" s="48"/>
      <c r="P3" s="49"/>
      <c r="Q3" s="49"/>
      <c r="R3" s="50"/>
    </row>
    <row r="4" spans="1:18" x14ac:dyDescent="0.25">
      <c r="A4" s="121" t="s">
        <v>90</v>
      </c>
      <c r="B4" s="193"/>
      <c r="C4" s="121"/>
      <c r="D4" s="93"/>
      <c r="E4" s="144"/>
      <c r="F4" s="93"/>
      <c r="G4" s="64"/>
      <c r="H4" s="64"/>
      <c r="I4" s="64"/>
      <c r="J4" s="49"/>
      <c r="K4" s="49"/>
      <c r="L4" s="49"/>
      <c r="M4" s="48"/>
      <c r="N4" s="48"/>
      <c r="O4" s="48"/>
      <c r="P4" s="49"/>
      <c r="Q4" s="49"/>
      <c r="R4" s="50"/>
    </row>
    <row r="5" spans="1:18" x14ac:dyDescent="0.25">
      <c r="A5" s="121" t="s">
        <v>72</v>
      </c>
      <c r="B5" s="193"/>
      <c r="C5" s="121"/>
      <c r="D5" s="93"/>
      <c r="E5" s="144"/>
      <c r="F5" s="93"/>
      <c r="G5" s="64"/>
      <c r="H5" s="64"/>
      <c r="I5" s="64"/>
      <c r="J5" s="49"/>
      <c r="K5" s="261">
        <v>43</v>
      </c>
      <c r="L5" s="49"/>
      <c r="M5" s="48"/>
      <c r="N5" s="48"/>
      <c r="O5" s="48"/>
      <c r="P5" s="49"/>
      <c r="Q5" s="49"/>
      <c r="R5" s="50"/>
    </row>
    <row r="6" spans="1:18" x14ac:dyDescent="0.25">
      <c r="A6" s="121" t="s">
        <v>98</v>
      </c>
      <c r="B6" s="193"/>
      <c r="C6" s="121"/>
      <c r="D6" s="93">
        <f>12.7+10.1+10.1</f>
        <v>32.9</v>
      </c>
      <c r="E6" s="144">
        <v>9</v>
      </c>
      <c r="F6" s="93"/>
      <c r="G6" s="64"/>
      <c r="H6" s="64"/>
      <c r="I6" s="64"/>
      <c r="J6" s="49"/>
      <c r="K6" s="49"/>
      <c r="L6" s="49"/>
      <c r="M6" s="48"/>
      <c r="N6" s="48"/>
      <c r="O6" s="48"/>
      <c r="P6" s="49"/>
      <c r="Q6" s="49"/>
      <c r="R6" s="50"/>
    </row>
    <row r="7" spans="1:18" x14ac:dyDescent="0.25">
      <c r="A7" s="121" t="s">
        <v>18</v>
      </c>
      <c r="B7" s="193"/>
      <c r="C7" s="121"/>
      <c r="D7" s="93">
        <v>7</v>
      </c>
      <c r="E7" s="64"/>
      <c r="F7" s="93"/>
      <c r="G7" s="64"/>
      <c r="H7" s="64"/>
      <c r="I7" s="64"/>
      <c r="J7" s="49"/>
      <c r="K7" s="49"/>
      <c r="L7" s="49"/>
      <c r="M7" s="48"/>
      <c r="N7" s="48"/>
      <c r="O7" s="48"/>
      <c r="P7" s="49"/>
      <c r="Q7" s="49"/>
      <c r="R7" s="50"/>
    </row>
    <row r="8" spans="1:18" x14ac:dyDescent="0.25">
      <c r="A8" s="121" t="s">
        <v>64</v>
      </c>
      <c r="B8" s="193"/>
      <c r="C8" s="121"/>
      <c r="D8" s="94">
        <v>9</v>
      </c>
      <c r="E8" s="54"/>
      <c r="F8" s="94"/>
      <c r="G8" s="54"/>
      <c r="H8" s="54"/>
      <c r="I8" s="54"/>
      <c r="J8" s="52"/>
      <c r="K8" s="52"/>
      <c r="L8" s="52"/>
      <c r="M8" s="51"/>
      <c r="N8" s="51"/>
      <c r="O8" s="51"/>
      <c r="P8" s="52"/>
      <c r="Q8" s="52"/>
      <c r="R8" s="53"/>
    </row>
    <row r="9" spans="1:18" x14ac:dyDescent="0.25">
      <c r="A9" s="121" t="s">
        <v>144</v>
      </c>
      <c r="B9" s="194"/>
      <c r="C9" s="209"/>
      <c r="D9" s="95"/>
      <c r="E9" s="56"/>
      <c r="F9" s="94"/>
      <c r="G9" s="54"/>
      <c r="H9" s="54"/>
      <c r="I9" s="54"/>
      <c r="J9" s="52"/>
      <c r="K9" s="52"/>
      <c r="L9" s="52"/>
      <c r="M9" s="51"/>
      <c r="N9" s="51"/>
      <c r="O9" s="51"/>
      <c r="P9" s="52"/>
      <c r="Q9" s="52"/>
      <c r="R9" s="53"/>
    </row>
    <row r="10" spans="1:18" x14ac:dyDescent="0.25">
      <c r="A10" s="122" t="s">
        <v>47</v>
      </c>
      <c r="B10" s="195"/>
      <c r="C10" s="123"/>
      <c r="D10" s="95"/>
      <c r="E10" s="56"/>
      <c r="F10" s="94"/>
      <c r="G10" s="54"/>
      <c r="H10" s="54"/>
      <c r="I10" s="54"/>
      <c r="J10" s="52"/>
      <c r="K10" s="52"/>
      <c r="L10" s="52"/>
      <c r="M10" s="51"/>
      <c r="N10" s="51"/>
      <c r="O10" s="51"/>
      <c r="P10" s="52"/>
      <c r="Q10" s="52"/>
      <c r="R10" s="53"/>
    </row>
    <row r="11" spans="1:18" x14ac:dyDescent="0.25">
      <c r="A11" s="123" t="s">
        <v>87</v>
      </c>
      <c r="B11" s="195"/>
      <c r="C11" s="123"/>
      <c r="D11" s="95"/>
      <c r="E11" s="56"/>
      <c r="F11" s="95"/>
      <c r="G11" s="56"/>
      <c r="H11" s="56"/>
      <c r="I11" s="56"/>
      <c r="J11" s="57"/>
      <c r="K11" s="57"/>
      <c r="L11" s="57"/>
      <c r="M11" s="55"/>
      <c r="N11" s="55"/>
      <c r="O11" s="55"/>
      <c r="P11" s="57"/>
      <c r="Q11" s="57"/>
      <c r="R11" s="58"/>
    </row>
    <row r="12" spans="1:18" ht="14.4" thickBot="1" x14ac:dyDescent="0.3">
      <c r="A12" s="124" t="s">
        <v>83</v>
      </c>
      <c r="B12" s="196"/>
      <c r="C12" s="124"/>
      <c r="D12" s="96"/>
      <c r="E12" s="90"/>
      <c r="F12" s="96"/>
      <c r="G12" s="90"/>
      <c r="H12" s="90"/>
      <c r="I12" s="90"/>
      <c r="J12" s="60"/>
      <c r="K12" s="60"/>
      <c r="L12" s="60"/>
      <c r="M12" s="59"/>
      <c r="N12" s="59"/>
      <c r="O12" s="59"/>
      <c r="P12" s="60"/>
      <c r="Q12" s="60"/>
      <c r="R12" s="61"/>
    </row>
    <row r="13" spans="1:18" ht="15" thickTop="1" thickBot="1" x14ac:dyDescent="0.3">
      <c r="A13" s="200" t="s">
        <v>33</v>
      </c>
      <c r="B13" s="211"/>
      <c r="C13" s="210"/>
      <c r="D13" s="207">
        <f>SUM(D4:D12)</f>
        <v>48.9</v>
      </c>
      <c r="E13" s="201">
        <f>SUM(E4:E12)</f>
        <v>9</v>
      </c>
      <c r="F13" s="201">
        <f>SUM(F3:F12)</f>
        <v>93</v>
      </c>
      <c r="G13" s="201">
        <f>SUM(G3:G12)</f>
        <v>252</v>
      </c>
      <c r="H13" s="202">
        <f t="shared" ref="H13" si="0">SUM(H3:H12)</f>
        <v>139</v>
      </c>
      <c r="I13" s="201">
        <f>SUM(I3:I12)</f>
        <v>738</v>
      </c>
      <c r="J13" s="202">
        <f t="shared" ref="J13:R13" si="1">SUM(J3:J12)</f>
        <v>5491</v>
      </c>
      <c r="K13" s="202">
        <f t="shared" si="1"/>
        <v>245</v>
      </c>
      <c r="L13" s="202">
        <f t="shared" si="1"/>
        <v>9</v>
      </c>
      <c r="M13" s="203">
        <f t="shared" si="1"/>
        <v>0</v>
      </c>
      <c r="N13" s="203">
        <f t="shared" si="1"/>
        <v>0</v>
      </c>
      <c r="O13" s="203">
        <f t="shared" si="1"/>
        <v>0</v>
      </c>
      <c r="P13" s="202">
        <f t="shared" si="1"/>
        <v>0</v>
      </c>
      <c r="Q13" s="202">
        <f t="shared" si="1"/>
        <v>0</v>
      </c>
      <c r="R13" s="204">
        <f t="shared" si="1"/>
        <v>0</v>
      </c>
    </row>
    <row r="14" spans="1:18" ht="28.2" thickBot="1" x14ac:dyDescent="0.3">
      <c r="A14" s="126" t="s">
        <v>34</v>
      </c>
      <c r="B14" s="192" t="s">
        <v>157</v>
      </c>
      <c r="C14" s="120" t="s">
        <v>158</v>
      </c>
      <c r="D14" s="206"/>
      <c r="E14" s="205"/>
      <c r="F14" s="206"/>
      <c r="G14" s="62"/>
      <c r="H14" s="62"/>
      <c r="I14" s="62"/>
      <c r="J14" s="62"/>
      <c r="K14" s="62"/>
      <c r="L14" s="140"/>
      <c r="M14" s="62"/>
      <c r="N14" s="62"/>
      <c r="O14" s="62"/>
      <c r="P14" s="140"/>
      <c r="Q14" s="140"/>
      <c r="R14" s="63"/>
    </row>
    <row r="15" spans="1:18" x14ac:dyDescent="0.25">
      <c r="A15" s="122"/>
      <c r="B15" s="197"/>
      <c r="C15" s="122" t="s">
        <v>159</v>
      </c>
      <c r="D15" s="52"/>
      <c r="E15" s="145"/>
      <c r="F15" s="52"/>
      <c r="G15" s="64"/>
      <c r="H15" s="64"/>
      <c r="I15" s="64"/>
      <c r="J15" s="48"/>
      <c r="K15" s="48"/>
      <c r="L15" s="48"/>
      <c r="M15" s="48"/>
      <c r="N15" s="48"/>
      <c r="O15" s="48"/>
      <c r="P15" s="49"/>
      <c r="Q15" s="49"/>
      <c r="R15" s="50"/>
    </row>
    <row r="16" spans="1:18" x14ac:dyDescent="0.25">
      <c r="A16" s="122" t="s">
        <v>246</v>
      </c>
      <c r="B16" s="197"/>
      <c r="C16" s="122"/>
      <c r="D16" s="52"/>
      <c r="E16" s="51"/>
      <c r="F16" s="52"/>
      <c r="G16" s="64"/>
      <c r="H16" s="64"/>
      <c r="I16" s="64"/>
      <c r="J16" s="48"/>
      <c r="K16" s="48">
        <f>162.22+11.1</f>
        <v>173.32</v>
      </c>
      <c r="L16" s="48"/>
      <c r="M16" s="48"/>
      <c r="N16" s="48"/>
      <c r="O16" s="48"/>
      <c r="P16" s="49"/>
      <c r="Q16" s="49"/>
      <c r="R16" s="50"/>
    </row>
    <row r="17" spans="1:18" x14ac:dyDescent="0.25">
      <c r="A17" s="122"/>
      <c r="B17" s="197"/>
      <c r="C17" s="122"/>
      <c r="D17" s="52"/>
      <c r="E17" s="51"/>
      <c r="F17" s="52"/>
      <c r="G17" s="64"/>
      <c r="H17" s="64"/>
      <c r="I17" s="64"/>
      <c r="J17" s="48"/>
      <c r="K17" s="48"/>
      <c r="L17" s="48"/>
      <c r="M17" s="48"/>
      <c r="N17" s="48"/>
      <c r="O17" s="48"/>
      <c r="P17" s="49"/>
      <c r="Q17" s="49"/>
      <c r="R17" s="50"/>
    </row>
    <row r="18" spans="1:18" x14ac:dyDescent="0.25">
      <c r="A18" s="122" t="s">
        <v>245</v>
      </c>
      <c r="B18" s="197"/>
      <c r="C18" s="122" t="s">
        <v>159</v>
      </c>
      <c r="D18" s="52"/>
      <c r="E18" s="51"/>
      <c r="F18" s="52"/>
      <c r="G18" s="64"/>
      <c r="H18" s="64"/>
      <c r="I18" s="64">
        <v>420</v>
      </c>
      <c r="J18" s="48">
        <v>3600</v>
      </c>
      <c r="K18" s="48"/>
      <c r="L18" s="48"/>
      <c r="M18" s="48"/>
      <c r="N18" s="48"/>
      <c r="O18" s="48"/>
      <c r="P18" s="49"/>
      <c r="Q18" s="49"/>
      <c r="R18" s="50"/>
    </row>
    <row r="19" spans="1:18" x14ac:dyDescent="0.25">
      <c r="A19" s="122"/>
      <c r="B19" s="197"/>
      <c r="C19" s="122"/>
      <c r="D19" s="52"/>
      <c r="E19" s="51"/>
      <c r="F19" s="52"/>
      <c r="G19" s="64"/>
      <c r="H19" s="64"/>
      <c r="I19" s="64"/>
      <c r="J19" s="48"/>
      <c r="K19" s="48"/>
      <c r="L19" s="48"/>
      <c r="M19" s="48"/>
      <c r="N19" s="48"/>
      <c r="O19" s="48"/>
      <c r="P19" s="49"/>
      <c r="Q19" s="49"/>
      <c r="R19" s="50"/>
    </row>
    <row r="20" spans="1:18" x14ac:dyDescent="0.25">
      <c r="A20" s="122"/>
      <c r="B20" s="197"/>
      <c r="C20" s="122"/>
      <c r="D20" s="52"/>
      <c r="E20" s="51"/>
      <c r="F20" s="52"/>
      <c r="G20" s="51"/>
      <c r="H20" s="51"/>
      <c r="I20" s="51"/>
      <c r="J20" s="51"/>
      <c r="K20" s="51"/>
      <c r="L20" s="51"/>
      <c r="M20" s="51"/>
      <c r="N20" s="51"/>
      <c r="O20" s="51"/>
      <c r="P20" s="52"/>
      <c r="Q20" s="52"/>
      <c r="R20" s="53"/>
    </row>
    <row r="21" spans="1:18" x14ac:dyDescent="0.25">
      <c r="A21" s="122"/>
      <c r="B21" s="197"/>
      <c r="C21" s="122"/>
      <c r="D21" s="49"/>
      <c r="E21" s="51"/>
      <c r="F21" s="52"/>
      <c r="G21" s="51"/>
      <c r="H21" s="51"/>
      <c r="I21" s="51"/>
      <c r="J21" s="51"/>
      <c r="K21" s="51"/>
      <c r="L21" s="51"/>
      <c r="M21" s="51"/>
      <c r="N21" s="51"/>
      <c r="O21" s="51"/>
      <c r="P21" s="52"/>
      <c r="Q21" s="52"/>
      <c r="R21" s="53"/>
    </row>
    <row r="22" spans="1:18" x14ac:dyDescent="0.25">
      <c r="A22" s="122"/>
      <c r="B22" s="197"/>
      <c r="C22" s="122"/>
      <c r="D22" s="52"/>
      <c r="E22" s="51"/>
      <c r="F22" s="52"/>
      <c r="G22" s="51"/>
      <c r="H22" s="51"/>
      <c r="I22" s="51"/>
      <c r="J22" s="51"/>
      <c r="K22" s="51"/>
      <c r="L22" s="51"/>
      <c r="M22" s="51"/>
      <c r="N22" s="51"/>
      <c r="O22" s="51"/>
      <c r="P22" s="52"/>
      <c r="Q22" s="52"/>
      <c r="R22" s="53"/>
    </row>
    <row r="23" spans="1:18" ht="14.4" thickBot="1" x14ac:dyDescent="0.3">
      <c r="A23" s="124"/>
      <c r="B23" s="196"/>
      <c r="C23" s="124"/>
      <c r="D23" s="60"/>
      <c r="E23" s="59"/>
      <c r="F23" s="60"/>
      <c r="G23" s="59"/>
      <c r="H23" s="59"/>
      <c r="I23" s="51"/>
      <c r="J23" s="51"/>
      <c r="K23" s="51"/>
      <c r="L23" s="51"/>
      <c r="M23" s="51"/>
      <c r="N23" s="59"/>
      <c r="O23" s="59"/>
      <c r="P23" s="60"/>
      <c r="Q23" s="60"/>
      <c r="R23" s="61"/>
    </row>
    <row r="24" spans="1:18" ht="14.4" thickTop="1" x14ac:dyDescent="0.25">
      <c r="A24" s="127" t="s">
        <v>86</v>
      </c>
      <c r="B24" s="198"/>
      <c r="C24" s="127"/>
      <c r="D24" s="208">
        <f>SUM(D17:D23)</f>
        <v>0</v>
      </c>
      <c r="E24" s="119">
        <f>SUM(E17:E23)</f>
        <v>0</v>
      </c>
      <c r="F24" s="119">
        <f t="shared" ref="F24:R24" si="2">SUM(F15:F23)</f>
        <v>0</v>
      </c>
      <c r="G24" s="119">
        <f t="shared" si="2"/>
        <v>0</v>
      </c>
      <c r="H24" s="119">
        <f t="shared" si="2"/>
        <v>0</v>
      </c>
      <c r="I24" s="119">
        <f t="shared" si="2"/>
        <v>420</v>
      </c>
      <c r="J24" s="65">
        <f t="shared" si="2"/>
        <v>3600</v>
      </c>
      <c r="K24" s="65">
        <f t="shared" si="2"/>
        <v>173.32</v>
      </c>
      <c r="L24" s="65">
        <f t="shared" si="2"/>
        <v>0</v>
      </c>
      <c r="M24" s="65">
        <f t="shared" si="2"/>
        <v>0</v>
      </c>
      <c r="N24" s="65">
        <f t="shared" si="2"/>
        <v>0</v>
      </c>
      <c r="O24" s="65">
        <f t="shared" si="2"/>
        <v>0</v>
      </c>
      <c r="P24" s="141">
        <f t="shared" si="2"/>
        <v>0</v>
      </c>
      <c r="Q24" s="141">
        <f t="shared" si="2"/>
        <v>0</v>
      </c>
      <c r="R24" s="139">
        <f t="shared" si="2"/>
        <v>0</v>
      </c>
    </row>
    <row r="25" spans="1:18" ht="14.4" thickBot="1" x14ac:dyDescent="0.3">
      <c r="A25" s="125" t="s">
        <v>35</v>
      </c>
      <c r="B25" s="199"/>
      <c r="C25" s="125"/>
      <c r="D25" s="142">
        <f t="shared" ref="D25:R25" si="3">D13-D24</f>
        <v>48.9</v>
      </c>
      <c r="E25" s="138">
        <f t="shared" si="3"/>
        <v>9</v>
      </c>
      <c r="F25" s="138">
        <f t="shared" si="3"/>
        <v>93</v>
      </c>
      <c r="G25" s="138">
        <f t="shared" si="3"/>
        <v>252</v>
      </c>
      <c r="H25" s="138">
        <f t="shared" si="3"/>
        <v>139</v>
      </c>
      <c r="I25" s="138">
        <f t="shared" si="3"/>
        <v>318</v>
      </c>
      <c r="J25" s="138">
        <f t="shared" si="3"/>
        <v>1891</v>
      </c>
      <c r="K25" s="138">
        <f t="shared" si="3"/>
        <v>71.680000000000007</v>
      </c>
      <c r="L25" s="138">
        <f t="shared" si="3"/>
        <v>9</v>
      </c>
      <c r="M25" s="138">
        <f t="shared" si="3"/>
        <v>0</v>
      </c>
      <c r="N25" s="138">
        <f t="shared" si="3"/>
        <v>0</v>
      </c>
      <c r="O25" s="138">
        <f t="shared" si="3"/>
        <v>0</v>
      </c>
      <c r="P25" s="143">
        <f t="shared" si="3"/>
        <v>0</v>
      </c>
      <c r="Q25" s="142">
        <f t="shared" si="3"/>
        <v>0</v>
      </c>
      <c r="R25" s="146">
        <f t="shared" si="3"/>
        <v>0</v>
      </c>
    </row>
    <row r="26" spans="1:18" x14ac:dyDescent="0.25">
      <c r="D26" s="135"/>
      <c r="E26" s="73"/>
      <c r="F26" s="148"/>
      <c r="H26" s="73"/>
      <c r="I26" s="73"/>
      <c r="J26" s="98"/>
      <c r="K26" s="148"/>
      <c r="L26" s="73"/>
    </row>
    <row r="27" spans="1:18" x14ac:dyDescent="0.25">
      <c r="A27" t="s">
        <v>84</v>
      </c>
      <c r="D27" s="136">
        <f>D8+D7</f>
        <v>16</v>
      </c>
      <c r="F27" s="73"/>
    </row>
    <row r="28" spans="1:18" x14ac:dyDescent="0.25">
      <c r="E28" s="91">
        <f>E3*9300*5%*7</f>
        <v>172515</v>
      </c>
      <c r="F28" s="66"/>
      <c r="G28" s="91"/>
      <c r="H28" s="91"/>
      <c r="J28" s="91"/>
    </row>
    <row r="29" spans="1:18" x14ac:dyDescent="0.25">
      <c r="E29" s="38" t="e">
        <f>375-E24-F24-#REF!</f>
        <v>#REF!</v>
      </c>
      <c r="F29" s="66"/>
      <c r="G29" s="91"/>
      <c r="H29" s="91"/>
    </row>
    <row r="30" spans="1:18" x14ac:dyDescent="0.25">
      <c r="M30" s="91"/>
      <c r="N30" s="91"/>
    </row>
    <row r="31" spans="1:18" x14ac:dyDescent="0.25">
      <c r="A31" s="67" t="s">
        <v>36</v>
      </c>
      <c r="B31" s="67"/>
      <c r="C31" s="67"/>
      <c r="D31" s="68"/>
      <c r="K31" s="91"/>
      <c r="M31" s="17"/>
    </row>
    <row r="32" spans="1:18" x14ac:dyDescent="0.25">
      <c r="A32" t="s">
        <v>14</v>
      </c>
      <c r="E32" s="69">
        <f>-D13</f>
        <v>-48.9</v>
      </c>
      <c r="G32" s="72"/>
      <c r="H32" s="72"/>
      <c r="K32" s="91"/>
    </row>
    <row r="33" spans="1:9" x14ac:dyDescent="0.25">
      <c r="A33" t="s">
        <v>15</v>
      </c>
      <c r="E33" s="17">
        <f>-E13</f>
        <v>-9</v>
      </c>
      <c r="G33" s="72"/>
    </row>
    <row r="34" spans="1:9" x14ac:dyDescent="0.25">
      <c r="A34" t="s">
        <v>18</v>
      </c>
      <c r="E34" s="17" t="e">
        <f>#REF!</f>
        <v>#REF!</v>
      </c>
    </row>
    <row r="35" spans="1:9" x14ac:dyDescent="0.25">
      <c r="A35" s="40" t="s">
        <v>8</v>
      </c>
      <c r="B35" s="40"/>
      <c r="C35" s="40"/>
      <c r="D35" s="40"/>
      <c r="E35" s="23" t="e">
        <f>SUM(E31:E34)</f>
        <v>#REF!</v>
      </c>
      <c r="I35" s="72"/>
    </row>
    <row r="36" spans="1:9" x14ac:dyDescent="0.25">
      <c r="A36" t="s">
        <v>37</v>
      </c>
      <c r="E36" s="38">
        <v>375</v>
      </c>
      <c r="H36" s="91"/>
    </row>
    <row r="37" spans="1:9" x14ac:dyDescent="0.25">
      <c r="A37" s="40" t="s">
        <v>38</v>
      </c>
      <c r="B37" s="40"/>
      <c r="C37" s="40"/>
      <c r="D37" s="40"/>
      <c r="E37" s="23" t="e">
        <f>SUM(E35:E36)</f>
        <v>#REF!</v>
      </c>
    </row>
    <row r="38" spans="1:9" x14ac:dyDescent="0.25">
      <c r="A38" t="s">
        <v>39</v>
      </c>
      <c r="E38" s="17" t="e">
        <f>-E24-F24-#REF!</f>
        <v>#REF!</v>
      </c>
    </row>
    <row r="39" spans="1:9" x14ac:dyDescent="0.25">
      <c r="A39" s="40" t="s">
        <v>40</v>
      </c>
      <c r="B39" s="40"/>
      <c r="C39" s="40"/>
      <c r="D39" s="40"/>
      <c r="E39" s="70" t="e">
        <f>SUM(E37:E38)</f>
        <v>#REF!</v>
      </c>
    </row>
    <row r="43" spans="1:9" x14ac:dyDescent="0.25">
      <c r="A43" s="130" t="s">
        <v>73</v>
      </c>
      <c r="B43" s="130"/>
      <c r="C43" s="130"/>
    </row>
    <row r="44" spans="1:9" ht="15.6" x14ac:dyDescent="0.4">
      <c r="A44" s="39" t="s">
        <v>74</v>
      </c>
      <c r="B44" s="39"/>
      <c r="C44" s="39"/>
      <c r="D44" s="39" t="s">
        <v>76</v>
      </c>
      <c r="E44" s="131" t="s">
        <v>77</v>
      </c>
      <c r="F44" s="39" t="s">
        <v>80</v>
      </c>
      <c r="G44" s="39"/>
      <c r="H44" s="17"/>
    </row>
    <row r="45" spans="1:9" x14ac:dyDescent="0.25">
      <c r="A45" t="s">
        <v>41</v>
      </c>
      <c r="F45" s="91">
        <f>E45-D45</f>
        <v>0</v>
      </c>
    </row>
    <row r="46" spans="1:9" x14ac:dyDescent="0.25">
      <c r="A46" t="s">
        <v>75</v>
      </c>
      <c r="F46" s="91">
        <f>E46-D46</f>
        <v>0</v>
      </c>
    </row>
    <row r="47" spans="1:9" x14ac:dyDescent="0.25">
      <c r="A47" s="108" t="s">
        <v>78</v>
      </c>
      <c r="B47" s="108"/>
      <c r="C47" s="108"/>
      <c r="D47" s="108">
        <f>SUM(D45:D46)</f>
        <v>0</v>
      </c>
      <c r="E47" s="70">
        <f>SUM(E45:E46)</f>
        <v>0</v>
      </c>
      <c r="F47" s="132">
        <f>E47-D47</f>
        <v>0</v>
      </c>
    </row>
    <row r="49" spans="1:9" ht="15.6" x14ac:dyDescent="0.4">
      <c r="A49" s="39" t="s">
        <v>79</v>
      </c>
      <c r="B49" s="39"/>
      <c r="C49" s="39"/>
      <c r="D49" s="39" t="s">
        <v>76</v>
      </c>
      <c r="E49" s="131" t="s">
        <v>77</v>
      </c>
      <c r="F49" s="39" t="s">
        <v>80</v>
      </c>
    </row>
    <row r="50" spans="1:9" x14ac:dyDescent="0.25">
      <c r="A50" t="s">
        <v>41</v>
      </c>
      <c r="F50" s="91">
        <f>E50-D50</f>
        <v>0</v>
      </c>
      <c r="G50" s="39"/>
      <c r="I50" s="17"/>
    </row>
    <row r="51" spans="1:9" x14ac:dyDescent="0.25">
      <c r="A51" t="s">
        <v>75</v>
      </c>
      <c r="F51" s="91">
        <f>E51-D51</f>
        <v>0</v>
      </c>
    </row>
    <row r="52" spans="1:9" x14ac:dyDescent="0.25">
      <c r="A52" s="108" t="s">
        <v>78</v>
      </c>
      <c r="B52" s="108"/>
      <c r="C52" s="108"/>
      <c r="D52" s="108">
        <f>SUM(D50:D51)</f>
        <v>0</v>
      </c>
      <c r="E52" s="70">
        <f>SUM(E50:E51)</f>
        <v>0</v>
      </c>
      <c r="F52" s="132">
        <f>E52-D52</f>
        <v>0</v>
      </c>
      <c r="I52" s="147"/>
    </row>
    <row r="54" spans="1:9" x14ac:dyDescent="0.25">
      <c r="A54" s="133" t="s">
        <v>8</v>
      </c>
      <c r="B54" s="133"/>
      <c r="C54" s="133"/>
      <c r="D54" s="133">
        <f>D52+D47</f>
        <v>0</v>
      </c>
      <c r="E54" s="133">
        <f>E52+E47</f>
        <v>0</v>
      </c>
      <c r="F54" s="134">
        <f>F52+F47</f>
        <v>0</v>
      </c>
    </row>
    <row r="58" spans="1:9" x14ac:dyDescent="0.25">
      <c r="G58" s="39"/>
      <c r="I58" s="17"/>
    </row>
    <row r="60" spans="1:9" x14ac:dyDescent="0.25">
      <c r="I60" s="147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E4A649-D1BA-44F5-8D16-5BA1D42FDEC5}">
          <x14:formula1>
            <xm:f>גיליון1!$J$8:$J$9</xm:f>
          </x14:formula1>
          <xm:sqref>B15:C23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4FD07-046C-4512-A64A-9CCE769120BE}">
  <dimension ref="A2:F6"/>
  <sheetViews>
    <sheetView rightToLeft="1" zoomScale="175" zoomScaleNormal="175" workbookViewId="0">
      <selection activeCell="F3" sqref="F3"/>
    </sheetView>
  </sheetViews>
  <sheetFormatPr defaultRowHeight="13.8" x14ac:dyDescent="0.25"/>
  <cols>
    <col min="2" max="2" width="11.5" bestFit="1" customWidth="1"/>
    <col min="3" max="3" width="9.8984375" bestFit="1" customWidth="1"/>
    <col min="6" max="6" width="11" bestFit="1" customWidth="1"/>
  </cols>
  <sheetData>
    <row r="2" spans="1:6" x14ac:dyDescent="0.25">
      <c r="A2" s="39" t="s">
        <v>161</v>
      </c>
      <c r="B2" s="39" t="s">
        <v>162</v>
      </c>
      <c r="C2" s="39" t="s">
        <v>132</v>
      </c>
      <c r="D2" s="39" t="s">
        <v>163</v>
      </c>
    </row>
    <row r="3" spans="1:6" x14ac:dyDescent="0.25">
      <c r="A3" t="s">
        <v>166</v>
      </c>
      <c r="B3" t="s">
        <v>248</v>
      </c>
      <c r="C3" s="188">
        <v>45436</v>
      </c>
      <c r="D3">
        <v>3.5</v>
      </c>
      <c r="E3" t="s">
        <v>167</v>
      </c>
      <c r="F3" t="s">
        <v>256</v>
      </c>
    </row>
    <row r="4" spans="1:6" x14ac:dyDescent="0.25">
      <c r="A4" t="s">
        <v>164</v>
      </c>
      <c r="B4" t="s">
        <v>249</v>
      </c>
      <c r="C4" s="188">
        <v>45116</v>
      </c>
      <c r="D4">
        <v>500</v>
      </c>
      <c r="E4" t="s">
        <v>165</v>
      </c>
    </row>
    <row r="5" spans="1:6" x14ac:dyDescent="0.25">
      <c r="A5" t="s">
        <v>250</v>
      </c>
      <c r="B5" t="s">
        <v>251</v>
      </c>
      <c r="C5" s="74">
        <v>2004</v>
      </c>
      <c r="E5" t="s">
        <v>252</v>
      </c>
    </row>
    <row r="6" spans="1:6" x14ac:dyDescent="0.25">
      <c r="A6" t="s">
        <v>166</v>
      </c>
      <c r="B6" t="s">
        <v>253</v>
      </c>
      <c r="C6" s="188">
        <v>26633</v>
      </c>
      <c r="D6" s="212" t="s">
        <v>254</v>
      </c>
      <c r="E6" t="s">
        <v>255</v>
      </c>
    </row>
  </sheetData>
  <autoFilter ref="A2:F6" xr:uid="{3056B9E0-6524-4EBC-9BE5-F818961ABBE2}">
    <sortState xmlns:xlrd2="http://schemas.microsoft.com/office/spreadsheetml/2017/richdata2" ref="A3:F6">
      <sortCondition descending="1" ref="C2:C6"/>
    </sortState>
  </autoFilter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83A9-576F-4AAA-B488-1B4BA9AEE5DE}">
  <dimension ref="B1:J40"/>
  <sheetViews>
    <sheetView rightToLeft="1" zoomScale="160" zoomScaleNormal="160" workbookViewId="0">
      <selection activeCell="J7" sqref="J7"/>
    </sheetView>
  </sheetViews>
  <sheetFormatPr defaultRowHeight="13.8" x14ac:dyDescent="0.25"/>
  <cols>
    <col min="1" max="1" width="1.69921875" customWidth="1"/>
    <col min="2" max="2" width="18.19921875" customWidth="1"/>
    <col min="3" max="3" width="13" bestFit="1" customWidth="1"/>
    <col min="4" max="4" width="10.59765625" bestFit="1" customWidth="1"/>
    <col min="5" max="5" width="9.5" bestFit="1" customWidth="1"/>
    <col min="6" max="6" width="11.69921875" bestFit="1" customWidth="1"/>
  </cols>
  <sheetData>
    <row r="1" spans="2:10" ht="4.5" customHeight="1" thickBot="1" x14ac:dyDescent="0.3"/>
    <row r="2" spans="2:10" ht="14.4" thickBot="1" x14ac:dyDescent="0.3">
      <c r="B2" s="378" t="s">
        <v>116</v>
      </c>
      <c r="C2" s="379"/>
      <c r="D2" s="379"/>
      <c r="E2" s="379"/>
      <c r="F2" s="380"/>
    </row>
    <row r="3" spans="2:10" ht="14.4" thickBot="1" x14ac:dyDescent="0.3">
      <c r="B3" s="152" t="s">
        <v>46</v>
      </c>
      <c r="C3" s="381" t="s">
        <v>41</v>
      </c>
      <c r="D3" s="382"/>
      <c r="E3" s="381" t="s">
        <v>98</v>
      </c>
      <c r="F3" s="383"/>
    </row>
    <row r="4" spans="2:10" x14ac:dyDescent="0.25">
      <c r="B4" s="167" t="s">
        <v>99</v>
      </c>
      <c r="C4" s="374">
        <v>0</v>
      </c>
      <c r="D4" s="400"/>
      <c r="E4" s="374">
        <v>0</v>
      </c>
      <c r="F4" s="375"/>
    </row>
    <row r="5" spans="2:10" x14ac:dyDescent="0.25">
      <c r="B5" s="172" t="s">
        <v>100</v>
      </c>
      <c r="C5" s="374">
        <v>140000</v>
      </c>
      <c r="D5" s="400"/>
      <c r="E5" s="374">
        <f>6000*2</f>
        <v>12000</v>
      </c>
      <c r="F5" s="375"/>
    </row>
    <row r="6" spans="2:10" ht="27.6" x14ac:dyDescent="0.25">
      <c r="B6" s="172" t="s">
        <v>112</v>
      </c>
      <c r="C6" s="374">
        <f>46500*7</f>
        <v>325500</v>
      </c>
      <c r="D6" s="400"/>
      <c r="E6" s="374">
        <v>0</v>
      </c>
      <c r="F6" s="375"/>
    </row>
    <row r="7" spans="2:10" x14ac:dyDescent="0.25">
      <c r="B7" s="172" t="s">
        <v>101</v>
      </c>
      <c r="C7" s="374">
        <f>13000*7</f>
        <v>91000</v>
      </c>
      <c r="D7" s="400"/>
      <c r="E7" s="374">
        <f>4000*7</f>
        <v>28000</v>
      </c>
      <c r="F7" s="375"/>
    </row>
    <row r="8" spans="2:10" ht="14.4" thickBot="1" x14ac:dyDescent="0.3">
      <c r="B8" s="158" t="s">
        <v>102</v>
      </c>
      <c r="C8" s="374">
        <f>65000*7</f>
        <v>455000</v>
      </c>
      <c r="D8" s="400"/>
      <c r="E8" s="374">
        <v>50000</v>
      </c>
      <c r="F8" s="375"/>
      <c r="J8" t="s">
        <v>159</v>
      </c>
    </row>
    <row r="9" spans="2:10" ht="14.4" thickBot="1" x14ac:dyDescent="0.3">
      <c r="B9" s="378" t="s">
        <v>115</v>
      </c>
      <c r="C9" s="379"/>
      <c r="D9" s="379"/>
      <c r="E9" s="379"/>
      <c r="F9" s="380"/>
      <c r="J9" t="s">
        <v>160</v>
      </c>
    </row>
    <row r="10" spans="2:10" ht="16.2" thickBot="1" x14ac:dyDescent="0.3">
      <c r="B10" s="153" t="s">
        <v>110</v>
      </c>
      <c r="C10" s="154" t="s">
        <v>108</v>
      </c>
      <c r="D10" s="155" t="s">
        <v>105</v>
      </c>
      <c r="E10" s="156" t="s">
        <v>106</v>
      </c>
      <c r="F10" s="157" t="s">
        <v>107</v>
      </c>
    </row>
    <row r="11" spans="2:10" x14ac:dyDescent="0.25">
      <c r="B11" s="167" t="s">
        <v>99</v>
      </c>
      <c r="C11" s="184">
        <f>197-160</f>
        <v>37</v>
      </c>
      <c r="D11" s="179">
        <f>C11*6605</f>
        <v>244385</v>
      </c>
      <c r="E11" s="184">
        <v>35</v>
      </c>
      <c r="F11" s="180">
        <f>E11*6605/2</f>
        <v>115587.5</v>
      </c>
    </row>
    <row r="12" spans="2:10" x14ac:dyDescent="0.25">
      <c r="B12" s="172" t="s">
        <v>100</v>
      </c>
      <c r="C12" s="185">
        <v>0</v>
      </c>
      <c r="D12" s="183">
        <v>0</v>
      </c>
      <c r="E12" s="185">
        <f>147+24-160</f>
        <v>11</v>
      </c>
      <c r="F12" s="178">
        <f>E12*6605/2</f>
        <v>36327.5</v>
      </c>
    </row>
    <row r="13" spans="2:10" x14ac:dyDescent="0.25">
      <c r="B13" s="181" t="s">
        <v>103</v>
      </c>
      <c r="C13" s="376" t="s">
        <v>109</v>
      </c>
      <c r="D13" s="376"/>
      <c r="E13" s="376"/>
      <c r="F13" s="377"/>
    </row>
    <row r="14" spans="2:10" x14ac:dyDescent="0.25">
      <c r="B14" s="182" t="s">
        <v>101</v>
      </c>
      <c r="C14" s="376" t="s">
        <v>111</v>
      </c>
      <c r="D14" s="376"/>
      <c r="E14" s="376"/>
      <c r="F14" s="377"/>
    </row>
    <row r="15" spans="2:10" ht="14.4" thickBot="1" x14ac:dyDescent="0.3">
      <c r="B15" s="158" t="s">
        <v>102</v>
      </c>
      <c r="C15" s="394" t="s">
        <v>113</v>
      </c>
      <c r="D15" s="395"/>
      <c r="E15" s="395"/>
      <c r="F15" s="396"/>
    </row>
    <row r="16" spans="2:10" ht="14.4" thickBot="1" x14ac:dyDescent="0.3"/>
    <row r="17" spans="2:6" ht="14.4" thickBot="1" x14ac:dyDescent="0.3">
      <c r="B17" s="378" t="s">
        <v>97</v>
      </c>
      <c r="C17" s="379"/>
      <c r="D17" s="379"/>
      <c r="E17" s="379"/>
      <c r="F17" s="380"/>
    </row>
    <row r="18" spans="2:6" ht="14.4" thickBot="1" x14ac:dyDescent="0.3">
      <c r="B18" s="152" t="s">
        <v>104</v>
      </c>
      <c r="C18" s="381" t="s">
        <v>41</v>
      </c>
      <c r="D18" s="382"/>
      <c r="E18" s="381" t="s">
        <v>98</v>
      </c>
      <c r="F18" s="383"/>
    </row>
    <row r="19" spans="2:6" x14ac:dyDescent="0.25">
      <c r="B19" s="167" t="s">
        <v>99</v>
      </c>
      <c r="C19" s="397">
        <v>0</v>
      </c>
      <c r="D19" s="398"/>
      <c r="E19" s="397">
        <v>0</v>
      </c>
      <c r="F19" s="399"/>
    </row>
    <row r="20" spans="2:6" x14ac:dyDescent="0.25">
      <c r="B20" s="172" t="s">
        <v>100</v>
      </c>
      <c r="C20" s="386">
        <v>70000</v>
      </c>
      <c r="D20" s="387"/>
      <c r="E20" s="388">
        <f>6000*7</f>
        <v>42000</v>
      </c>
      <c r="F20" s="389"/>
    </row>
    <row r="21" spans="2:6" x14ac:dyDescent="0.25">
      <c r="B21" s="176" t="s">
        <v>103</v>
      </c>
      <c r="C21" s="386">
        <f>46500*7</f>
        <v>325500</v>
      </c>
      <c r="D21" s="387"/>
      <c r="E21" s="386">
        <v>0</v>
      </c>
      <c r="F21" s="390"/>
    </row>
    <row r="22" spans="2:6" x14ac:dyDescent="0.25">
      <c r="B22" s="172" t="s">
        <v>101</v>
      </c>
      <c r="C22" s="386">
        <f>13000*7</f>
        <v>91000</v>
      </c>
      <c r="D22" s="387"/>
      <c r="E22" s="386">
        <f>4000*7</f>
        <v>28000</v>
      </c>
      <c r="F22" s="390"/>
    </row>
    <row r="23" spans="2:6" ht="14.4" thickBot="1" x14ac:dyDescent="0.3">
      <c r="B23" s="158" t="s">
        <v>102</v>
      </c>
      <c r="C23" s="391">
        <f>65000*7</f>
        <v>455000</v>
      </c>
      <c r="D23" s="392"/>
      <c r="E23" s="391">
        <f>7000*7</f>
        <v>49000</v>
      </c>
      <c r="F23" s="393"/>
    </row>
    <row r="24" spans="2:6" ht="14.4" thickBot="1" x14ac:dyDescent="0.3">
      <c r="B24" s="163"/>
      <c r="C24" s="164"/>
      <c r="D24" s="165"/>
      <c r="E24" s="165"/>
      <c r="F24" s="166"/>
    </row>
    <row r="25" spans="2:6" ht="16.2" thickBot="1" x14ac:dyDescent="0.3">
      <c r="B25" s="153" t="s">
        <v>110</v>
      </c>
      <c r="C25" s="154" t="s">
        <v>108</v>
      </c>
      <c r="D25" s="155" t="s">
        <v>105</v>
      </c>
      <c r="E25" s="156" t="s">
        <v>106</v>
      </c>
      <c r="F25" s="157" t="s">
        <v>107</v>
      </c>
    </row>
    <row r="26" spans="2:6" x14ac:dyDescent="0.25">
      <c r="B26" s="167" t="s">
        <v>99</v>
      </c>
      <c r="C26" s="168">
        <f>197-160</f>
        <v>37</v>
      </c>
      <c r="D26" s="169">
        <f>C26*6605</f>
        <v>244385</v>
      </c>
      <c r="E26" s="170">
        <v>35</v>
      </c>
      <c r="F26" s="171">
        <f>E26*6605/2</f>
        <v>115587.5</v>
      </c>
    </row>
    <row r="27" spans="2:6" x14ac:dyDescent="0.25">
      <c r="B27" s="172" t="s">
        <v>100</v>
      </c>
      <c r="C27" s="173">
        <v>0</v>
      </c>
      <c r="D27" s="174">
        <f>C27*6605</f>
        <v>0</v>
      </c>
      <c r="E27" s="177">
        <f>147+24-160</f>
        <v>11</v>
      </c>
      <c r="F27" s="175">
        <f>E27*6605/2</f>
        <v>36327.5</v>
      </c>
    </row>
    <row r="28" spans="2:6" x14ac:dyDescent="0.25">
      <c r="B28" s="176" t="s">
        <v>103</v>
      </c>
      <c r="C28" s="384" t="s">
        <v>109</v>
      </c>
      <c r="D28" s="384"/>
      <c r="E28" s="384"/>
      <c r="F28" s="385"/>
    </row>
    <row r="29" spans="2:6" x14ac:dyDescent="0.25">
      <c r="B29" s="172" t="s">
        <v>101</v>
      </c>
      <c r="C29" s="173">
        <v>0</v>
      </c>
      <c r="D29" s="174">
        <v>0</v>
      </c>
      <c r="E29" s="173">
        <v>0</v>
      </c>
      <c r="F29" s="175">
        <v>0</v>
      </c>
    </row>
    <row r="30" spans="2:6" ht="14.4" thickBot="1" x14ac:dyDescent="0.3">
      <c r="B30" s="158" t="s">
        <v>102</v>
      </c>
      <c r="C30" s="159">
        <v>0</v>
      </c>
      <c r="D30" s="160">
        <v>0</v>
      </c>
      <c r="E30" s="161">
        <f>139+31-160</f>
        <v>10</v>
      </c>
      <c r="F30" s="162">
        <f>E30*6605/2</f>
        <v>33025</v>
      </c>
    </row>
    <row r="34" spans="2:6" ht="14.4" thickBot="1" x14ac:dyDescent="0.3"/>
    <row r="35" spans="2:6" ht="14.4" thickBot="1" x14ac:dyDescent="0.3">
      <c r="B35" s="378" t="s">
        <v>114</v>
      </c>
      <c r="C35" s="379"/>
      <c r="D35" s="379"/>
      <c r="E35" s="379"/>
      <c r="F35" s="380"/>
    </row>
    <row r="36" spans="2:6" ht="14.4" thickBot="1" x14ac:dyDescent="0.3">
      <c r="B36" s="152" t="s">
        <v>117</v>
      </c>
      <c r="C36" s="381" t="s">
        <v>41</v>
      </c>
      <c r="D36" s="382"/>
      <c r="E36" s="381" t="s">
        <v>98</v>
      </c>
      <c r="F36" s="383"/>
    </row>
    <row r="37" spans="2:6" x14ac:dyDescent="0.25">
      <c r="B37" s="167" t="s">
        <v>118</v>
      </c>
      <c r="C37" s="365" t="s">
        <v>121</v>
      </c>
      <c r="D37" s="366"/>
      <c r="E37" s="366"/>
      <c r="F37" s="367"/>
    </row>
    <row r="38" spans="2:6" x14ac:dyDescent="0.25">
      <c r="B38" s="172" t="s">
        <v>119</v>
      </c>
      <c r="C38" s="368" t="s">
        <v>120</v>
      </c>
      <c r="D38" s="369"/>
      <c r="E38" s="369"/>
      <c r="F38" s="370"/>
    </row>
    <row r="39" spans="2:6" x14ac:dyDescent="0.25">
      <c r="B39" s="172" t="s">
        <v>122</v>
      </c>
      <c r="C39" s="368" t="s">
        <v>123</v>
      </c>
      <c r="D39" s="369"/>
      <c r="E39" s="369"/>
      <c r="F39" s="370"/>
    </row>
    <row r="40" spans="2:6" ht="14.4" thickBot="1" x14ac:dyDescent="0.3">
      <c r="B40" s="158" t="s">
        <v>124</v>
      </c>
      <c r="C40" s="371" t="s">
        <v>125</v>
      </c>
      <c r="D40" s="372"/>
      <c r="E40" s="372"/>
      <c r="F40" s="373"/>
    </row>
  </sheetData>
  <mergeCells count="38">
    <mergeCell ref="B2:F2"/>
    <mergeCell ref="B17:F17"/>
    <mergeCell ref="C18:D18"/>
    <mergeCell ref="E18:F18"/>
    <mergeCell ref="C23:D23"/>
    <mergeCell ref="E23:F23"/>
    <mergeCell ref="C14:F14"/>
    <mergeCell ref="C15:F15"/>
    <mergeCell ref="C19:D19"/>
    <mergeCell ref="E19:F19"/>
    <mergeCell ref="C3:D3"/>
    <mergeCell ref="C4:D4"/>
    <mergeCell ref="C5:D5"/>
    <mergeCell ref="C6:D6"/>
    <mergeCell ref="C7:D7"/>
    <mergeCell ref="C8:D8"/>
    <mergeCell ref="B9:F9"/>
    <mergeCell ref="E3:F3"/>
    <mergeCell ref="E4:F4"/>
    <mergeCell ref="E5:F5"/>
    <mergeCell ref="E6:F6"/>
    <mergeCell ref="E7:F7"/>
    <mergeCell ref="C37:F37"/>
    <mergeCell ref="C38:F38"/>
    <mergeCell ref="C39:F39"/>
    <mergeCell ref="C40:F40"/>
    <mergeCell ref="E8:F8"/>
    <mergeCell ref="C13:F13"/>
    <mergeCell ref="B35:F35"/>
    <mergeCell ref="C36:D36"/>
    <mergeCell ref="E36:F36"/>
    <mergeCell ref="C28:F28"/>
    <mergeCell ref="C20:D20"/>
    <mergeCell ref="E20:F20"/>
    <mergeCell ref="C21:D21"/>
    <mergeCell ref="E21:F21"/>
    <mergeCell ref="C22:D22"/>
    <mergeCell ref="E22:F22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EC53-FA3D-4120-B7D3-0A45D1A7A61E}">
  <dimension ref="A2:N24"/>
  <sheetViews>
    <sheetView rightToLeft="1" zoomScale="145" zoomScaleNormal="145" workbookViewId="0">
      <selection activeCell="B9" sqref="B9"/>
    </sheetView>
  </sheetViews>
  <sheetFormatPr defaultRowHeight="13.8" x14ac:dyDescent="0.25"/>
  <cols>
    <col min="1" max="1" width="20.59765625" customWidth="1"/>
    <col min="2" max="2" width="10.5" bestFit="1" customWidth="1"/>
    <col min="3" max="3" width="14.59765625" customWidth="1"/>
    <col min="6" max="7" width="14.19921875" customWidth="1"/>
    <col min="8" max="8" width="11.09765625" bestFit="1" customWidth="1"/>
    <col min="9" max="9" width="13.5" bestFit="1" customWidth="1"/>
    <col min="10" max="10" width="13" bestFit="1" customWidth="1"/>
    <col min="11" max="11" width="12.5" bestFit="1" customWidth="1"/>
    <col min="12" max="12" width="11.09765625" bestFit="1" customWidth="1"/>
    <col min="14" max="14" width="9.3984375" customWidth="1"/>
  </cols>
  <sheetData>
    <row r="2" spans="1:14" x14ac:dyDescent="0.25">
      <c r="A2" t="s">
        <v>169</v>
      </c>
      <c r="B2" t="s">
        <v>170</v>
      </c>
    </row>
    <row r="3" spans="1:14" x14ac:dyDescent="0.25">
      <c r="B3" t="s">
        <v>41</v>
      </c>
    </row>
    <row r="7" spans="1:14" x14ac:dyDescent="0.25">
      <c r="N7" t="s">
        <v>171</v>
      </c>
    </row>
    <row r="8" spans="1:14" x14ac:dyDescent="0.25">
      <c r="A8" t="s">
        <v>172</v>
      </c>
      <c r="N8" t="s">
        <v>173</v>
      </c>
    </row>
    <row r="9" spans="1:14" x14ac:dyDescent="0.25">
      <c r="A9" t="s">
        <v>174</v>
      </c>
      <c r="D9" s="213" t="s">
        <v>175</v>
      </c>
      <c r="E9" s="213"/>
      <c r="N9" t="s">
        <v>176</v>
      </c>
    </row>
    <row r="10" spans="1:14" x14ac:dyDescent="0.25">
      <c r="N10" t="s">
        <v>177</v>
      </c>
    </row>
    <row r="15" spans="1:14" x14ac:dyDescent="0.25">
      <c r="A15" t="s">
        <v>178</v>
      </c>
      <c r="B15" t="s">
        <v>179</v>
      </c>
    </row>
    <row r="19" spans="1:12" x14ac:dyDescent="0.25">
      <c r="A19" s="39" t="s">
        <v>180</v>
      </c>
      <c r="B19" s="39" t="s">
        <v>171</v>
      </c>
      <c r="C19" s="39" t="s">
        <v>76</v>
      </c>
      <c r="D19" s="39" t="s">
        <v>181</v>
      </c>
      <c r="E19" s="39" t="s">
        <v>182</v>
      </c>
      <c r="F19" s="39" t="s">
        <v>183</v>
      </c>
      <c r="G19" s="39" t="s">
        <v>21</v>
      </c>
      <c r="H19" s="39" t="s">
        <v>184</v>
      </c>
      <c r="I19" s="39" t="s">
        <v>185</v>
      </c>
      <c r="J19" s="39" t="s">
        <v>186</v>
      </c>
      <c r="K19" s="39" t="s">
        <v>187</v>
      </c>
      <c r="L19" s="39" t="s">
        <v>188</v>
      </c>
    </row>
    <row r="20" spans="1:12" x14ac:dyDescent="0.25">
      <c r="A20" t="s">
        <v>189</v>
      </c>
      <c r="H20" s="149">
        <f>'תחשיב לפי שווי שומה (2)'!B8</f>
        <v>9000</v>
      </c>
      <c r="I20" s="190">
        <v>0</v>
      </c>
      <c r="J20" s="150">
        <f>D20*G20*H20*I20</f>
        <v>0</v>
      </c>
      <c r="K20" s="190">
        <v>0.51</v>
      </c>
      <c r="L20" s="149">
        <f>'[1]תחשיב לפי שווי שומה (2)'!$B$26*G20</f>
        <v>0</v>
      </c>
    </row>
    <row r="21" spans="1:12" x14ac:dyDescent="0.25">
      <c r="A21" t="s">
        <v>190</v>
      </c>
      <c r="H21" s="150">
        <f>H20</f>
        <v>9000</v>
      </c>
      <c r="I21" s="190">
        <v>0</v>
      </c>
      <c r="J21" s="150">
        <f>D21*G21*H21*I21</f>
        <v>0</v>
      </c>
      <c r="K21" s="190">
        <v>0.51</v>
      </c>
      <c r="L21" s="149">
        <f>'[1]תחשיב לפי שווי שומה (2)'!$B$26*G21</f>
        <v>0</v>
      </c>
    </row>
    <row r="22" spans="1:12" x14ac:dyDescent="0.25">
      <c r="A22" t="s">
        <v>191</v>
      </c>
      <c r="H22" s="150">
        <f>H21</f>
        <v>9000</v>
      </c>
      <c r="I22" s="190">
        <v>0.05</v>
      </c>
      <c r="J22" s="150">
        <f>D22*G22*H22*I22</f>
        <v>0</v>
      </c>
      <c r="K22" s="190">
        <v>0.51</v>
      </c>
      <c r="L22" s="149">
        <f>'[1]תחשיב לפי שווי שומה (2)'!$B$26*G22</f>
        <v>0</v>
      </c>
    </row>
    <row r="23" spans="1:12" x14ac:dyDescent="0.25">
      <c r="A23" t="s">
        <v>192</v>
      </c>
      <c r="H23" s="150">
        <f>H22</f>
        <v>9000</v>
      </c>
      <c r="I23" s="190">
        <v>0.05</v>
      </c>
      <c r="J23" s="150">
        <f>D23*G23*H23*I23</f>
        <v>0</v>
      </c>
      <c r="K23" s="190">
        <v>0.51</v>
      </c>
      <c r="L23" s="149">
        <f>'[1]תחשיב לפי שווי שומה (2)'!$B$26*G23</f>
        <v>0</v>
      </c>
    </row>
    <row r="24" spans="1:12" x14ac:dyDescent="0.25">
      <c r="A24" t="s">
        <v>193</v>
      </c>
      <c r="H24" s="150"/>
      <c r="I24" s="190">
        <v>0.05</v>
      </c>
      <c r="J24" s="150">
        <f>D24*G24*H24*I24</f>
        <v>0</v>
      </c>
      <c r="K24" s="190">
        <v>0.51</v>
      </c>
      <c r="L24" s="149">
        <f>H24*K24</f>
        <v>0</v>
      </c>
    </row>
  </sheetData>
  <dataValidations count="2">
    <dataValidation type="list" allowBlank="1" showInputMessage="1" showErrorMessage="1" sqref="B20:B36" xr:uid="{C8BB387F-DA1B-41F8-BBAB-B6587D20D718}">
      <formula1>$N$8:$N$10</formula1>
    </dataValidation>
    <dataValidation type="list" allowBlank="1" showInputMessage="1" showErrorMessage="1" sqref="N10" xr:uid="{8EEFE31F-1F25-47F2-932A-50789FD908B3}">
      <formula1>$N$7:$N$10</formula1>
    </dataValidation>
  </dataValidations>
  <hyperlinks>
    <hyperlink ref="D9" r:id="rId1" location="/main" xr:uid="{A1CB2C7C-AD46-46FF-9114-D0EFBAC7D3DE}"/>
  </hyperlinks>
  <pageMargins left="0.7" right="0.7" top="0.75" bottom="0.75" header="0.3" footer="0.3"/>
  <pageSetup paperSize="9" orientation="portrait" horizontalDpi="0" verticalDpi="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4cbf29-ca6c-40b4-a23e-237704e7198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88282AB222EBE41BA0464B94B0CFB82" ma:contentTypeVersion="13" ma:contentTypeDescription="צור מסמך חדש." ma:contentTypeScope="" ma:versionID="4af7ab5914d27709a3cdf5886594355d">
  <xsd:schema xmlns:xsd="http://www.w3.org/2001/XMLSchema" xmlns:xs="http://www.w3.org/2001/XMLSchema" xmlns:p="http://schemas.microsoft.com/office/2006/metadata/properties" xmlns:ns3="de4cbf29-ca6c-40b4-a23e-237704e7198a" xmlns:ns4="d3dd30cb-74b0-41b5-8ba9-53159311cc22" targetNamespace="http://schemas.microsoft.com/office/2006/metadata/properties" ma:root="true" ma:fieldsID="f23fc7d60478e4e41bd4e433aa8d46f0" ns3:_="" ns4:_="">
    <xsd:import namespace="de4cbf29-ca6c-40b4-a23e-237704e7198a"/>
    <xsd:import namespace="d3dd30cb-74b0-41b5-8ba9-53159311c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cbf29-ca6c-40b4-a23e-237704e71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d30cb-74b0-41b5-8ba9-53159311c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של רמז לשיתוף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97013B-3DFF-4592-A0A3-4F599B186C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3637A2-2C78-47BB-B4CA-14B547AE4584}">
  <ds:schemaRefs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3dd30cb-74b0-41b5-8ba9-53159311cc22"/>
    <ds:schemaRef ds:uri="de4cbf29-ca6c-40b4-a23e-237704e7198a"/>
  </ds:schemaRefs>
</ds:datastoreItem>
</file>

<file path=customXml/itemProps3.xml><?xml version="1.0" encoding="utf-8"?>
<ds:datastoreItem xmlns:ds="http://schemas.openxmlformats.org/officeDocument/2006/customXml" ds:itemID="{8D54A52B-1093-4D44-8991-4131FD894F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4cbf29-ca6c-40b4-a23e-237704e7198a"/>
    <ds:schemaRef ds:uri="d3dd30cb-74b0-41b5-8ba9-53159311c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9</vt:i4>
      </vt:variant>
    </vt:vector>
  </HeadingPairs>
  <TitlesOfParts>
    <vt:vector size="9" baseType="lpstr">
      <vt:lpstr>תחשיב לפי שווי שומה (2)</vt:lpstr>
      <vt:lpstr>סיכום עלויות פיצולים</vt:lpstr>
      <vt:lpstr>מ"ר אקו' נחלה</vt:lpstr>
      <vt:lpstr>תחשיבי הסדרה</vt:lpstr>
      <vt:lpstr>ניתוח איזור לעסקאות דמה</vt:lpstr>
      <vt:lpstr>חישוב גדלי בתים</vt:lpstr>
      <vt:lpstr>תבעות</vt:lpstr>
      <vt:lpstr>גיליון1</vt:lpstr>
      <vt:lpstr>בקרה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offir</dc:creator>
  <cp:lastModifiedBy>Roi Boost</cp:lastModifiedBy>
  <cp:lastPrinted>2021-12-23T08:27:36Z</cp:lastPrinted>
  <dcterms:created xsi:type="dcterms:W3CDTF">2021-03-08T14:46:48Z</dcterms:created>
  <dcterms:modified xsi:type="dcterms:W3CDTF">2026-01-01T10:20:48Z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0x010100188282AB222EBE41BA0464B94B0CFB82</vt:lpwstr>
  </property>
</Properties>
</file>