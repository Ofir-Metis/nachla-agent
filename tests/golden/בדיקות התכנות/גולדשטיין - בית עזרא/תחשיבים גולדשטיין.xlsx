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פיתוח נכסים-Boost\BOOST ניהול פרוקטים\לקוחות פרטיים1\דובי גולדשטיין - בית עזרא\פרוייקט בדיקת התכנות\בדיקת התכנות\"/>
    </mc:Choice>
  </mc:AlternateContent>
  <xr:revisionPtr revIDLastSave="0" documentId="13_ncr:1_{F2B94CF9-F935-496D-A03C-DC5F17B64725}" xr6:coauthVersionLast="47" xr6:coauthVersionMax="47" xr10:uidLastSave="{00000000-0000-0000-0000-000000000000}"/>
  <bookViews>
    <workbookView xWindow="-28920" yWindow="-120" windowWidth="29040" windowHeight="15720" activeTab="1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ניתוח איזור לעסקאות דמה" sheetId="5" r:id="rId4"/>
    <sheet name="חישוב גדלי בתים" sheetId="4" r:id="rId5"/>
    <sheet name="תבעות" sheetId="8" r:id="rId6"/>
    <sheet name="גיליון1" sheetId="7" r:id="rId7"/>
    <sheet name="בקרה" sheetId="9" r:id="rId8"/>
  </sheets>
  <externalReferences>
    <externalReference r:id="rId9"/>
  </externalReferences>
  <definedNames>
    <definedName name="_xlnm._FilterDatabase" localSheetId="5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10" l="1"/>
  <c r="L34" i="10"/>
  <c r="J38" i="10"/>
  <c r="L26" i="10"/>
  <c r="J36" i="10"/>
  <c r="J32" i="10"/>
  <c r="J14" i="10"/>
  <c r="J20" i="10" s="1"/>
  <c r="P82" i="3"/>
  <c r="J80" i="3"/>
  <c r="D89" i="3"/>
  <c r="R64" i="5"/>
  <c r="R63" i="5"/>
  <c r="P69" i="5"/>
  <c r="P68" i="5"/>
  <c r="P67" i="5"/>
  <c r="P66" i="5"/>
  <c r="B86" i="3"/>
  <c r="B83" i="3"/>
  <c r="B85" i="3"/>
  <c r="B84" i="3"/>
  <c r="P48" i="5"/>
  <c r="P47" i="5"/>
  <c r="P46" i="5"/>
  <c r="P45" i="5"/>
  <c r="C7" i="5"/>
  <c r="B11" i="3"/>
  <c r="B8" i="3"/>
  <c r="B6" i="3"/>
  <c r="E92" i="5"/>
  <c r="E90" i="5"/>
  <c r="E89" i="5"/>
  <c r="E59" i="5"/>
  <c r="E60" i="5" s="1"/>
  <c r="E62" i="5" s="1"/>
  <c r="E58" i="5"/>
  <c r="H3" i="4" l="1"/>
  <c r="G3" i="4"/>
  <c r="G49" i="3"/>
  <c r="D36" i="3"/>
  <c r="D33" i="3"/>
  <c r="L24" i="9"/>
  <c r="J24" i="9"/>
  <c r="L23" i="9"/>
  <c r="L22" i="9"/>
  <c r="L21" i="9"/>
  <c r="L20" i="9"/>
  <c r="C42" i="6"/>
  <c r="B8" i="6"/>
  <c r="H20" i="9" s="1"/>
  <c r="H21" i="9" s="1"/>
  <c r="L20" i="10" l="1"/>
  <c r="B5" i="6"/>
  <c r="J21" i="9"/>
  <c r="H22" i="9"/>
  <c r="J20" i="9"/>
  <c r="B32" i="6"/>
  <c r="D40" i="6"/>
  <c r="D39" i="6"/>
  <c r="D31" i="6"/>
  <c r="D32" i="6"/>
  <c r="C43" i="6"/>
  <c r="D43" i="6" s="1"/>
  <c r="C34" i="6"/>
  <c r="D34" i="6" s="1"/>
  <c r="D13" i="4"/>
  <c r="E13" i="4"/>
  <c r="G13" i="4"/>
  <c r="F13" i="4"/>
  <c r="H13" i="4"/>
  <c r="D24" i="4"/>
  <c r="E24" i="4"/>
  <c r="F24" i="4"/>
  <c r="G24" i="4"/>
  <c r="H24" i="4"/>
  <c r="I13" i="4"/>
  <c r="I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H23" i="9" l="1"/>
  <c r="J23" i="9" s="1"/>
  <c r="J22" i="9"/>
  <c r="D42" i="6"/>
  <c r="C35" i="6"/>
  <c r="D35" i="6" s="1"/>
  <c r="G25" i="4"/>
  <c r="I25" i="4"/>
  <c r="H25" i="4"/>
  <c r="D25" i="4"/>
  <c r="F25" i="4"/>
  <c r="E25" i="4"/>
  <c r="C15" i="6" l="1"/>
  <c r="D27" i="4"/>
  <c r="D9" i="6" l="1"/>
  <c r="S24" i="4" l="1"/>
  <c r="R24" i="4"/>
  <c r="Q24" i="4"/>
  <c r="P24" i="4"/>
  <c r="O24" i="4"/>
  <c r="N24" i="4"/>
  <c r="M24" i="4"/>
  <c r="L24" i="4"/>
  <c r="K24" i="4"/>
  <c r="J24" i="4"/>
  <c r="D22" i="3" l="1"/>
  <c r="D10" i="3"/>
  <c r="D7" i="3"/>
  <c r="D6" i="3"/>
  <c r="D5" i="3"/>
  <c r="D4" i="3"/>
  <c r="B9" i="3" l="1"/>
  <c r="D11" i="3" s="1"/>
  <c r="D13" i="3" s="1"/>
  <c r="S13" i="4" l="1"/>
  <c r="R13" i="4"/>
  <c r="Q13" i="4"/>
  <c r="O13" i="4"/>
  <c r="M13" i="4"/>
  <c r="L13" i="4"/>
  <c r="K13" i="4"/>
  <c r="J13" i="4"/>
  <c r="P13" i="4"/>
  <c r="N13" i="4"/>
  <c r="H24" i="3"/>
  <c r="H25" i="3" s="1"/>
  <c r="S25" i="4" l="1"/>
  <c r="R25" i="4"/>
  <c r="O25" i="4"/>
  <c r="P25" i="4"/>
  <c r="N25" i="4"/>
  <c r="Q25" i="4"/>
  <c r="M25" i="4"/>
  <c r="L25" i="4"/>
  <c r="K25" i="4"/>
  <c r="J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68" i="3"/>
  <c r="F60" i="3"/>
  <c r="I66" i="3"/>
  <c r="G65" i="3"/>
  <c r="I67" i="3" s="1"/>
  <c r="I64" i="3"/>
  <c r="I63" i="3"/>
  <c r="I62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D25" i="3"/>
  <c r="D21" i="3"/>
  <c r="D20" i="3"/>
  <c r="D19" i="3"/>
  <c r="G11" i="6"/>
  <c r="I48" i="3"/>
  <c r="I49" i="3"/>
  <c r="F48" i="3"/>
  <c r="B54" i="3"/>
  <c r="B55" i="3" s="1"/>
  <c r="D56" i="3" s="1"/>
  <c r="D49" i="3"/>
  <c r="D52" i="3"/>
  <c r="D51" i="3"/>
  <c r="D50" i="3"/>
  <c r="F18" i="6"/>
  <c r="B4" i="6" l="1"/>
  <c r="I7" i="3"/>
  <c r="I4" i="3"/>
  <c r="G8" i="3"/>
  <c r="G9" i="3" s="1"/>
  <c r="I6" i="3"/>
  <c r="J50" i="3"/>
  <c r="J51" i="3" s="1"/>
  <c r="I69" i="3"/>
  <c r="I70" i="3" s="1"/>
  <c r="G69" i="3"/>
  <c r="I50" i="3"/>
  <c r="I5" i="3"/>
  <c r="D53" i="3"/>
  <c r="D48" i="3"/>
  <c r="D57" i="3" l="1"/>
  <c r="B39" i="6" s="1"/>
  <c r="B40" i="6" s="1"/>
  <c r="B42" i="6" s="1"/>
  <c r="B43" i="6" s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66" i="3"/>
  <c r="B65" i="3"/>
  <c r="B67" i="3" s="1"/>
  <c r="D67" i="3" s="1"/>
  <c r="D64" i="3"/>
  <c r="D63" i="3"/>
  <c r="D62" i="3"/>
  <c r="E32" i="4" l="1"/>
  <c r="D69" i="3"/>
  <c r="D70" i="3" s="1"/>
  <c r="E29" i="4"/>
  <c r="B69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D41" i="3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<sst xmlns="http://schemas.openxmlformats.org/spreadsheetml/2006/main" count="377" uniqueCount="257">
  <si>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</si>
  <si>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</si>
  <si>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</si>
  <si>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</si>
  <si>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</si>
  <si>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</si>
  <si>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</si>
  <si>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</si>
  <si>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</si>
  <si>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</si>
  <si>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</si>
  <si>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</si>
  <si>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</si>
  <si>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</si>
  <si>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</si>
  <si>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</si>
  <si>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</si>
  <si>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</si>
  <si>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</si>
  <si>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</si>
  <si>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</si>
  <si>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</si>
  <si>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</si>
  <si>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</si>
  <si>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מסחן</t>
  </si>
  <si>
    <t>סככת חניה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</si>
  <si>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</si>
  <si>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</si>
  <si>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</si>
  <si>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</si>
  <si>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</si>
  <si>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</si>
  <si>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</si>
  <si>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</si>
  <si>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</si>
  <si>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</si>
  <si>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</si>
  <si>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</si>
  <si>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</si>
  <si>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</si>
  <si>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</si>
  <si>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</si>
  <si>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</si>
  <si>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</si>
  <si>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</si>
  <si>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</si>
  <si>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</si>
  <si>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</si>
  <si>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</si>
  <si>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</si>
  <si>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</si>
  <si>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</si>
  <si>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</si>
  <si>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</si>
  <si>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</si>
  <si>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</si>
  <si>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</si>
  <si>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</si>
  <si>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</si>
  <si>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</si>
  <si>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</si>
  <si>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</si>
  <si>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</si>
  <si>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</si>
  <si>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</si>
  <si>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</si>
  <si>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</si>
  <si>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</si>
  <si>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</si>
  <si>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</si>
  <si>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</si>
  <si>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</si>
  <si>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</si>
  <si>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</si>
  <si>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</si>
  <si>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</si>
  <si>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</si>
  <si>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</si>
  <si>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</si>
  <si>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</si>
  <si>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</si>
  <si>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</si>
  <si>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</si>
  <si>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</si>
  <si>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</si>
  <si>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</si>
  <si>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</si>
  <si>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</si>
  <si>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</si>
  <si>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</si>
  <si>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</si>
  <si>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</si>
  <si>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</si>
  <si>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</si>
  <si>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</si>
  <si>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</si>
  <si>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</si>
  <si>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</si>
  <si>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</si>
  <si>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</si>
  <si>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</si>
  <si>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</si>
  <si>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</si>
  <si>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</si>
  <si>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</si>
  <si>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</si>
  <si>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</si>
  <si>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</si>
  <si>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</si>
  <si>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</si>
  <si>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</si>
  <si>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</si>
  <si>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</si>
  <si>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</si>
  <si>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</si>
  <si>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</si>
  <si>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</si>
  <si>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</si>
  <si>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</si>
  <si>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</si>
  <si>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</si>
  <si>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</si>
  <si>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</si>
  <si>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</si>
  <si>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</si>
  <si>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</si>
  <si>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</si>
  <si>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</si>
  <si>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</si>
  <si>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</si>
  <si>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</si>
  <si>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</si>
  <si>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</si>
  <si>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</si>
  <si>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</si>
  <si>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</si>
  <si>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</si>
  <si>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</si>
  <si>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</si>
  <si>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</si>
  <si>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</si>
  <si>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</si>
  <si>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</si>
  <si>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</si>
  <si>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</si>
  <si>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</si>
  <si>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</si>
  <si>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</si>
  <si>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</si>
  <si>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</si>
  <si>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</si>
  <si>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</si>
  <si>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</si>
  <si>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</si>
  <si>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</si>
  <si>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</si>
  <si>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</si>
  <si>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</si>
  <si>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</si>
  <si>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</si>
  <si>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</si>
  <si>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</si>
  <si>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</si>
  <si>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</si>
  <si>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</si>
  <si>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</si>
  <si>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</si>
  <si>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</si>
  <si>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</si>
  <si>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</si>
  <si>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</si>
  <si>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XPLAN</t>
  </si>
  <si>
    <t>634-0829846</t>
  </si>
  <si>
    <t>פל"ח</t>
  </si>
  <si>
    <t>גובמאפ</t>
  </si>
  <si>
    <t>בתים</t>
  </si>
  <si>
    <t>פיצול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</si>
  <si>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</si>
  <si>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</si>
  <si>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</si>
  <si>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</si>
  <si>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</si>
  <si>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</si>
  <si>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</si>
  <si>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</si>
  <si>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</si>
  <si>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</si>
  <si>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</si>
  <si>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</si>
  <si>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</si>
  <si>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</si>
  <si>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</si>
  <si>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</si>
  <si>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</si>
  <si>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</si>
  <si>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</si>
  <si>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</si>
  <si>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</si>
  <si>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</si>
  <si>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</si>
  <si>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</si>
  <si>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</si>
  <si>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היתר שנת 99</t>
  </si>
  <si>
    <t>היתר שנת 01- חקלאי</t>
  </si>
  <si>
    <t>היתר שנת 2000 - חקלאי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</si>
  <si>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</si>
  <si>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</si>
  <si>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</si>
  <si>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</si>
  <si>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</si>
  <si>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</si>
  <si>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</si>
  <si>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סוג תשלום</t>
  </si>
  <si>
    <t>-</t>
  </si>
  <si>
    <t>מס רכישה</t>
  </si>
  <si>
    <t>ד/682</t>
  </si>
  <si>
    <t>אתר ועדה</t>
  </si>
  <si>
    <t>בריכה</t>
  </si>
  <si>
    <t>616-0861997</t>
  </si>
  <si>
    <t>22 + 35</t>
  </si>
  <si>
    <t>מבנה 1.1 - מחסן</t>
  </si>
  <si>
    <t>מבנה 3 - מחסן</t>
  </si>
  <si>
    <t>מבנה 4 - חממות</t>
  </si>
  <si>
    <t>מבנה 5 - חממה</t>
  </si>
  <si>
    <t>מבנה 1 - בית מגורים שני + שלישי</t>
  </si>
  <si>
    <t>מבנה 2 - בית ראשון</t>
  </si>
  <si>
    <t>היתר שנות ה-60</t>
  </si>
  <si>
    <t>היתר 1993</t>
  </si>
  <si>
    <t>99 + 47</t>
  </si>
  <si>
    <t>שומת רמי הכרעה ראשונה מועד קובע 21/12/2022</t>
  </si>
  <si>
    <t>שווי מ"ר מבונה הרחבה</t>
  </si>
  <si>
    <t>מקדם התאמה להיום</t>
  </si>
  <si>
    <t>שווי מתואם</t>
  </si>
  <si>
    <t>התאמה לנחלה</t>
  </si>
  <si>
    <t>שווי מ"ר לנחלה</t>
  </si>
  <si>
    <t>שווי מ"ר הרחבה</t>
  </si>
  <si>
    <t>מקדם התאמה</t>
  </si>
  <si>
    <t>לשומה</t>
  </si>
  <si>
    <t>מועד</t>
  </si>
  <si>
    <t>התאמה לזמן</t>
  </si>
  <si>
    <t>דמי רכישה מתואמים</t>
  </si>
  <si>
    <t>היטל השבחה למ"ר</t>
  </si>
  <si>
    <t>בית שלישי</t>
  </si>
  <si>
    <t>שווי מ"ר</t>
  </si>
  <si>
    <t>מצב קודם חצר שולית</t>
  </si>
  <si>
    <t>מצב חדש</t>
  </si>
  <si>
    <t>סיכום עלויות הסדרת המבנה</t>
  </si>
  <si>
    <t>הסדרת בית שני בשטח 100 מ"ר + יחידה צמודת קיר 47 מ"ר</t>
  </si>
  <si>
    <t>ללא רצף בן דורי</t>
  </si>
  <si>
    <t>עם רצף בן דורי</t>
  </si>
  <si>
    <t>דמי היוון 3.75%</t>
  </si>
  <si>
    <t>היטל השבחה</t>
  </si>
  <si>
    <t xml:space="preserve">דמי היתר </t>
  </si>
  <si>
    <t>הקמת בית שלישי חדש -155 מ"ר</t>
  </si>
  <si>
    <t>הרחבת הבית השני ב-155 מ"ר (בית שני 228 מ"ר)</t>
  </si>
  <si>
    <t>הסדרת מבנה 1 בהנחת רצף בן דורי</t>
  </si>
  <si>
    <t>סיכום עלויות הסדרה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</si>
</sst>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theme="8"/>
      <name val="Arial"/>
      <family val="2"/>
      <charset val="177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5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165" fontId="4" fillId="5" borderId="21" xfId="1" applyNumberFormat="1" applyFont="1" applyFill="1" applyBorder="1"/>
    <xf numFmtId="0" fontId="19" fillId="3" borderId="17" xfId="0" applyFont="1" applyFill="1" applyBorder="1" applyAlignment="1">
      <alignment horizontal="center" vertical="center" wrapText="1"/>
    </xf>
    <xf numFmtId="165" fontId="4" fillId="5" borderId="20" xfId="1" applyNumberFormat="1" applyFont="1" applyFill="1" applyBorder="1"/>
    <xf numFmtId="0" fontId="0" fillId="0" borderId="33" xfId="0" applyBorder="1"/>
    <xf numFmtId="165" fontId="0" fillId="0" borderId="34" xfId="1" applyNumberFormat="1" applyFont="1" applyBorder="1"/>
    <xf numFmtId="0" fontId="0" fillId="0" borderId="34" xfId="0" applyBorder="1"/>
    <xf numFmtId="0" fontId="0" fillId="0" borderId="35" xfId="0" applyBorder="1"/>
    <xf numFmtId="164" fontId="0" fillId="0" borderId="2" xfId="0" applyNumberFormat="1" applyBorder="1"/>
    <xf numFmtId="2" fontId="0" fillId="0" borderId="0" xfId="0" applyNumberFormat="1"/>
    <xf numFmtId="164" fontId="0" fillId="0" borderId="0" xfId="2" applyNumberFormat="1" applyFont="1" applyBorder="1"/>
    <xf numFmtId="17" fontId="0" fillId="0" borderId="0" xfId="0" applyNumberFormat="1"/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0" fontId="0" fillId="12" borderId="35" xfId="0" applyFill="1" applyBorder="1" applyAlignment="1">
      <alignment horizontal="center" vertical="center"/>
    </xf>
    <xf numFmtId="0" fontId="0" fillId="11" borderId="44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72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60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12" borderId="60" xfId="0" applyFill="1" applyBorder="1" applyAlignment="1">
      <alignment horizontal="center" vertical="center" wrapText="1"/>
    </xf>
    <xf numFmtId="0" fontId="0" fillId="12" borderId="19" xfId="0" applyFill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64" fontId="8" fillId="0" borderId="22" xfId="0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 wrapText="1"/>
    </xf>
    <xf numFmtId="0" fontId="0" fillId="12" borderId="35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4" fontId="0" fillId="0" borderId="73" xfId="2" applyNumberFormat="1" applyFont="1" applyBorder="1" applyAlignment="1">
      <alignment horizontal="center" vertical="center"/>
    </xf>
    <xf numFmtId="164" fontId="0" fillId="0" borderId="25" xfId="2" applyNumberFormat="1" applyFont="1" applyBorder="1" applyAlignment="1">
      <alignment horizontal="center" vertical="center"/>
    </xf>
    <xf numFmtId="164" fontId="0" fillId="0" borderId="31" xfId="2" applyNumberFormat="1" applyFont="1" applyBorder="1" applyAlignment="1">
      <alignment horizontal="center" vertical="center"/>
    </xf>
    <xf numFmtId="164" fontId="0" fillId="0" borderId="21" xfId="2" applyNumberFormat="1" applyFont="1" applyBorder="1" applyAlignment="1">
      <alignment horizontal="center" vertical="center"/>
    </xf>
    <xf numFmtId="164" fontId="6" fillId="0" borderId="73" xfId="0" applyNumberFormat="1" applyFont="1" applyBorder="1" applyAlignment="1">
      <alignment horizontal="center" vertical="center"/>
    </xf>
    <xf numFmtId="164" fontId="6" fillId="0" borderId="25" xfId="0" applyNumberFormat="1" applyFont="1" applyBorder="1" applyAlignment="1">
      <alignment horizontal="center" vertical="center"/>
    </xf>
    <xf numFmtId="164" fontId="6" fillId="0" borderId="59" xfId="0" applyNumberFormat="1" applyFont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0" fillId="0" borderId="6" xfId="2" applyNumberFormat="1" applyFont="1" applyBorder="1" applyAlignment="1">
      <alignment horizontal="center" vertical="center"/>
    </xf>
    <xf numFmtId="164" fontId="0" fillId="0" borderId="12" xfId="2" applyNumberFormat="1" applyFont="1" applyBorder="1" applyAlignment="1">
      <alignment horizontal="center" vertical="center"/>
    </xf>
    <xf numFmtId="164" fontId="8" fillId="0" borderId="73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31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35" xfId="0" applyNumberFormat="1" applyFont="1" applyBorder="1" applyAlignment="1">
      <alignment horizontal="center" vertical="center"/>
    </xf>
    <xf numFmtId="164" fontId="0" fillId="0" borderId="20" xfId="2" applyNumberFormat="1" applyFont="1" applyBorder="1" applyAlignment="1">
      <alignment horizontal="center" vertical="center"/>
    </xf>
    <xf numFmtId="164" fontId="0" fillId="0" borderId="54" xfId="2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9" xfId="0" applyBorder="1" applyAlignment="1">
      <alignment horizontal="center" wrapText="1"/>
    </xf>
    <xf numFmtId="0" fontId="0" fillId="0" borderId="55" xfId="0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164" fontId="0" fillId="0" borderId="30" xfId="2" applyNumberFormat="1" applyFont="1" applyBorder="1" applyAlignment="1">
      <alignment horizontal="center" vertical="center"/>
    </xf>
    <xf numFmtId="164" fontId="0" fillId="0" borderId="71" xfId="2" applyNumberFormat="1" applyFont="1" applyBorder="1" applyAlignment="1">
      <alignment horizontal="center" vertical="center"/>
    </xf>
    <xf numFmtId="164" fontId="8" fillId="0" borderId="25" xfId="0" applyNumberFormat="1" applyFont="1" applyBorder="1" applyAlignment="1">
      <alignment horizontal="center" vertical="center"/>
    </xf>
    <xf numFmtId="164" fontId="8" fillId="0" borderId="21" xfId="0" applyNumberFormat="1" applyFont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226933</xdr:colOff>
      <xdr:row>13</xdr:row>
      <xdr:rowOff>173363</xdr:rowOff>
    </xdr:from>
    <xdr:to>
      <xdr:col>20</xdr:col>
      <xdr:colOff>60389</xdr:colOff>
      <xdr:row>37</xdr:row>
      <xdr:rowOff>94023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E7F99E74-7B41-9C6C-38DA-01A9547A8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9426936" y="2611763"/>
          <a:ext cx="5710381" cy="4044985"/>
        </a:xfrm>
        <a:prstGeom prst="rect">
          <a:avLst/>
        </a:prstGeom>
      </xdr:spPr>
    </xdr:pic>
    <xdr:clientData/>
  </xdr:twoCellAnchor>
  <xdr:twoCellAnchor editAs="oneCell">
    <xdr:from>
      <xdr:col>1</xdr:col>
      <xdr:colOff>430530</xdr:colOff>
      <xdr:row>45</xdr:row>
      <xdr:rowOff>148590</xdr:rowOff>
    </xdr:from>
    <xdr:to>
      <xdr:col>8</xdr:col>
      <xdr:colOff>894333</xdr:colOff>
      <xdr:row>54</xdr:row>
      <xdr:rowOff>1905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A94FE6A3-A48F-490A-AC35-8146023499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7335"/>
        <a:stretch/>
      </xdr:blipFill>
      <xdr:spPr>
        <a:xfrm>
          <a:off x="10918508517" y="8073390"/>
          <a:ext cx="6350253" cy="1392555"/>
        </a:xfrm>
        <a:prstGeom prst="rect">
          <a:avLst/>
        </a:prstGeom>
      </xdr:spPr>
    </xdr:pic>
    <xdr:clientData/>
  </xdr:twoCellAnchor>
  <xdr:twoCellAnchor editAs="oneCell">
    <xdr:from>
      <xdr:col>1</xdr:col>
      <xdr:colOff>262890</xdr:colOff>
      <xdr:row>35</xdr:row>
      <xdr:rowOff>106680</xdr:rowOff>
    </xdr:from>
    <xdr:to>
      <xdr:col>10</xdr:col>
      <xdr:colOff>589798</xdr:colOff>
      <xdr:row>45</xdr:row>
      <xdr:rowOff>76200</xdr:rowOff>
    </xdr:to>
    <xdr:pic>
      <xdr:nvPicPr>
        <xdr:cNvPr id="5" name="תמונה 4">
          <a:extLst>
            <a:ext uri="{FF2B5EF4-FFF2-40B4-BE49-F238E27FC236}">
              <a16:creationId xmlns:a16="http://schemas.microsoft.com/office/drawing/2014/main" id="{EE7A9F6C-1D4A-4DB8-B39C-35CE58261A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6164"/>
        <a:stretch/>
      </xdr:blipFill>
      <xdr:spPr>
        <a:xfrm>
          <a:off x="10916508002" y="5972175"/>
          <a:ext cx="8251708" cy="1685925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16</xdr:row>
      <xdr:rowOff>161925</xdr:rowOff>
    </xdr:from>
    <xdr:to>
      <xdr:col>9</xdr:col>
      <xdr:colOff>478741</xdr:colOff>
      <xdr:row>33</xdr:row>
      <xdr:rowOff>133600</xdr:rowOff>
    </xdr:to>
    <xdr:pic>
      <xdr:nvPicPr>
        <xdr:cNvPr id="6" name="תמונה 5">
          <a:extLst>
            <a:ext uri="{FF2B5EF4-FFF2-40B4-BE49-F238E27FC236}">
              <a16:creationId xmlns:a16="http://schemas.microsoft.com/office/drawing/2014/main" id="{5B401745-B437-4D15-9D4B-6C742BF4D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17737294" y="2773680"/>
          <a:ext cx="6763336" cy="2880610"/>
        </a:xfrm>
        <a:prstGeom prst="rect">
          <a:avLst/>
        </a:prstGeom>
      </xdr:spPr>
    </xdr:pic>
    <xdr:clientData/>
  </xdr:twoCellAnchor>
  <xdr:twoCellAnchor editAs="oneCell">
    <xdr:from>
      <xdr:col>5</xdr:col>
      <xdr:colOff>455293</xdr:colOff>
      <xdr:row>82</xdr:row>
      <xdr:rowOff>15240</xdr:rowOff>
    </xdr:from>
    <xdr:to>
      <xdr:col>10</xdr:col>
      <xdr:colOff>59760</xdr:colOff>
      <xdr:row>98</xdr:row>
      <xdr:rowOff>15240</xdr:rowOff>
    </xdr:to>
    <xdr:pic>
      <xdr:nvPicPr>
        <xdr:cNvPr id="7" name="תמונה 6">
          <a:extLst>
            <a:ext uri="{FF2B5EF4-FFF2-40B4-BE49-F238E27FC236}">
              <a16:creationId xmlns:a16="http://schemas.microsoft.com/office/drawing/2014/main" id="{D2B056CA-5039-FFA9-1C18-0C0537F86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17300930" y="14283690"/>
          <a:ext cx="4046927" cy="2747010"/>
        </a:xfrm>
        <a:prstGeom prst="rect">
          <a:avLst/>
        </a:prstGeom>
      </xdr:spPr>
    </xdr:pic>
    <xdr:clientData/>
  </xdr:twoCellAnchor>
  <xdr:twoCellAnchor editAs="oneCell">
    <xdr:from>
      <xdr:col>5</xdr:col>
      <xdr:colOff>495300</xdr:colOff>
      <xdr:row>77</xdr:row>
      <xdr:rowOff>34290</xdr:rowOff>
    </xdr:from>
    <xdr:to>
      <xdr:col>10</xdr:col>
      <xdr:colOff>96731</xdr:colOff>
      <xdr:row>82</xdr:row>
      <xdr:rowOff>15240</xdr:rowOff>
    </xdr:to>
    <xdr:pic>
      <xdr:nvPicPr>
        <xdr:cNvPr id="8" name="תמונה 7">
          <a:extLst>
            <a:ext uri="{FF2B5EF4-FFF2-40B4-BE49-F238E27FC236}">
              <a16:creationId xmlns:a16="http://schemas.microsoft.com/office/drawing/2014/main" id="{FFF125B4-0337-A952-0687-05DF487CC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17281104" y="13445490"/>
          <a:ext cx="4026746" cy="8420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topLeftCell="A42" zoomScale="70" zoomScaleNormal="70" workbookViewId="0">
      <selection activeCell="I27" sqref="I27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45</v>
      </c>
      <c r="B2" s="76">
        <f>'מ"ר אקו'' נחלה'!I14</f>
        <v>1172</v>
      </c>
      <c r="K2" s="1"/>
    </row>
    <row r="3" spans="1:11" x14ac:dyDescent="0.35">
      <c r="A3" s="1" t="s">
        <v>17</v>
      </c>
      <c r="B3" s="76">
        <f>'מ"ר אקו'' נחלה'!D14</f>
        <v>1122</v>
      </c>
      <c r="K3" s="1"/>
    </row>
    <row r="4" spans="1:11" x14ac:dyDescent="0.35">
      <c r="A4" s="1" t="s">
        <v>92</v>
      </c>
      <c r="B4" s="76">
        <f>'מ"ר אקו'' נחלה'!D28</f>
        <v>0</v>
      </c>
      <c r="K4" s="1"/>
    </row>
    <row r="5" spans="1:11" x14ac:dyDescent="0.35">
      <c r="A5" s="1" t="s">
        <v>205</v>
      </c>
      <c r="B5" s="76">
        <f>'מ"ר אקו'' נחלה'!D38</f>
        <v>0</v>
      </c>
      <c r="K5" s="1"/>
    </row>
    <row r="6" spans="1:11" x14ac:dyDescent="0.35">
      <c r="A6" s="1" t="s">
        <v>3</v>
      </c>
      <c r="B6" s="1">
        <f>'מ"ר אקו'' נחלה'!D70</f>
        <v>806.25</v>
      </c>
      <c r="F6" s="7"/>
      <c r="K6" s="1"/>
    </row>
    <row r="7" spans="1:11" x14ac:dyDescent="0.35">
      <c r="A7" s="1" t="s">
        <v>57</v>
      </c>
      <c r="B7" s="1">
        <f>'מ"ר אקו'' נחלה'!D57</f>
        <v>286.8</v>
      </c>
      <c r="C7" s="1" t="s">
        <v>58</v>
      </c>
      <c r="D7" s="75">
        <f>'מ"ר אקו'' נחלה'!I50</f>
        <v>207.5</v>
      </c>
      <c r="F7" s="75"/>
      <c r="K7" s="1"/>
    </row>
    <row r="8" spans="1:11" x14ac:dyDescent="0.35">
      <c r="A8" s="1" t="s">
        <v>12</v>
      </c>
      <c r="B8" s="129">
        <f>'ניתוח איזור לעסקאות דמה'!C7</f>
        <v>8500</v>
      </c>
      <c r="C8" s="1" t="s">
        <v>85</v>
      </c>
      <c r="D8" s="5">
        <v>2500</v>
      </c>
      <c r="F8" s="75"/>
      <c r="K8" s="1"/>
    </row>
    <row r="9" spans="1:11" x14ac:dyDescent="0.35">
      <c r="A9" s="3"/>
      <c r="B9" s="5"/>
      <c r="C9" s="1" t="s">
        <v>93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67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256992.1875</v>
      </c>
      <c r="G11" s="75">
        <f>'מ"ר אקו'' נחלה'!D71*-3.75%</f>
        <v>-6562.5</v>
      </c>
      <c r="H11" s="88">
        <f>SUM(F11:G11)</f>
        <v>250429.6875</v>
      </c>
      <c r="I11" s="9"/>
      <c r="J11" s="75"/>
    </row>
    <row r="12" spans="1:11" x14ac:dyDescent="0.35">
      <c r="A12" s="82" t="s">
        <v>63</v>
      </c>
      <c r="B12" s="114">
        <f>D7</f>
        <v>207.5</v>
      </c>
      <c r="C12" s="115">
        <v>0.29249999999999998</v>
      </c>
      <c r="D12" s="82">
        <f t="shared" si="0"/>
        <v>60.693749999999994</v>
      </c>
      <c r="E12" s="82">
        <v>1</v>
      </c>
      <c r="F12" s="84">
        <f>D12*$B$8*E12</f>
        <v>515896.87499999994</v>
      </c>
      <c r="G12" s="75">
        <f>-'מ"ר אקו'' נחלה'!D58*C12</f>
        <v>-29250</v>
      </c>
      <c r="H12" s="6">
        <f>SUM(F12:G12)</f>
        <v>486646.87499999994</v>
      </c>
      <c r="J12" s="87"/>
    </row>
    <row r="13" spans="1:11" x14ac:dyDescent="0.35">
      <c r="A13" s="82" t="s">
        <v>64</v>
      </c>
      <c r="B13" s="114">
        <f>B7-B12</f>
        <v>79.300000000000011</v>
      </c>
      <c r="C13" s="115">
        <v>0.33</v>
      </c>
      <c r="D13" s="82">
        <f t="shared" si="0"/>
        <v>26.169000000000004</v>
      </c>
      <c r="E13" s="82">
        <v>1</v>
      </c>
      <c r="F13" s="84">
        <f>D13*$B$8*E13</f>
        <v>222436.50000000003</v>
      </c>
      <c r="G13" s="87">
        <f>G12*53/245</f>
        <v>-6327.5510204081629</v>
      </c>
      <c r="H13" s="6">
        <f>SUM(F13:G13)</f>
        <v>216108.94897959186</v>
      </c>
      <c r="I13" s="9"/>
      <c r="J13" s="75"/>
    </row>
    <row r="14" spans="1:11" ht="21" x14ac:dyDescent="0.4">
      <c r="A14" s="111" t="s">
        <v>65</v>
      </c>
      <c r="B14" s="112">
        <f>SUM(B12:B13)</f>
        <v>286.8</v>
      </c>
      <c r="C14" s="113"/>
      <c r="D14" s="113"/>
      <c r="E14" s="113"/>
      <c r="F14" s="113">
        <f>SUM(F12:F13)</f>
        <v>738333.375</v>
      </c>
      <c r="G14" s="116"/>
      <c r="H14" s="89">
        <f>SUM(H12:H13)</f>
        <v>702755.82397959183</v>
      </c>
      <c r="J14" s="75"/>
    </row>
    <row r="15" spans="1:11" ht="21" x14ac:dyDescent="0.4">
      <c r="A15" s="77" t="s">
        <v>7</v>
      </c>
      <c r="B15" s="77">
        <f>'מ"ר אקו'' נחלה'!I50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749593.75</v>
      </c>
      <c r="G15" s="9"/>
      <c r="J15" s="86"/>
    </row>
    <row r="16" spans="1:11" ht="21" x14ac:dyDescent="0.4">
      <c r="A16" s="77" t="s">
        <v>5</v>
      </c>
      <c r="B16" s="81">
        <f>B3+B4-B5</f>
        <v>1122</v>
      </c>
      <c r="C16" s="80">
        <v>0.33</v>
      </c>
      <c r="D16" s="77">
        <f t="shared" si="0"/>
        <v>370.26</v>
      </c>
      <c r="E16" s="77">
        <v>1</v>
      </c>
      <c r="F16" s="79">
        <f>D16*$B$8*E16</f>
        <v>3147210</v>
      </c>
      <c r="G16" s="75">
        <f>-'מ"ר אקו'' נחלה'!D15*C16</f>
        <v>-81510</v>
      </c>
      <c r="H16" s="88">
        <f>SUM(F16:G16)</f>
        <v>3065700</v>
      </c>
      <c r="J16" s="137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5414.5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580.125</v>
      </c>
      <c r="G20" s="9"/>
      <c r="I20" s="6"/>
      <c r="J20" s="9"/>
    </row>
    <row r="21" spans="1:10" ht="21" x14ac:dyDescent="0.4">
      <c r="A21" s="1" t="s">
        <v>71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46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2320.5</v>
      </c>
    </row>
    <row r="23" spans="1:10" ht="21" x14ac:dyDescent="0.4">
      <c r="A23" s="82" t="s">
        <v>86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47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425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48</v>
      </c>
      <c r="B27" s="85"/>
      <c r="C27" s="8"/>
      <c r="D27" s="186"/>
      <c r="E27" s="186"/>
      <c r="F27" s="5"/>
      <c r="I27" s="75"/>
    </row>
    <row r="29" spans="1:10" x14ac:dyDescent="0.35">
      <c r="A29" s="2" t="s">
        <v>158</v>
      </c>
      <c r="C29" s="75"/>
    </row>
    <row r="30" spans="1:10" x14ac:dyDescent="0.35">
      <c r="A30" s="2"/>
      <c r="B30" s="2" t="s">
        <v>160</v>
      </c>
      <c r="C30" s="2" t="s">
        <v>21</v>
      </c>
      <c r="D30" s="2" t="s">
        <v>159</v>
      </c>
    </row>
    <row r="31" spans="1:10" x14ac:dyDescent="0.35">
      <c r="A31" s="1" t="s">
        <v>156</v>
      </c>
      <c r="B31" s="5">
        <f>'מ"ר אקו'' נחלה'!D57*'תחשיב לפי שווי שומה (2)'!$B$8</f>
        <v>2437800</v>
      </c>
      <c r="C31" s="191">
        <v>1</v>
      </c>
      <c r="D31" s="6">
        <f>C31*$B$8</f>
        <v>8500</v>
      </c>
    </row>
    <row r="32" spans="1:10" x14ac:dyDescent="0.35">
      <c r="A32" s="1" t="s">
        <v>155</v>
      </c>
      <c r="B32" s="6">
        <f>350*$B$8*C32</f>
        <v>446250</v>
      </c>
      <c r="C32" s="191">
        <v>0.15</v>
      </c>
      <c r="D32" s="6">
        <f>C32*$B$8</f>
        <v>1275</v>
      </c>
    </row>
    <row r="33" spans="1:6" x14ac:dyDescent="0.35">
      <c r="C33" s="75"/>
    </row>
    <row r="34" spans="1:6" x14ac:dyDescent="0.35">
      <c r="A34" s="1" t="s">
        <v>153</v>
      </c>
      <c r="B34" s="6">
        <f>B31-B32</f>
        <v>1991550</v>
      </c>
      <c r="C34" s="191">
        <f>C31-C32</f>
        <v>0.85</v>
      </c>
      <c r="D34" s="6">
        <f>C34*$B$8</f>
        <v>7225</v>
      </c>
    </row>
    <row r="35" spans="1:6" x14ac:dyDescent="0.35">
      <c r="A35" s="1" t="s">
        <v>154</v>
      </c>
      <c r="B35" s="6">
        <f>B34*50%</f>
        <v>995775</v>
      </c>
      <c r="C35" s="191">
        <f>C34*50%</f>
        <v>0.42499999999999999</v>
      </c>
      <c r="D35" s="6">
        <f>C35*$B$8</f>
        <v>3612.5</v>
      </c>
    </row>
    <row r="37" spans="1:6" x14ac:dyDescent="0.35">
      <c r="A37" s="2" t="s">
        <v>162</v>
      </c>
      <c r="C37" s="75"/>
    </row>
    <row r="38" spans="1:6" x14ac:dyDescent="0.35">
      <c r="A38" s="2"/>
      <c r="B38" s="2" t="s">
        <v>160</v>
      </c>
      <c r="C38" s="2" t="s">
        <v>21</v>
      </c>
      <c r="D38" s="2" t="s">
        <v>159</v>
      </c>
    </row>
    <row r="39" spans="1:6" x14ac:dyDescent="0.35">
      <c r="A39" s="1" t="s">
        <v>156</v>
      </c>
      <c r="B39" s="5">
        <f>'מ"ר אקו'' נחלה'!D57*'תחשיב לפי שווי שומה (2)'!$B$8</f>
        <v>2437800</v>
      </c>
      <c r="C39" s="191">
        <v>1</v>
      </c>
      <c r="D39" s="6">
        <f>C39*$B$8</f>
        <v>8500</v>
      </c>
    </row>
    <row r="40" spans="1:6" x14ac:dyDescent="0.35">
      <c r="A40" s="1" t="s">
        <v>163</v>
      </c>
      <c r="B40" s="6">
        <f>B39*70%</f>
        <v>1706460</v>
      </c>
      <c r="C40" s="191">
        <v>0.7</v>
      </c>
      <c r="D40" s="6">
        <f>C40*$B$8</f>
        <v>5950</v>
      </c>
    </row>
    <row r="41" spans="1:6" x14ac:dyDescent="0.35">
      <c r="C41" s="75"/>
    </row>
    <row r="42" spans="1:6" x14ac:dyDescent="0.35">
      <c r="A42" s="1" t="s">
        <v>153</v>
      </c>
      <c r="B42" s="6">
        <f>B39-B40</f>
        <v>731340</v>
      </c>
      <c r="C42" s="191">
        <f>C39-C40</f>
        <v>0.30000000000000004</v>
      </c>
      <c r="D42" s="6">
        <f>C42*$B$8</f>
        <v>2550.0000000000005</v>
      </c>
      <c r="F42" s="6"/>
    </row>
    <row r="43" spans="1:6" x14ac:dyDescent="0.35">
      <c r="A43" s="1" t="s">
        <v>154</v>
      </c>
      <c r="B43" s="6">
        <f>B42*50%</f>
        <v>365670</v>
      </c>
      <c r="C43" s="191">
        <f>C42*50%</f>
        <v>0.15000000000000002</v>
      </c>
      <c r="D43" s="6">
        <f>C43*$B$8</f>
        <v>1275.0000000000002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H8:O40"/>
  <sheetViews>
    <sheetView rightToLeft="1" tabSelected="1" topLeftCell="A7" workbookViewId="0">
      <selection activeCell="O31" sqref="O31"/>
    </sheetView>
  </sheetViews>
  <sheetFormatPr defaultRowHeight="13.8" x14ac:dyDescent="0.25"/>
  <cols>
    <col min="9" max="9" width="11.8984375" customWidth="1"/>
    <col min="10" max="10" width="12" bestFit="1" customWidth="1"/>
    <col min="13" max="13" width="12.296875" customWidth="1"/>
    <col min="15" max="15" width="9.8984375" bestFit="1" customWidth="1"/>
  </cols>
  <sheetData>
    <row r="8" spans="8:13" ht="14.4" thickBot="1" x14ac:dyDescent="0.3"/>
    <row r="9" spans="8:13" ht="14.4" thickBot="1" x14ac:dyDescent="0.3">
      <c r="H9" s="244" t="s">
        <v>246</v>
      </c>
      <c r="I9" s="245"/>
      <c r="J9" s="245"/>
      <c r="K9" s="245"/>
      <c r="L9" s="245"/>
      <c r="M9" s="246"/>
    </row>
    <row r="10" spans="8:13" ht="32.4" customHeight="1" thickBot="1" x14ac:dyDescent="0.3">
      <c r="H10" s="240" t="s">
        <v>212</v>
      </c>
      <c r="I10" s="241"/>
      <c r="J10" s="247" t="s">
        <v>247</v>
      </c>
      <c r="K10" s="248"/>
      <c r="L10" s="248"/>
      <c r="M10" s="249"/>
    </row>
    <row r="11" spans="8:13" ht="28.2" customHeight="1" thickBot="1" x14ac:dyDescent="0.3">
      <c r="H11" s="242"/>
      <c r="I11" s="243"/>
      <c r="J11" s="250" t="s">
        <v>248</v>
      </c>
      <c r="K11" s="251"/>
      <c r="L11" s="252" t="s">
        <v>249</v>
      </c>
      <c r="M11" s="253"/>
    </row>
    <row r="12" spans="8:13" x14ac:dyDescent="0.25">
      <c r="H12" s="232" t="s">
        <v>250</v>
      </c>
      <c r="I12" s="233"/>
      <c r="J12" s="236">
        <v>250000</v>
      </c>
      <c r="K12" s="236"/>
      <c r="L12" s="236" t="s">
        <v>213</v>
      </c>
      <c r="M12" s="238"/>
    </row>
    <row r="13" spans="8:13" x14ac:dyDescent="0.25">
      <c r="H13" s="234"/>
      <c r="I13" s="235"/>
      <c r="J13" s="237"/>
      <c r="K13" s="237"/>
      <c r="L13" s="237"/>
      <c r="M13" s="239"/>
    </row>
    <row r="14" spans="8:13" x14ac:dyDescent="0.25">
      <c r="H14" s="234" t="s">
        <v>214</v>
      </c>
      <c r="I14" s="235"/>
      <c r="J14" s="237">
        <f>J12*6%</f>
        <v>15000</v>
      </c>
      <c r="K14" s="237"/>
      <c r="L14" s="237" t="s">
        <v>213</v>
      </c>
      <c r="M14" s="239"/>
    </row>
    <row r="15" spans="8:13" x14ac:dyDescent="0.25">
      <c r="H15" s="234"/>
      <c r="I15" s="235"/>
      <c r="J15" s="237"/>
      <c r="K15" s="237"/>
      <c r="L15" s="237"/>
      <c r="M15" s="239"/>
    </row>
    <row r="16" spans="8:13" x14ac:dyDescent="0.25">
      <c r="H16" s="234" t="s">
        <v>252</v>
      </c>
      <c r="I16" s="235"/>
      <c r="J16" s="237">
        <v>305000</v>
      </c>
      <c r="K16" s="237"/>
      <c r="L16" s="261" t="s">
        <v>213</v>
      </c>
      <c r="M16" s="262"/>
    </row>
    <row r="17" spans="8:15" x14ac:dyDescent="0.25">
      <c r="H17" s="234"/>
      <c r="I17" s="235"/>
      <c r="J17" s="237"/>
      <c r="K17" s="237"/>
      <c r="L17" s="261"/>
      <c r="M17" s="262"/>
    </row>
    <row r="18" spans="8:15" x14ac:dyDescent="0.25">
      <c r="H18" s="263" t="s">
        <v>251</v>
      </c>
      <c r="I18" s="264"/>
      <c r="J18" s="258" t="s">
        <v>213</v>
      </c>
      <c r="K18" s="255"/>
      <c r="L18" s="265">
        <v>170000</v>
      </c>
      <c r="M18" s="266"/>
    </row>
    <row r="19" spans="8:15" x14ac:dyDescent="0.25">
      <c r="H19" s="263"/>
      <c r="I19" s="264"/>
      <c r="J19" s="255"/>
      <c r="K19" s="255"/>
      <c r="L19" s="264"/>
      <c r="M19" s="266"/>
    </row>
    <row r="20" spans="8:15" x14ac:dyDescent="0.25">
      <c r="H20" s="254" t="s">
        <v>8</v>
      </c>
      <c r="I20" s="255"/>
      <c r="J20" s="258">
        <f>SUM(J12:K19)</f>
        <v>570000</v>
      </c>
      <c r="K20" s="255"/>
      <c r="L20" s="258">
        <f>SUM(L14:M19)</f>
        <v>170000</v>
      </c>
      <c r="M20" s="259"/>
    </row>
    <row r="21" spans="8:15" ht="14.4" thickBot="1" x14ac:dyDescent="0.3">
      <c r="H21" s="256"/>
      <c r="I21" s="257"/>
      <c r="J21" s="257"/>
      <c r="K21" s="257"/>
      <c r="L21" s="257"/>
      <c r="M21" s="260"/>
    </row>
    <row r="24" spans="8:15" ht="14.4" thickBot="1" x14ac:dyDescent="0.3"/>
    <row r="25" spans="8:15" ht="14.4" thickBot="1" x14ac:dyDescent="0.3">
      <c r="H25" s="244" t="s">
        <v>256</v>
      </c>
      <c r="I25" s="245"/>
      <c r="J25" s="245"/>
      <c r="K25" s="245"/>
      <c r="L25" s="245"/>
      <c r="M25" s="246"/>
    </row>
    <row r="26" spans="8:15" x14ac:dyDescent="0.25">
      <c r="H26" s="342" t="s">
        <v>255</v>
      </c>
      <c r="I26" s="343"/>
      <c r="J26" s="236">
        <v>170000</v>
      </c>
      <c r="K26" s="236"/>
      <c r="L26" s="236">
        <f>J26</f>
        <v>170000</v>
      </c>
      <c r="M26" s="238"/>
    </row>
    <row r="27" spans="8:15" ht="14.4" thickBot="1" x14ac:dyDescent="0.3">
      <c r="H27" s="344"/>
      <c r="I27" s="345"/>
      <c r="J27" s="346"/>
      <c r="K27" s="346"/>
      <c r="L27" s="346"/>
      <c r="M27" s="347"/>
    </row>
    <row r="28" spans="8:15" x14ac:dyDescent="0.25">
      <c r="H28" s="240" t="s">
        <v>212</v>
      </c>
      <c r="I28" s="241"/>
      <c r="J28" s="247" t="s">
        <v>253</v>
      </c>
      <c r="K28" s="249"/>
      <c r="L28" s="247" t="s">
        <v>254</v>
      </c>
      <c r="M28" s="249"/>
    </row>
    <row r="29" spans="8:15" ht="14.4" thickBot="1" x14ac:dyDescent="0.3">
      <c r="H29" s="242"/>
      <c r="I29" s="243"/>
      <c r="J29" s="308"/>
      <c r="K29" s="309"/>
      <c r="L29" s="308"/>
      <c r="M29" s="309"/>
      <c r="O29" s="17"/>
    </row>
    <row r="30" spans="8:15" x14ac:dyDescent="0.25">
      <c r="H30" s="340" t="s">
        <v>250</v>
      </c>
      <c r="I30" s="341"/>
      <c r="J30" s="338">
        <v>250000</v>
      </c>
      <c r="K30" s="338"/>
      <c r="L30" s="338" t="s">
        <v>213</v>
      </c>
      <c r="M30" s="339"/>
    </row>
    <row r="31" spans="8:15" x14ac:dyDescent="0.25">
      <c r="H31" s="234"/>
      <c r="I31" s="235"/>
      <c r="J31" s="237"/>
      <c r="K31" s="237"/>
      <c r="L31" s="237"/>
      <c r="M31" s="239"/>
    </row>
    <row r="32" spans="8:15" x14ac:dyDescent="0.25">
      <c r="H32" s="310" t="s">
        <v>214</v>
      </c>
      <c r="I32" s="311"/>
      <c r="J32" s="322">
        <f>J30*6%</f>
        <v>15000</v>
      </c>
      <c r="K32" s="323"/>
      <c r="L32" s="322" t="s">
        <v>213</v>
      </c>
      <c r="M32" s="330"/>
    </row>
    <row r="33" spans="8:13" x14ac:dyDescent="0.25">
      <c r="H33" s="312"/>
      <c r="I33" s="313"/>
      <c r="J33" s="324"/>
      <c r="K33" s="325"/>
      <c r="L33" s="324"/>
      <c r="M33" s="331"/>
    </row>
    <row r="34" spans="8:13" x14ac:dyDescent="0.25">
      <c r="H34" s="310" t="s">
        <v>252</v>
      </c>
      <c r="I34" s="311"/>
      <c r="J34" s="322" t="s">
        <v>213</v>
      </c>
      <c r="K34" s="323"/>
      <c r="L34" s="322">
        <f>(228-160)*6500</f>
        <v>442000</v>
      </c>
      <c r="M34" s="330"/>
    </row>
    <row r="35" spans="8:13" x14ac:dyDescent="0.25">
      <c r="H35" s="312"/>
      <c r="I35" s="313"/>
      <c r="J35" s="324"/>
      <c r="K35" s="325"/>
      <c r="L35" s="324"/>
      <c r="M35" s="331"/>
    </row>
    <row r="36" spans="8:13" x14ac:dyDescent="0.25">
      <c r="H36" s="314" t="s">
        <v>251</v>
      </c>
      <c r="I36" s="315"/>
      <c r="J36" s="332">
        <f>3600*155</f>
        <v>558000</v>
      </c>
      <c r="K36" s="348"/>
      <c r="L36" s="332" t="s">
        <v>213</v>
      </c>
      <c r="M36" s="333"/>
    </row>
    <row r="37" spans="8:13" x14ac:dyDescent="0.25">
      <c r="H37" s="316"/>
      <c r="I37" s="317"/>
      <c r="J37" s="334"/>
      <c r="K37" s="349"/>
      <c r="L37" s="334"/>
      <c r="M37" s="335"/>
    </row>
    <row r="38" spans="8:13" x14ac:dyDescent="0.25">
      <c r="H38" s="318" t="s">
        <v>8</v>
      </c>
      <c r="I38" s="319"/>
      <c r="J38" s="326">
        <f>J36+J32+J30+J26</f>
        <v>993000</v>
      </c>
      <c r="K38" s="327"/>
      <c r="L38" s="326">
        <f>L34+L26</f>
        <v>612000</v>
      </c>
      <c r="M38" s="336"/>
    </row>
    <row r="39" spans="8:13" ht="14.4" thickBot="1" x14ac:dyDescent="0.3">
      <c r="H39" s="320"/>
      <c r="I39" s="321"/>
      <c r="J39" s="328"/>
      <c r="K39" s="329"/>
      <c r="L39" s="328"/>
      <c r="M39" s="337"/>
    </row>
    <row r="40" spans="8:13" x14ac:dyDescent="0.25">
      <c r="J40" s="150"/>
      <c r="M40" s="150"/>
    </row>
  </sheetData>
  <mergeCells count="42">
    <mergeCell ref="H38:I39"/>
    <mergeCell ref="J38:K39"/>
    <mergeCell ref="L38:M39"/>
    <mergeCell ref="H26:I27"/>
    <mergeCell ref="J26:K27"/>
    <mergeCell ref="L26:M27"/>
    <mergeCell ref="H36:I37"/>
    <mergeCell ref="J36:K37"/>
    <mergeCell ref="L36:M37"/>
    <mergeCell ref="J28:K29"/>
    <mergeCell ref="L28:M29"/>
    <mergeCell ref="H32:I33"/>
    <mergeCell ref="J32:K33"/>
    <mergeCell ref="L32:M33"/>
    <mergeCell ref="H34:I35"/>
    <mergeCell ref="J34:K35"/>
    <mergeCell ref="L34:M35"/>
    <mergeCell ref="H30:I31"/>
    <mergeCell ref="J30:K31"/>
    <mergeCell ref="L30:M31"/>
    <mergeCell ref="H25:M25"/>
    <mergeCell ref="H28:I29"/>
    <mergeCell ref="H14:I15"/>
    <mergeCell ref="J14:K15"/>
    <mergeCell ref="L14:M15"/>
    <mergeCell ref="H20:I21"/>
    <mergeCell ref="J20:K21"/>
    <mergeCell ref="L20:M21"/>
    <mergeCell ref="H16:I17"/>
    <mergeCell ref="J16:K17"/>
    <mergeCell ref="L16:M17"/>
    <mergeCell ref="H18:I19"/>
    <mergeCell ref="J18:K19"/>
    <mergeCell ref="L18:M19"/>
    <mergeCell ref="H12:I13"/>
    <mergeCell ref="J12:K13"/>
    <mergeCell ref="L12:M13"/>
    <mergeCell ref="H10:I11"/>
    <mergeCell ref="H9:M9"/>
    <mergeCell ref="J10:M10"/>
    <mergeCell ref="J11:K11"/>
    <mergeCell ref="L11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P89"/>
  <sheetViews>
    <sheetView rightToLeft="1" zoomScale="85" zoomScaleNormal="85" workbookViewId="0">
      <selection activeCell="P83" sqref="P83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130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55</v>
      </c>
      <c r="B4" s="19">
        <v>655</v>
      </c>
      <c r="C4" s="20">
        <v>1</v>
      </c>
      <c r="D4" s="21">
        <f>C4*B4</f>
        <v>655</v>
      </c>
      <c r="F4" s="18" t="str">
        <f t="shared" ref="F4:H7" si="0">A4</f>
        <v>עיקרי</v>
      </c>
      <c r="G4" s="19">
        <f t="shared" si="0"/>
        <v>655</v>
      </c>
      <c r="H4" s="20">
        <f t="shared" si="0"/>
        <v>1</v>
      </c>
      <c r="I4" s="21">
        <f>H4*G4</f>
        <v>655</v>
      </c>
    </row>
    <row r="5" spans="1:10" x14ac:dyDescent="0.25">
      <c r="A5" s="18" t="s">
        <v>23</v>
      </c>
      <c r="B5" s="19">
        <v>36</v>
      </c>
      <c r="C5" s="20">
        <v>0.9</v>
      </c>
      <c r="D5" s="21">
        <f>C5*B5</f>
        <v>32.4</v>
      </c>
      <c r="F5" s="18" t="str">
        <f t="shared" si="0"/>
        <v>מרחבים מוגנים</v>
      </c>
      <c r="G5" s="19">
        <f t="shared" si="0"/>
        <v>36</v>
      </c>
      <c r="H5" s="20">
        <f t="shared" si="0"/>
        <v>0.9</v>
      </c>
      <c r="I5" s="21">
        <f>H5*G5</f>
        <v>32.4</v>
      </c>
    </row>
    <row r="6" spans="1:10" x14ac:dyDescent="0.25">
      <c r="A6" s="18" t="s">
        <v>97</v>
      </c>
      <c r="B6" s="19">
        <f>150-B5</f>
        <v>114</v>
      </c>
      <c r="C6" s="20">
        <v>0.4</v>
      </c>
      <c r="D6" s="21">
        <f>C6*B6</f>
        <v>45.6</v>
      </c>
      <c r="F6" s="18" t="str">
        <f t="shared" si="0"/>
        <v>יתרת ש"ש</v>
      </c>
      <c r="G6" s="19">
        <f t="shared" si="0"/>
        <v>114</v>
      </c>
      <c r="H6" s="20">
        <f t="shared" si="0"/>
        <v>0.4</v>
      </c>
      <c r="I6" s="21">
        <f>H6*G6</f>
        <v>45.6</v>
      </c>
    </row>
    <row r="7" spans="1:10" x14ac:dyDescent="0.25">
      <c r="A7" s="18" t="s">
        <v>26</v>
      </c>
      <c r="B7" s="19"/>
      <c r="C7" s="20">
        <v>0.5</v>
      </c>
      <c r="D7" s="21">
        <f>C7*B7</f>
        <v>0</v>
      </c>
      <c r="F7" s="18" t="str">
        <f t="shared" si="0"/>
        <v>מבנה עזר - יתרת שטח</v>
      </c>
      <c r="G7" s="19">
        <f t="shared" si="0"/>
        <v>0</v>
      </c>
      <c r="H7" s="20">
        <f t="shared" si="0"/>
        <v>0.5</v>
      </c>
      <c r="I7" s="21">
        <f>H7*G7</f>
        <v>0</v>
      </c>
    </row>
    <row r="8" spans="1:10" x14ac:dyDescent="0.25">
      <c r="A8" s="22" t="s">
        <v>27</v>
      </c>
      <c r="B8" s="23">
        <f>SUM(B4:B7)</f>
        <v>805</v>
      </c>
      <c r="C8" s="24"/>
      <c r="D8" s="25"/>
      <c r="E8" s="91"/>
      <c r="F8" s="22" t="s">
        <v>27</v>
      </c>
      <c r="G8" s="23">
        <f>SUM(G4:G7)</f>
        <v>805</v>
      </c>
      <c r="H8" s="24"/>
      <c r="I8" s="25"/>
    </row>
    <row r="9" spans="1:10" x14ac:dyDescent="0.25">
      <c r="A9" s="26" t="s">
        <v>28</v>
      </c>
      <c r="B9" s="27">
        <f>B2-B8</f>
        <v>1695</v>
      </c>
      <c r="C9" s="28"/>
      <c r="D9" s="29"/>
      <c r="F9" s="26" t="s">
        <v>28</v>
      </c>
      <c r="G9" s="27">
        <f>G2-G8</f>
        <v>2195</v>
      </c>
      <c r="H9" s="28"/>
      <c r="I9" s="29"/>
    </row>
    <row r="10" spans="1:10" x14ac:dyDescent="0.25">
      <c r="A10" s="22" t="s">
        <v>29</v>
      </c>
      <c r="B10" s="23">
        <v>1000</v>
      </c>
      <c r="C10" s="24">
        <v>0.25</v>
      </c>
      <c r="D10" s="25">
        <f>C10*B10</f>
        <v>250</v>
      </c>
      <c r="F10" s="22" t="s">
        <v>29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30</v>
      </c>
      <c r="B11" s="19">
        <f>B9-B10</f>
        <v>695</v>
      </c>
      <c r="C11" s="20">
        <v>0.2</v>
      </c>
      <c r="D11" s="21">
        <f>C11*B11</f>
        <v>139</v>
      </c>
      <c r="F11" s="18" t="s">
        <v>30</v>
      </c>
      <c r="G11" s="19">
        <f>B11</f>
        <v>695</v>
      </c>
      <c r="H11" s="20">
        <v>0.2</v>
      </c>
      <c r="I11" s="21">
        <f>H11*G11</f>
        <v>139</v>
      </c>
    </row>
    <row r="12" spans="1:10" x14ac:dyDescent="0.25">
      <c r="A12" s="18"/>
      <c r="B12" s="19"/>
      <c r="C12" s="20"/>
      <c r="D12" s="21"/>
      <c r="F12" s="18" t="s">
        <v>72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31</v>
      </c>
      <c r="B13" s="31">
        <f>SUM(B4:B11)</f>
        <v>5000</v>
      </c>
      <c r="C13" s="32"/>
      <c r="D13" s="33">
        <f>SUM(D4:D12)</f>
        <v>1122</v>
      </c>
      <c r="F13" s="30" t="s">
        <v>31</v>
      </c>
      <c r="G13" s="31">
        <f>SUM(G4:G11)</f>
        <v>5500</v>
      </c>
      <c r="H13" s="32"/>
      <c r="I13" s="33">
        <f>SUM(I4:I12)</f>
        <v>1172</v>
      </c>
      <c r="J13" s="74"/>
    </row>
    <row r="14" spans="1:10" ht="14.4" thickBot="1" x14ac:dyDescent="0.3">
      <c r="A14" s="34" t="s">
        <v>32</v>
      </c>
      <c r="B14" s="35"/>
      <c r="C14" s="36"/>
      <c r="D14" s="37">
        <f>D13</f>
        <v>1122</v>
      </c>
      <c r="E14" s="72"/>
      <c r="F14" s="34" t="s">
        <v>32</v>
      </c>
      <c r="G14" s="35"/>
      <c r="H14" s="36"/>
      <c r="I14" s="37">
        <f>I13</f>
        <v>1172</v>
      </c>
    </row>
    <row r="15" spans="1:10" x14ac:dyDescent="0.25">
      <c r="A15" t="s">
        <v>66</v>
      </c>
      <c r="D15" s="17">
        <v>247000</v>
      </c>
      <c r="F15" t="s">
        <v>66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 t="s">
        <v>69</v>
      </c>
      <c r="B17" s="11">
        <v>2500</v>
      </c>
      <c r="C17" s="12" t="s">
        <v>98</v>
      </c>
      <c r="D17" s="13"/>
      <c r="I17" s="17"/>
    </row>
    <row r="18" spans="1:9" x14ac:dyDescent="0.25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25">
      <c r="A19" s="18" t="s">
        <v>55</v>
      </c>
      <c r="B19" s="19">
        <v>85</v>
      </c>
      <c r="C19" s="20">
        <v>1</v>
      </c>
      <c r="D19" s="21">
        <f>C19*B19</f>
        <v>85</v>
      </c>
      <c r="I19" s="17"/>
    </row>
    <row r="20" spans="1:9" x14ac:dyDescent="0.25">
      <c r="A20" s="18" t="s">
        <v>68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25">
      <c r="A21" s="18" t="s">
        <v>99</v>
      </c>
      <c r="B21" s="19">
        <v>47.5</v>
      </c>
      <c r="C21" s="20">
        <v>0.5</v>
      </c>
      <c r="D21" s="21">
        <f>C21*B21</f>
        <v>23.75</v>
      </c>
      <c r="I21" s="17"/>
    </row>
    <row r="22" spans="1:9" x14ac:dyDescent="0.25">
      <c r="A22" s="18" t="s">
        <v>100</v>
      </c>
      <c r="B22" s="19">
        <v>180</v>
      </c>
      <c r="C22" s="20">
        <v>0.3</v>
      </c>
      <c r="D22" s="21">
        <f>C22*B22</f>
        <v>54</v>
      </c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18"/>
      <c r="B24" s="19"/>
      <c r="C24" s="20"/>
      <c r="D24" s="21"/>
      <c r="H24">
        <f>876+73</f>
        <v>949</v>
      </c>
      <c r="I24" s="17"/>
    </row>
    <row r="25" spans="1:9" x14ac:dyDescent="0.25">
      <c r="A25" s="22" t="s">
        <v>70</v>
      </c>
      <c r="B25" s="23">
        <v>-145</v>
      </c>
      <c r="C25" s="24">
        <v>0.2</v>
      </c>
      <c r="D25" s="25">
        <f>B25*C25</f>
        <v>-29</v>
      </c>
      <c r="H25">
        <f>H24+137</f>
        <v>1086</v>
      </c>
      <c r="I25" s="17"/>
    </row>
    <row r="26" spans="1:9" x14ac:dyDescent="0.25">
      <c r="A26" s="18"/>
      <c r="B26" s="19"/>
      <c r="C26" s="20"/>
      <c r="D26" s="21"/>
      <c r="I26" s="17"/>
    </row>
    <row r="27" spans="1:9" x14ac:dyDescent="0.25">
      <c r="A27" s="30" t="s">
        <v>89</v>
      </c>
      <c r="B27" s="31"/>
      <c r="C27" s="32"/>
      <c r="D27" s="33"/>
      <c r="I27" s="17"/>
    </row>
    <row r="28" spans="1:9" ht="14.4" thickBot="1" x14ac:dyDescent="0.3">
      <c r="A28" s="34" t="s">
        <v>32</v>
      </c>
      <c r="B28" s="35"/>
      <c r="C28" s="36"/>
      <c r="D28" s="37">
        <v>0</v>
      </c>
      <c r="I28" s="17"/>
    </row>
    <row r="29" spans="1:9" ht="14.4" thickBot="1" x14ac:dyDescent="0.3">
      <c r="D29" s="17"/>
      <c r="I29" s="17"/>
    </row>
    <row r="30" spans="1:9" ht="14.4" thickBot="1" x14ac:dyDescent="0.3">
      <c r="A30" s="267" t="s">
        <v>205</v>
      </c>
      <c r="B30" s="268"/>
      <c r="C30" s="268"/>
      <c r="D30" s="269"/>
      <c r="I30" s="17"/>
    </row>
    <row r="31" spans="1:9" x14ac:dyDescent="0.25">
      <c r="A31" s="214" t="s">
        <v>206</v>
      </c>
      <c r="B31" s="12"/>
      <c r="C31" s="12"/>
      <c r="D31" s="215">
        <v>186</v>
      </c>
      <c r="I31" s="17"/>
    </row>
    <row r="32" spans="1:9" x14ac:dyDescent="0.25">
      <c r="A32" s="18" t="s">
        <v>207</v>
      </c>
      <c r="D32" s="216">
        <v>160</v>
      </c>
      <c r="I32" s="17"/>
    </row>
    <row r="33" spans="1:11" ht="14.4" thickBot="1" x14ac:dyDescent="0.3">
      <c r="A33" s="101" t="s">
        <v>208</v>
      </c>
      <c r="B33" s="103"/>
      <c r="C33" s="103"/>
      <c r="D33" s="217">
        <f>D31-D32</f>
        <v>26</v>
      </c>
      <c r="I33" s="17"/>
    </row>
    <row r="34" spans="1:11" x14ac:dyDescent="0.25">
      <c r="A34" s="10" t="s">
        <v>209</v>
      </c>
      <c r="B34" s="12"/>
      <c r="C34" s="12"/>
      <c r="D34" s="215">
        <v>240</v>
      </c>
      <c r="I34" s="17"/>
    </row>
    <row r="35" spans="1:11" x14ac:dyDescent="0.25">
      <c r="A35" s="18" t="s">
        <v>207</v>
      </c>
      <c r="D35" s="216">
        <v>160</v>
      </c>
      <c r="I35" s="17"/>
    </row>
    <row r="36" spans="1:11" ht="14.4" thickBot="1" x14ac:dyDescent="0.3">
      <c r="A36" s="101" t="s">
        <v>208</v>
      </c>
      <c r="B36" s="103"/>
      <c r="C36" s="103"/>
      <c r="D36" s="217">
        <f>D34-D35</f>
        <v>80</v>
      </c>
      <c r="I36" s="17"/>
    </row>
    <row r="37" spans="1:11" ht="14.4" thickBot="1" x14ac:dyDescent="0.3">
      <c r="A37" s="18"/>
      <c r="D37" s="216"/>
      <c r="I37" s="17"/>
    </row>
    <row r="38" spans="1:11" ht="14.4" thickBot="1" x14ac:dyDescent="0.3">
      <c r="A38" s="218" t="s">
        <v>210</v>
      </c>
      <c r="B38" s="219"/>
      <c r="C38" s="219"/>
      <c r="D38" s="220">
        <v>0</v>
      </c>
      <c r="I38" s="17"/>
    </row>
    <row r="39" spans="1:11" x14ac:dyDescent="0.25">
      <c r="D39" s="17"/>
      <c r="I39" s="17"/>
    </row>
    <row r="40" spans="1:11" x14ac:dyDescent="0.25">
      <c r="D40" s="17"/>
      <c r="I40" s="17"/>
    </row>
    <row r="41" spans="1:11" x14ac:dyDescent="0.25">
      <c r="A41" t="s">
        <v>211</v>
      </c>
      <c r="D41" s="17">
        <f>D14+D28-D38</f>
        <v>1122</v>
      </c>
      <c r="I41" s="17"/>
    </row>
    <row r="42" spans="1:11" x14ac:dyDescent="0.25">
      <c r="D42" s="17"/>
      <c r="I42" s="17"/>
    </row>
    <row r="43" spans="1:11" x14ac:dyDescent="0.25">
      <c r="D43" s="17"/>
      <c r="I43" s="17"/>
    </row>
    <row r="44" spans="1:11" x14ac:dyDescent="0.25">
      <c r="D44" s="17"/>
      <c r="I44" s="17"/>
    </row>
    <row r="45" spans="1:11" x14ac:dyDescent="0.25">
      <c r="D45" s="17"/>
      <c r="I45" s="17"/>
    </row>
    <row r="46" spans="1:11" ht="14.4" thickBot="1" x14ac:dyDescent="0.3">
      <c r="A46" s="39" t="s">
        <v>161</v>
      </c>
    </row>
    <row r="47" spans="1:11" x14ac:dyDescent="0.25">
      <c r="A47" s="10" t="s">
        <v>51</v>
      </c>
      <c r="B47" s="99">
        <v>350</v>
      </c>
      <c r="C47" s="12" t="s">
        <v>74</v>
      </c>
      <c r="D47" s="13"/>
      <c r="F47" s="10" t="s">
        <v>59</v>
      </c>
      <c r="G47" s="12"/>
      <c r="H47" s="12"/>
      <c r="I47" s="13"/>
      <c r="J47" t="s">
        <v>62</v>
      </c>
    </row>
    <row r="48" spans="1:11" x14ac:dyDescent="0.25">
      <c r="A48" s="22" t="s">
        <v>52</v>
      </c>
      <c r="B48" s="40">
        <v>220</v>
      </c>
      <c r="C48" s="24">
        <v>1</v>
      </c>
      <c r="D48" s="25">
        <f t="shared" ref="D48:D53" si="1">B48*C48</f>
        <v>220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</row>
    <row r="49" spans="1:13" x14ac:dyDescent="0.25">
      <c r="A49" s="18" t="s">
        <v>56</v>
      </c>
      <c r="B49" s="19">
        <v>40</v>
      </c>
      <c r="C49" s="20">
        <v>0.5</v>
      </c>
      <c r="D49" s="21">
        <f t="shared" si="1"/>
        <v>20</v>
      </c>
      <c r="F49" s="18" t="s">
        <v>53</v>
      </c>
      <c r="G49" s="91">
        <f>B47-G48</f>
        <v>190</v>
      </c>
      <c r="H49">
        <v>0.25</v>
      </c>
      <c r="I49" s="21">
        <f>G49*H49</f>
        <v>47.5</v>
      </c>
      <c r="J49" s="17"/>
      <c r="K49" s="17"/>
    </row>
    <row r="50" spans="1:13" x14ac:dyDescent="0.25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60</v>
      </c>
      <c r="G50" s="108"/>
      <c r="H50" s="108"/>
      <c r="I50" s="109">
        <f>I48+I49</f>
        <v>207.5</v>
      </c>
      <c r="J50" s="17">
        <f>'תחשיב לפי שווי שומה (2)'!B8</f>
        <v>8500</v>
      </c>
      <c r="K50" s="17">
        <f>I50*J50</f>
        <v>1763750</v>
      </c>
      <c r="L50" s="110">
        <v>0.29249999999999998</v>
      </c>
      <c r="M50" s="91">
        <f>K50*L50</f>
        <v>515896.87499999994</v>
      </c>
    </row>
    <row r="51" spans="1:13" ht="14.4" thickBot="1" x14ac:dyDescent="0.3">
      <c r="A51" s="18" t="s">
        <v>24</v>
      </c>
      <c r="B51" s="19">
        <v>11</v>
      </c>
      <c r="C51" s="20">
        <v>0.5</v>
      </c>
      <c r="D51" s="21">
        <f t="shared" si="1"/>
        <v>5.5</v>
      </c>
      <c r="F51" s="101" t="s">
        <v>61</v>
      </c>
      <c r="G51" s="103"/>
      <c r="H51" s="103"/>
      <c r="I51" s="104">
        <f>D57-I50</f>
        <v>79.300000000000011</v>
      </c>
      <c r="J51" s="17">
        <f>J50</f>
        <v>8500</v>
      </c>
      <c r="K51" s="17">
        <f>I51*J51</f>
        <v>674050.00000000012</v>
      </c>
      <c r="L51" s="110">
        <v>0.33</v>
      </c>
      <c r="M51" s="91">
        <f>K51*L51</f>
        <v>222436.50000000006</v>
      </c>
    </row>
    <row r="52" spans="1:13" x14ac:dyDescent="0.25">
      <c r="A52" s="18" t="s">
        <v>25</v>
      </c>
      <c r="B52" s="19">
        <v>30</v>
      </c>
      <c r="C52" s="20">
        <v>0.35</v>
      </c>
      <c r="D52" s="21">
        <f t="shared" si="1"/>
        <v>10.5</v>
      </c>
      <c r="M52" s="91">
        <f>SUM(M50:M51)</f>
        <v>738333.375</v>
      </c>
    </row>
    <row r="53" spans="1:13" x14ac:dyDescent="0.25">
      <c r="A53" s="100" t="s">
        <v>26</v>
      </c>
      <c r="B53" s="71"/>
      <c r="C53" s="28">
        <v>0.5</v>
      </c>
      <c r="D53" s="29">
        <f t="shared" si="1"/>
        <v>0</v>
      </c>
    </row>
    <row r="54" spans="1:13" x14ac:dyDescent="0.25">
      <c r="A54" s="22" t="s">
        <v>27</v>
      </c>
      <c r="B54" s="23">
        <f>SUM(B48:B53)-B49</f>
        <v>273</v>
      </c>
      <c r="C54" s="24"/>
      <c r="D54" s="25"/>
    </row>
    <row r="55" spans="1:13" x14ac:dyDescent="0.25">
      <c r="A55" s="18" t="s">
        <v>28</v>
      </c>
      <c r="B55" s="19">
        <f>B47-B54</f>
        <v>77</v>
      </c>
      <c r="C55" s="20"/>
      <c r="D55" s="21"/>
    </row>
    <row r="56" spans="1:13" x14ac:dyDescent="0.25">
      <c r="A56" s="26" t="s">
        <v>29</v>
      </c>
      <c r="B56" s="105">
        <v>80</v>
      </c>
      <c r="C56" s="106">
        <v>0.25</v>
      </c>
      <c r="D56" s="107">
        <f>B56*C56</f>
        <v>20</v>
      </c>
    </row>
    <row r="57" spans="1:13" ht="14.4" thickBot="1" x14ac:dyDescent="0.3">
      <c r="A57" s="101" t="s">
        <v>31</v>
      </c>
      <c r="B57" s="102"/>
      <c r="C57" s="103"/>
      <c r="D57" s="104">
        <f>SUM(D48:D56)</f>
        <v>286.8</v>
      </c>
      <c r="F57" s="91"/>
    </row>
    <row r="58" spans="1:13" x14ac:dyDescent="0.25">
      <c r="A58" s="18" t="s">
        <v>75</v>
      </c>
      <c r="B58" s="19"/>
      <c r="D58" s="91">
        <v>100000</v>
      </c>
    </row>
    <row r="60" spans="1:13" ht="14.4" thickBot="1" x14ac:dyDescent="0.3">
      <c r="A60" t="s">
        <v>96</v>
      </c>
      <c r="B60">
        <v>2500</v>
      </c>
      <c r="F60" t="str">
        <f>A60</f>
        <v>לפי שומת הררי 2021</v>
      </c>
      <c r="G60">
        <v>3000</v>
      </c>
    </row>
    <row r="61" spans="1:13" x14ac:dyDescent="0.25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13" x14ac:dyDescent="0.25">
      <c r="A62" s="18" t="s">
        <v>14</v>
      </c>
      <c r="B62">
        <v>160</v>
      </c>
      <c r="C62">
        <v>1</v>
      </c>
      <c r="D62" s="21">
        <f t="shared" ref="D62:D67" si="2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13" x14ac:dyDescent="0.25">
      <c r="A63" s="18" t="s">
        <v>15</v>
      </c>
      <c r="B63">
        <v>160</v>
      </c>
      <c r="C63">
        <v>1</v>
      </c>
      <c r="D63" s="21">
        <f t="shared" si="2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13" x14ac:dyDescent="0.25">
      <c r="A64" s="18" t="s">
        <v>33</v>
      </c>
      <c r="B64">
        <v>55</v>
      </c>
      <c r="C64">
        <v>1</v>
      </c>
      <c r="D64" s="21">
        <f t="shared" si="2"/>
        <v>55</v>
      </c>
      <c r="F64" s="18" t="s">
        <v>33</v>
      </c>
      <c r="G64">
        <v>55</v>
      </c>
      <c r="H64">
        <v>1</v>
      </c>
      <c r="I64" s="21">
        <f>H64*G64</f>
        <v>55</v>
      </c>
    </row>
    <row r="65" spans="1:10" x14ac:dyDescent="0.25">
      <c r="A65" s="18" t="s">
        <v>27</v>
      </c>
      <c r="B65" s="40">
        <f>SUM(B62:B64)</f>
        <v>375</v>
      </c>
      <c r="D65" s="21"/>
      <c r="F65" s="18" t="s">
        <v>27</v>
      </c>
      <c r="G65" s="40">
        <f>SUM(G62:G64)</f>
        <v>375</v>
      </c>
      <c r="I65" s="21"/>
    </row>
    <row r="66" spans="1:10" x14ac:dyDescent="0.25">
      <c r="A66" s="18" t="s">
        <v>34</v>
      </c>
      <c r="B66">
        <v>1125</v>
      </c>
      <c r="C66" s="20">
        <v>0.25</v>
      </c>
      <c r="D66" s="21">
        <f t="shared" si="2"/>
        <v>281.25</v>
      </c>
      <c r="F66" s="18" t="s">
        <v>34</v>
      </c>
      <c r="G66">
        <v>1125</v>
      </c>
      <c r="H66" s="20">
        <v>0.25</v>
      </c>
      <c r="I66" s="21">
        <f>H66*G66</f>
        <v>281.25</v>
      </c>
    </row>
    <row r="67" spans="1:10" x14ac:dyDescent="0.25">
      <c r="A67" s="18" t="s">
        <v>54</v>
      </c>
      <c r="B67">
        <f>B60-B65-B66</f>
        <v>1000</v>
      </c>
      <c r="C67" s="20">
        <v>0.15</v>
      </c>
      <c r="D67" s="21">
        <f t="shared" si="2"/>
        <v>150</v>
      </c>
      <c r="F67" s="18" t="s">
        <v>54</v>
      </c>
      <c r="G67">
        <v>1000</v>
      </c>
      <c r="H67" s="20">
        <v>0.15</v>
      </c>
      <c r="I67" s="21">
        <f>H67*G67</f>
        <v>150</v>
      </c>
    </row>
    <row r="68" spans="1:10" x14ac:dyDescent="0.25">
      <c r="A68" s="18"/>
      <c r="C68" s="20"/>
      <c r="D68" s="21"/>
      <c r="F68" s="18" t="s">
        <v>73</v>
      </c>
      <c r="G68">
        <v>500</v>
      </c>
      <c r="H68" s="20">
        <v>0.1</v>
      </c>
      <c r="I68" s="128">
        <f>G68*H68</f>
        <v>50</v>
      </c>
    </row>
    <row r="69" spans="1:10" x14ac:dyDescent="0.25">
      <c r="A69" s="43" t="s">
        <v>31</v>
      </c>
      <c r="B69" s="40">
        <f>SUM(B62:B67)</f>
        <v>2875</v>
      </c>
      <c r="C69" s="40"/>
      <c r="D69" s="44">
        <f>SUM(D62:D67)</f>
        <v>806.25</v>
      </c>
      <c r="F69" s="43" t="s">
        <v>31</v>
      </c>
      <c r="G69" s="40">
        <f>SUM(G62:G68)</f>
        <v>3375</v>
      </c>
      <c r="H69" s="40"/>
      <c r="I69" s="44">
        <f>SUM(I62:I68)</f>
        <v>856.25</v>
      </c>
    </row>
    <row r="70" spans="1:10" ht="14.4" thickBot="1" x14ac:dyDescent="0.3">
      <c r="A70" s="34" t="s">
        <v>32</v>
      </c>
      <c r="B70" s="45"/>
      <c r="C70" s="45"/>
      <c r="D70" s="46">
        <f>D69</f>
        <v>806.25</v>
      </c>
      <c r="E70" s="72"/>
      <c r="F70" s="34" t="s">
        <v>32</v>
      </c>
      <c r="G70" s="45"/>
      <c r="H70" s="45"/>
      <c r="I70" s="46">
        <f>I69</f>
        <v>856.25</v>
      </c>
    </row>
    <row r="71" spans="1:10" x14ac:dyDescent="0.25">
      <c r="A71" t="s">
        <v>66</v>
      </c>
      <c r="D71" s="17">
        <v>175000</v>
      </c>
      <c r="F71" t="s">
        <v>66</v>
      </c>
      <c r="I71" s="17">
        <v>190000</v>
      </c>
    </row>
    <row r="79" spans="1:10" x14ac:dyDescent="0.25">
      <c r="A79" t="s">
        <v>241</v>
      </c>
      <c r="B79" t="s">
        <v>242</v>
      </c>
    </row>
    <row r="80" spans="1:10" x14ac:dyDescent="0.25">
      <c r="J80">
        <f>3250*23</f>
        <v>74750</v>
      </c>
    </row>
    <row r="81" spans="1:16" x14ac:dyDescent="0.25">
      <c r="A81" t="s">
        <v>243</v>
      </c>
      <c r="B81">
        <v>8500</v>
      </c>
    </row>
    <row r="82" spans="1:16" x14ac:dyDescent="0.25">
      <c r="P82">
        <f>3250*150</f>
        <v>487500</v>
      </c>
    </row>
    <row r="83" spans="1:16" x14ac:dyDescent="0.25">
      <c r="A83" t="s">
        <v>244</v>
      </c>
      <c r="B83">
        <f>0.15*B81</f>
        <v>1275</v>
      </c>
    </row>
    <row r="84" spans="1:16" x14ac:dyDescent="0.25">
      <c r="A84" t="s">
        <v>245</v>
      </c>
      <c r="B84">
        <f>B81</f>
        <v>8500</v>
      </c>
    </row>
    <row r="85" spans="1:16" x14ac:dyDescent="0.25">
      <c r="A85" t="s">
        <v>153</v>
      </c>
      <c r="B85">
        <f>B84-B83</f>
        <v>7225</v>
      </c>
    </row>
    <row r="86" spans="1:16" x14ac:dyDescent="0.25">
      <c r="A86" t="s">
        <v>154</v>
      </c>
      <c r="B86">
        <f>B85/2</f>
        <v>3612.5</v>
      </c>
    </row>
    <row r="89" spans="1:16" x14ac:dyDescent="0.25">
      <c r="D89">
        <f>3600*47</f>
        <v>169200</v>
      </c>
    </row>
  </sheetData>
  <mergeCells count="1">
    <mergeCell ref="A30:D3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R100"/>
  <sheetViews>
    <sheetView rightToLeft="1" topLeftCell="A15" zoomScale="70" zoomScaleNormal="70" workbookViewId="0">
      <selection activeCell="R65" sqref="R65"/>
    </sheetView>
  </sheetViews>
  <sheetFormatPr defaultRowHeight="13.8" x14ac:dyDescent="0.25"/>
  <cols>
    <col min="1" max="1" width="5.296875" customWidth="1"/>
    <col min="2" max="2" width="12.5" customWidth="1"/>
    <col min="3" max="3" width="8.69921875" bestFit="1" customWidth="1"/>
    <col min="4" max="4" width="13.5" style="17" bestFit="1" customWidth="1"/>
    <col min="5" max="5" width="11" style="17" bestFit="1" customWidth="1"/>
    <col min="6" max="6" width="8.296875" style="17" bestFit="1" customWidth="1"/>
    <col min="7" max="7" width="8.59765625" bestFit="1" customWidth="1"/>
    <col min="8" max="8" width="14.59765625" bestFit="1" customWidth="1"/>
    <col min="9" max="9" width="12.09765625" bestFit="1" customWidth="1"/>
    <col min="10" max="10" width="14.59765625" bestFit="1" customWidth="1"/>
    <col min="14" max="14" width="11.09765625" customWidth="1"/>
    <col min="15" max="15" width="16" customWidth="1"/>
    <col min="16" max="16" width="14.59765625" bestFit="1" customWidth="1"/>
  </cols>
  <sheetData>
    <row r="2" spans="2:13" ht="15.6" x14ac:dyDescent="0.4">
      <c r="B2" s="39" t="s">
        <v>157</v>
      </c>
      <c r="C2" s="39"/>
      <c r="D2" s="131"/>
    </row>
    <row r="3" spans="2:13" x14ac:dyDescent="0.25">
      <c r="B3" t="s">
        <v>95</v>
      </c>
      <c r="C3" s="149"/>
      <c r="D3" s="149"/>
      <c r="G3" s="190"/>
      <c r="H3" s="149"/>
      <c r="I3" s="150"/>
      <c r="J3" s="150"/>
    </row>
    <row r="4" spans="2:13" x14ac:dyDescent="0.25">
      <c r="B4" t="s">
        <v>131</v>
      </c>
      <c r="C4" s="187"/>
      <c r="D4" s="38"/>
      <c r="G4" s="190"/>
      <c r="J4" s="150"/>
    </row>
    <row r="5" spans="2:13" x14ac:dyDescent="0.25">
      <c r="B5" t="s">
        <v>132</v>
      </c>
    </row>
    <row r="6" spans="2:13" x14ac:dyDescent="0.25">
      <c r="B6" t="s">
        <v>133</v>
      </c>
      <c r="C6" s="150"/>
      <c r="D6" s="149"/>
    </row>
    <row r="7" spans="2:13" x14ac:dyDescent="0.25">
      <c r="B7" t="s">
        <v>147</v>
      </c>
      <c r="C7" s="91">
        <f>E93</f>
        <v>8500</v>
      </c>
    </row>
    <row r="8" spans="2:13" x14ac:dyDescent="0.25">
      <c r="C8" s="150"/>
    </row>
    <row r="9" spans="2:13" x14ac:dyDescent="0.25">
      <c r="B9" s="39" t="s">
        <v>134</v>
      </c>
      <c r="C9" s="151"/>
    </row>
    <row r="10" spans="2:13" ht="27.6" x14ac:dyDescent="0.4">
      <c r="B10" s="39" t="s">
        <v>136</v>
      </c>
      <c r="C10" s="39" t="s">
        <v>135</v>
      </c>
      <c r="D10" s="131" t="s">
        <v>137</v>
      </c>
      <c r="E10" s="131" t="s">
        <v>138</v>
      </c>
      <c r="F10" s="131" t="s">
        <v>139</v>
      </c>
      <c r="G10" s="131" t="s">
        <v>140</v>
      </c>
      <c r="H10" s="189" t="s">
        <v>141</v>
      </c>
      <c r="I10" s="131" t="s">
        <v>142</v>
      </c>
      <c r="J10" s="131" t="s">
        <v>143</v>
      </c>
      <c r="K10" s="131" t="s">
        <v>144</v>
      </c>
      <c r="L10" s="131" t="s">
        <v>145</v>
      </c>
      <c r="M10" s="131" t="s">
        <v>146</v>
      </c>
    </row>
    <row r="11" spans="2:13" x14ac:dyDescent="0.25">
      <c r="B11" s="188"/>
    </row>
    <row r="13" spans="2:13" x14ac:dyDescent="0.25">
      <c r="C13" s="150"/>
    </row>
    <row r="14" spans="2:13" ht="14.4" thickBot="1" x14ac:dyDescent="0.3">
      <c r="C14" s="150"/>
    </row>
    <row r="15" spans="2:13" x14ac:dyDescent="0.25">
      <c r="B15" s="10"/>
      <c r="C15" s="228"/>
      <c r="D15" s="11"/>
      <c r="E15" s="11"/>
      <c r="F15" s="11"/>
      <c r="G15" s="12"/>
      <c r="H15" s="12"/>
      <c r="I15" s="12"/>
      <c r="J15" s="12"/>
      <c r="K15" s="13"/>
    </row>
    <row r="16" spans="2:13" x14ac:dyDescent="0.25">
      <c r="B16" s="18"/>
      <c r="C16" s="270" t="s">
        <v>229</v>
      </c>
      <c r="D16" s="270"/>
      <c r="E16" s="270"/>
      <c r="F16" s="270"/>
      <c r="G16" s="270"/>
      <c r="H16" s="270"/>
      <c r="K16" s="21"/>
    </row>
    <row r="17" spans="2:11" x14ac:dyDescent="0.25">
      <c r="B17" s="18"/>
      <c r="D17"/>
      <c r="E17"/>
      <c r="F17"/>
      <c r="K17" s="21"/>
    </row>
    <row r="18" spans="2:11" x14ac:dyDescent="0.25">
      <c r="B18" s="18"/>
      <c r="D18"/>
      <c r="E18"/>
      <c r="F18"/>
      <c r="K18" s="21"/>
    </row>
    <row r="19" spans="2:11" x14ac:dyDescent="0.25">
      <c r="B19" s="18"/>
      <c r="D19"/>
      <c r="E19"/>
      <c r="F19"/>
      <c r="K19" s="21"/>
    </row>
    <row r="20" spans="2:11" x14ac:dyDescent="0.25">
      <c r="B20" s="18"/>
      <c r="D20"/>
      <c r="E20"/>
      <c r="F20"/>
      <c r="K20" s="21"/>
    </row>
    <row r="21" spans="2:11" x14ac:dyDescent="0.25">
      <c r="B21" s="18"/>
      <c r="D21"/>
      <c r="E21"/>
      <c r="F21"/>
      <c r="K21" s="21"/>
    </row>
    <row r="22" spans="2:11" x14ac:dyDescent="0.25">
      <c r="B22" s="18"/>
      <c r="D22"/>
      <c r="E22"/>
      <c r="F22"/>
      <c r="K22" s="21"/>
    </row>
    <row r="23" spans="2:11" x14ac:dyDescent="0.25">
      <c r="B23" s="18"/>
      <c r="D23"/>
      <c r="E23"/>
      <c r="F23"/>
      <c r="K23" s="21"/>
    </row>
    <row r="24" spans="2:11" x14ac:dyDescent="0.25">
      <c r="B24" s="18"/>
      <c r="D24"/>
      <c r="E24"/>
      <c r="F24"/>
      <c r="K24" s="21"/>
    </row>
    <row r="25" spans="2:11" x14ac:dyDescent="0.25">
      <c r="B25" s="18"/>
      <c r="D25"/>
      <c r="E25"/>
      <c r="F25"/>
      <c r="K25" s="21"/>
    </row>
    <row r="26" spans="2:11" x14ac:dyDescent="0.25">
      <c r="B26" s="18"/>
      <c r="D26"/>
      <c r="E26"/>
      <c r="F26"/>
      <c r="K26" s="21"/>
    </row>
    <row r="27" spans="2:11" x14ac:dyDescent="0.25">
      <c r="B27" s="18"/>
      <c r="D27"/>
      <c r="E27"/>
      <c r="F27"/>
      <c r="K27" s="21"/>
    </row>
    <row r="28" spans="2:11" x14ac:dyDescent="0.25">
      <c r="B28" s="18"/>
      <c r="D28"/>
      <c r="E28"/>
      <c r="F28"/>
      <c r="K28" s="21"/>
    </row>
    <row r="29" spans="2:11" x14ac:dyDescent="0.25">
      <c r="B29" s="18"/>
      <c r="D29"/>
      <c r="E29"/>
      <c r="F29"/>
      <c r="K29" s="21"/>
    </row>
    <row r="30" spans="2:11" x14ac:dyDescent="0.25">
      <c r="B30" s="18"/>
      <c r="D30"/>
      <c r="E30"/>
      <c r="F30"/>
      <c r="K30" s="21"/>
    </row>
    <row r="31" spans="2:11" x14ac:dyDescent="0.25">
      <c r="B31" s="18"/>
      <c r="D31"/>
      <c r="E31"/>
      <c r="F31"/>
      <c r="K31" s="21"/>
    </row>
    <row r="32" spans="2:11" x14ac:dyDescent="0.25">
      <c r="B32" s="18"/>
      <c r="D32"/>
      <c r="E32"/>
      <c r="F32"/>
      <c r="K32" s="21"/>
    </row>
    <row r="33" spans="2:16" x14ac:dyDescent="0.25">
      <c r="B33" s="18"/>
      <c r="D33"/>
      <c r="E33"/>
      <c r="F33"/>
      <c r="K33" s="21"/>
    </row>
    <row r="34" spans="2:16" x14ac:dyDescent="0.25">
      <c r="B34" s="18"/>
      <c r="D34"/>
      <c r="E34"/>
      <c r="F34"/>
      <c r="K34" s="21"/>
    </row>
    <row r="35" spans="2:16" x14ac:dyDescent="0.25">
      <c r="B35" s="18"/>
      <c r="D35"/>
      <c r="E35"/>
      <c r="F35"/>
      <c r="K35" s="21"/>
    </row>
    <row r="36" spans="2:16" x14ac:dyDescent="0.25">
      <c r="B36" s="18"/>
      <c r="D36"/>
      <c r="E36"/>
      <c r="F36"/>
      <c r="K36" s="21"/>
    </row>
    <row r="37" spans="2:16" x14ac:dyDescent="0.25">
      <c r="B37" s="18"/>
      <c r="D37"/>
      <c r="E37"/>
      <c r="F37"/>
      <c r="K37" s="21"/>
    </row>
    <row r="38" spans="2:16" x14ac:dyDescent="0.25">
      <c r="B38" s="18"/>
      <c r="D38"/>
      <c r="E38"/>
      <c r="F38"/>
      <c r="K38" s="21"/>
    </row>
    <row r="39" spans="2:16" x14ac:dyDescent="0.25">
      <c r="B39" s="18"/>
      <c r="D39"/>
      <c r="E39"/>
      <c r="F39"/>
      <c r="K39" s="21"/>
    </row>
    <row r="40" spans="2:16" x14ac:dyDescent="0.25">
      <c r="B40" s="18"/>
      <c r="D40"/>
      <c r="E40"/>
      <c r="F40"/>
      <c r="K40" s="21"/>
    </row>
    <row r="41" spans="2:16" x14ac:dyDescent="0.25">
      <c r="B41" s="18"/>
      <c r="D41"/>
      <c r="E41"/>
      <c r="F41"/>
      <c r="K41" s="21"/>
    </row>
    <row r="42" spans="2:16" x14ac:dyDescent="0.25">
      <c r="B42" s="18"/>
      <c r="D42"/>
      <c r="E42"/>
      <c r="F42"/>
      <c r="K42" s="21"/>
    </row>
    <row r="43" spans="2:16" x14ac:dyDescent="0.25">
      <c r="B43" s="18"/>
      <c r="D43"/>
      <c r="E43"/>
      <c r="F43"/>
      <c r="K43" s="21"/>
      <c r="O43" t="s">
        <v>238</v>
      </c>
      <c r="P43" s="231">
        <v>45200</v>
      </c>
    </row>
    <row r="44" spans="2:16" x14ac:dyDescent="0.25">
      <c r="B44" s="18"/>
      <c r="D44"/>
      <c r="E44"/>
      <c r="F44"/>
      <c r="K44" s="21"/>
      <c r="O44" t="s">
        <v>5</v>
      </c>
      <c r="P44" s="149">
        <v>2157554</v>
      </c>
    </row>
    <row r="45" spans="2:16" x14ac:dyDescent="0.25">
      <c r="B45" s="18"/>
      <c r="D45"/>
      <c r="E45"/>
      <c r="F45"/>
      <c r="K45" s="21"/>
      <c r="O45" t="s">
        <v>6</v>
      </c>
      <c r="P45" s="150">
        <f>P44*0.17</f>
        <v>366784.18000000005</v>
      </c>
    </row>
    <row r="46" spans="2:16" x14ac:dyDescent="0.25">
      <c r="B46" s="18"/>
      <c r="D46"/>
      <c r="E46"/>
      <c r="F46"/>
      <c r="K46" s="21"/>
      <c r="O46" t="s">
        <v>8</v>
      </c>
      <c r="P46" s="150">
        <f>P45+P44</f>
        <v>2524338.1800000002</v>
      </c>
    </row>
    <row r="47" spans="2:16" x14ac:dyDescent="0.25">
      <c r="B47" s="18"/>
      <c r="D47"/>
      <c r="E47"/>
      <c r="F47"/>
      <c r="K47" s="21"/>
      <c r="O47" t="s">
        <v>239</v>
      </c>
      <c r="P47">
        <f>1.12</f>
        <v>1.1200000000000001</v>
      </c>
    </row>
    <row r="48" spans="2:16" x14ac:dyDescent="0.25">
      <c r="B48" s="18"/>
      <c r="D48"/>
      <c r="E48"/>
      <c r="F48"/>
      <c r="K48" s="21"/>
      <c r="O48" t="s">
        <v>240</v>
      </c>
      <c r="P48" s="150">
        <f>P47*P46</f>
        <v>2827258.7616000003</v>
      </c>
    </row>
    <row r="49" spans="2:18" x14ac:dyDescent="0.25">
      <c r="B49" s="18"/>
      <c r="D49"/>
      <c r="E49"/>
      <c r="F49"/>
      <c r="K49" s="21"/>
    </row>
    <row r="50" spans="2:18" x14ac:dyDescent="0.25">
      <c r="B50" s="18"/>
      <c r="D50"/>
      <c r="E50"/>
      <c r="F50"/>
      <c r="K50" s="21"/>
    </row>
    <row r="51" spans="2:18" x14ac:dyDescent="0.25">
      <c r="B51" s="18"/>
      <c r="D51"/>
      <c r="E51"/>
      <c r="F51"/>
      <c r="K51" s="21"/>
    </row>
    <row r="52" spans="2:18" x14ac:dyDescent="0.25">
      <c r="B52" s="18"/>
      <c r="D52"/>
      <c r="E52"/>
      <c r="F52"/>
      <c r="K52" s="21"/>
    </row>
    <row r="53" spans="2:18" x14ac:dyDescent="0.25">
      <c r="B53" s="18"/>
      <c r="D53"/>
      <c r="E53"/>
      <c r="F53"/>
      <c r="K53" s="21"/>
    </row>
    <row r="54" spans="2:18" x14ac:dyDescent="0.25">
      <c r="B54" s="18"/>
      <c r="D54"/>
      <c r="E54"/>
      <c r="F54"/>
      <c r="K54" s="21"/>
    </row>
    <row r="55" spans="2:18" x14ac:dyDescent="0.25">
      <c r="B55" s="18"/>
      <c r="D55"/>
      <c r="E55"/>
      <c r="F55"/>
      <c r="K55" s="21"/>
    </row>
    <row r="56" spans="2:18" x14ac:dyDescent="0.25">
      <c r="B56" s="18"/>
      <c r="D56"/>
      <c r="E56"/>
      <c r="F56"/>
      <c r="K56" s="21"/>
    </row>
    <row r="57" spans="2:18" x14ac:dyDescent="0.25">
      <c r="B57" s="18"/>
      <c r="D57"/>
      <c r="E57"/>
      <c r="F57"/>
      <c r="K57" s="21"/>
    </row>
    <row r="58" spans="2:18" x14ac:dyDescent="0.25">
      <c r="B58" s="18"/>
      <c r="C58" s="271" t="s">
        <v>230</v>
      </c>
      <c r="D58" s="271"/>
      <c r="E58">
        <f>7900</f>
        <v>7900</v>
      </c>
      <c r="F58"/>
      <c r="K58" s="21"/>
    </row>
    <row r="59" spans="2:18" x14ac:dyDescent="0.25">
      <c r="B59" s="18"/>
      <c r="C59" t="s">
        <v>231</v>
      </c>
      <c r="D59"/>
      <c r="E59" s="229">
        <f>1.07^2.5</f>
        <v>1.1842937687499671</v>
      </c>
      <c r="F59"/>
      <c r="K59" s="21"/>
    </row>
    <row r="60" spans="2:18" x14ac:dyDescent="0.25">
      <c r="B60" s="18"/>
      <c r="C60" t="s">
        <v>232</v>
      </c>
      <c r="D60"/>
      <c r="E60" s="230">
        <f>E59*E58</f>
        <v>9355.9207731247407</v>
      </c>
      <c r="F60"/>
      <c r="K60" s="21"/>
    </row>
    <row r="61" spans="2:18" x14ac:dyDescent="0.25">
      <c r="B61" s="18"/>
      <c r="C61" t="s">
        <v>233</v>
      </c>
      <c r="D61"/>
      <c r="E61">
        <v>0.85</v>
      </c>
      <c r="F61"/>
      <c r="K61" s="21"/>
    </row>
    <row r="62" spans="2:18" x14ac:dyDescent="0.25">
      <c r="B62" s="18"/>
      <c r="C62" t="s">
        <v>234</v>
      </c>
      <c r="D62"/>
      <c r="E62" s="230">
        <f>E60*E61</f>
        <v>7952.532657156029</v>
      </c>
      <c r="F62"/>
      <c r="K62" s="21"/>
    </row>
    <row r="63" spans="2:18" x14ac:dyDescent="0.25">
      <c r="B63" s="18"/>
      <c r="C63" t="s">
        <v>147</v>
      </c>
      <c r="D63"/>
      <c r="E63" s="230">
        <v>8500</v>
      </c>
      <c r="F63"/>
      <c r="K63" s="21"/>
      <c r="R63">
        <f>8500*0.8</f>
        <v>6800</v>
      </c>
    </row>
    <row r="64" spans="2:18" ht="14.4" thickBot="1" x14ac:dyDescent="0.3">
      <c r="B64" s="224"/>
      <c r="C64" s="226"/>
      <c r="D64" s="225"/>
      <c r="E64" s="225"/>
      <c r="F64" s="225"/>
      <c r="G64" s="226"/>
      <c r="H64" s="226"/>
      <c r="I64" s="226"/>
      <c r="J64" s="226"/>
      <c r="K64" s="227"/>
      <c r="R64">
        <f>R63/2</f>
        <v>3400</v>
      </c>
    </row>
    <row r="66" spans="3:16" x14ac:dyDescent="0.25">
      <c r="P66">
        <f>6500*0.05</f>
        <v>325</v>
      </c>
    </row>
    <row r="67" spans="3:16" x14ac:dyDescent="0.25">
      <c r="P67">
        <f>P66*58</f>
        <v>18850</v>
      </c>
    </row>
    <row r="68" spans="3:16" x14ac:dyDescent="0.25">
      <c r="P68">
        <f>22/2</f>
        <v>11</v>
      </c>
    </row>
    <row r="69" spans="3:16" x14ac:dyDescent="0.25">
      <c r="P69">
        <f>19000*7</f>
        <v>133000</v>
      </c>
    </row>
    <row r="74" spans="3:16" ht="14.4" thickBot="1" x14ac:dyDescent="0.3"/>
    <row r="75" spans="3:16" x14ac:dyDescent="0.25">
      <c r="C75" s="10"/>
      <c r="D75" s="11"/>
      <c r="E75" s="11"/>
      <c r="F75" s="11"/>
      <c r="G75" s="12"/>
      <c r="H75" s="12"/>
      <c r="I75" s="12"/>
      <c r="J75" s="12"/>
      <c r="K75" s="13"/>
    </row>
    <row r="76" spans="3:16" x14ac:dyDescent="0.25">
      <c r="C76" s="18"/>
      <c r="D76" s="19"/>
      <c r="E76" s="19"/>
      <c r="F76" s="19"/>
      <c r="K76" s="21"/>
    </row>
    <row r="77" spans="3:16" x14ac:dyDescent="0.25">
      <c r="C77" s="18"/>
      <c r="D77" s="19"/>
      <c r="E77" s="19"/>
      <c r="F77" s="19"/>
      <c r="K77" s="21"/>
    </row>
    <row r="78" spans="3:16" x14ac:dyDescent="0.25">
      <c r="C78" s="18"/>
      <c r="D78" s="19"/>
      <c r="E78" s="19"/>
      <c r="F78" s="19"/>
      <c r="K78" s="21"/>
    </row>
    <row r="79" spans="3:16" x14ac:dyDescent="0.25">
      <c r="C79" s="18"/>
      <c r="D79" s="19"/>
      <c r="E79" s="19"/>
      <c r="F79" s="19"/>
      <c r="K79" s="21"/>
    </row>
    <row r="80" spans="3:16" x14ac:dyDescent="0.25">
      <c r="C80" s="18"/>
      <c r="D80" s="19"/>
      <c r="E80" s="19"/>
      <c r="F80" s="19"/>
      <c r="K80" s="21"/>
    </row>
    <row r="81" spans="3:11" x14ac:dyDescent="0.25">
      <c r="C81" s="18"/>
      <c r="D81" s="19"/>
      <c r="E81" s="19"/>
      <c r="F81" s="19"/>
      <c r="K81" s="21"/>
    </row>
    <row r="82" spans="3:11" x14ac:dyDescent="0.25">
      <c r="C82" s="18"/>
      <c r="D82" s="19"/>
      <c r="E82" s="19"/>
      <c r="F82" s="19"/>
      <c r="K82" s="21"/>
    </row>
    <row r="83" spans="3:11" x14ac:dyDescent="0.25">
      <c r="C83" s="18"/>
      <c r="D83" s="19"/>
      <c r="E83" s="19"/>
      <c r="F83" s="19"/>
      <c r="K83" s="21"/>
    </row>
    <row r="84" spans="3:11" x14ac:dyDescent="0.25">
      <c r="C84" s="18"/>
      <c r="D84" s="19"/>
      <c r="E84" s="19"/>
      <c r="F84" s="19"/>
      <c r="K84" s="21"/>
    </row>
    <row r="85" spans="3:11" x14ac:dyDescent="0.25">
      <c r="C85" s="18"/>
      <c r="D85" s="19"/>
      <c r="E85" s="19"/>
      <c r="F85" s="19"/>
      <c r="K85" s="21"/>
    </row>
    <row r="86" spans="3:11" x14ac:dyDescent="0.25">
      <c r="C86" s="18"/>
      <c r="D86" s="19"/>
      <c r="E86" s="19"/>
      <c r="F86" s="19"/>
      <c r="K86" s="21"/>
    </row>
    <row r="87" spans="3:11" x14ac:dyDescent="0.25">
      <c r="C87" s="18"/>
      <c r="D87" s="19"/>
      <c r="E87" s="19"/>
      <c r="F87" s="19"/>
      <c r="K87" s="21"/>
    </row>
    <row r="88" spans="3:11" x14ac:dyDescent="0.25">
      <c r="C88" s="18"/>
      <c r="D88" s="19" t="s">
        <v>235</v>
      </c>
      <c r="E88" s="19">
        <v>8800</v>
      </c>
      <c r="F88" s="19"/>
      <c r="K88" s="21"/>
    </row>
    <row r="89" spans="3:11" x14ac:dyDescent="0.25">
      <c r="C89" s="18"/>
      <c r="D89" s="19" t="s">
        <v>236</v>
      </c>
      <c r="E89" s="20">
        <f>1.07^1.66</f>
        <v>1.1188634088032259</v>
      </c>
      <c r="F89" s="19"/>
      <c r="K89" s="21"/>
    </row>
    <row r="90" spans="3:11" x14ac:dyDescent="0.25">
      <c r="C90" s="18"/>
      <c r="D90" s="19" t="s">
        <v>232</v>
      </c>
      <c r="E90" s="19">
        <f>E89*E88</f>
        <v>9845.9979974683883</v>
      </c>
      <c r="F90" s="19"/>
      <c r="K90" s="21"/>
    </row>
    <row r="91" spans="3:11" x14ac:dyDescent="0.25">
      <c r="C91" s="18"/>
      <c r="D91" s="19" t="s">
        <v>236</v>
      </c>
      <c r="E91" s="20">
        <v>0.85</v>
      </c>
      <c r="F91" s="19"/>
      <c r="K91" s="21"/>
    </row>
    <row r="92" spans="3:11" x14ac:dyDescent="0.25">
      <c r="C92" s="18"/>
      <c r="D92" s="19" t="s">
        <v>232</v>
      </c>
      <c r="E92" s="19">
        <f>E91*E90</f>
        <v>8369.0982978481297</v>
      </c>
      <c r="F92" s="19"/>
      <c r="K92" s="21"/>
    </row>
    <row r="93" spans="3:11" x14ac:dyDescent="0.25">
      <c r="C93" s="18"/>
      <c r="D93" s="19" t="s">
        <v>237</v>
      </c>
      <c r="E93" s="19">
        <v>8500</v>
      </c>
      <c r="F93" s="19"/>
      <c r="K93" s="21"/>
    </row>
    <row r="94" spans="3:11" x14ac:dyDescent="0.25">
      <c r="C94" s="18"/>
      <c r="D94" s="19"/>
      <c r="E94" s="19"/>
      <c r="F94" s="19"/>
      <c r="K94" s="21"/>
    </row>
    <row r="95" spans="3:11" x14ac:dyDescent="0.25">
      <c r="C95" s="18"/>
      <c r="D95" s="19"/>
      <c r="E95" s="19"/>
      <c r="F95" s="19"/>
      <c r="K95" s="21"/>
    </row>
    <row r="96" spans="3:11" x14ac:dyDescent="0.25">
      <c r="C96" s="18"/>
      <c r="D96" s="19"/>
      <c r="E96" s="19"/>
      <c r="F96" s="19"/>
      <c r="K96" s="21"/>
    </row>
    <row r="97" spans="3:11" x14ac:dyDescent="0.25">
      <c r="C97" s="18"/>
      <c r="D97" s="19"/>
      <c r="E97" s="19"/>
      <c r="F97" s="19"/>
      <c r="K97" s="21"/>
    </row>
    <row r="98" spans="3:11" x14ac:dyDescent="0.25">
      <c r="C98" s="18"/>
      <c r="D98" s="19"/>
      <c r="E98" s="19"/>
      <c r="F98" s="19"/>
      <c r="K98" s="21"/>
    </row>
    <row r="99" spans="3:11" x14ac:dyDescent="0.25">
      <c r="C99" s="18"/>
      <c r="D99" s="19"/>
      <c r="E99" s="19"/>
      <c r="F99" s="19"/>
      <c r="K99" s="21"/>
    </row>
    <row r="100" spans="3:11" ht="14.4" thickBot="1" x14ac:dyDescent="0.3">
      <c r="C100" s="224"/>
      <c r="D100" s="225"/>
      <c r="E100" s="225"/>
      <c r="F100" s="225"/>
      <c r="G100" s="226"/>
      <c r="H100" s="226"/>
      <c r="I100" s="226"/>
      <c r="J100" s="226"/>
      <c r="K100" s="227"/>
    </row>
  </sheetData>
  <mergeCells count="2">
    <mergeCell ref="C16:H16"/>
    <mergeCell ref="C58:D58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60"/>
  <sheetViews>
    <sheetView rightToLeft="1" topLeftCell="A11" zoomScale="130" zoomScaleNormal="130" workbookViewId="0">
      <selection activeCell="I17" sqref="I17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28.2" thickBot="1" x14ac:dyDescent="0.3">
      <c r="A2" s="120" t="s">
        <v>35</v>
      </c>
      <c r="B2" s="192" t="s">
        <v>164</v>
      </c>
      <c r="C2" s="120" t="s">
        <v>165</v>
      </c>
      <c r="D2" s="92" t="s">
        <v>224</v>
      </c>
      <c r="E2" s="97" t="s">
        <v>220</v>
      </c>
      <c r="F2" s="92" t="s">
        <v>225</v>
      </c>
      <c r="G2" s="92" t="s">
        <v>221</v>
      </c>
      <c r="H2" s="47" t="s">
        <v>222</v>
      </c>
      <c r="I2" s="222" t="s">
        <v>223</v>
      </c>
      <c r="J2" s="117"/>
      <c r="K2" s="117"/>
      <c r="L2" s="117"/>
      <c r="M2" s="117"/>
      <c r="N2" s="47"/>
      <c r="O2" s="47"/>
      <c r="P2" s="47"/>
      <c r="Q2" s="117"/>
      <c r="R2" s="117"/>
      <c r="S2" s="118"/>
    </row>
    <row r="3" spans="1:19" x14ac:dyDescent="0.25">
      <c r="A3" s="121" t="s">
        <v>152</v>
      </c>
      <c r="B3" s="193"/>
      <c r="C3" s="121"/>
      <c r="D3" s="93" t="s">
        <v>228</v>
      </c>
      <c r="E3" s="144">
        <v>23</v>
      </c>
      <c r="F3" s="93">
        <v>73</v>
      </c>
      <c r="G3" s="64">
        <f>193+22.3+15</f>
        <v>230.3</v>
      </c>
      <c r="H3" s="64">
        <f>1501+3376</f>
        <v>4877</v>
      </c>
      <c r="I3" s="223">
        <v>8819</v>
      </c>
      <c r="J3" s="49"/>
      <c r="K3" s="49"/>
      <c r="L3" s="49"/>
      <c r="M3" s="49"/>
      <c r="N3" s="48"/>
      <c r="O3" s="48"/>
      <c r="P3" s="48"/>
      <c r="Q3" s="49"/>
      <c r="R3" s="49"/>
      <c r="S3" s="50"/>
    </row>
    <row r="4" spans="1:19" x14ac:dyDescent="0.25">
      <c r="A4" s="121" t="s">
        <v>94</v>
      </c>
      <c r="B4" s="193"/>
      <c r="C4" s="121"/>
      <c r="D4" s="93"/>
      <c r="E4" s="144"/>
      <c r="F4" s="93"/>
      <c r="G4" s="64"/>
      <c r="H4" s="64"/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25">
      <c r="A5" s="121" t="s">
        <v>76</v>
      </c>
      <c r="B5" s="193"/>
      <c r="C5" s="121"/>
      <c r="D5" s="93"/>
      <c r="E5" s="144"/>
      <c r="F5" s="93"/>
      <c r="G5" s="64"/>
      <c r="H5" s="64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25">
      <c r="A6" s="121" t="s">
        <v>148</v>
      </c>
      <c r="B6" s="193"/>
      <c r="C6" s="121"/>
      <c r="D6" s="221" t="s">
        <v>219</v>
      </c>
      <c r="E6" s="144"/>
      <c r="F6" s="93">
        <v>8</v>
      </c>
      <c r="G6" s="64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1" t="s">
        <v>149</v>
      </c>
      <c r="B7" s="193"/>
      <c r="C7" s="121"/>
      <c r="D7" s="93"/>
      <c r="E7" s="64"/>
      <c r="F7" s="93"/>
      <c r="G7" s="64"/>
      <c r="H7" s="64"/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1" t="s">
        <v>150</v>
      </c>
      <c r="B8" s="193"/>
      <c r="C8" s="121"/>
      <c r="D8" s="94"/>
      <c r="E8" s="54"/>
      <c r="F8" s="94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1" t="s">
        <v>151</v>
      </c>
      <c r="B9" s="194"/>
      <c r="C9" s="209"/>
      <c r="D9" s="95"/>
      <c r="E9" s="56"/>
      <c r="F9" s="94"/>
      <c r="G9" s="54"/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2" t="s">
        <v>50</v>
      </c>
      <c r="B10" s="195"/>
      <c r="C10" s="123"/>
      <c r="D10" s="95"/>
      <c r="E10" s="56"/>
      <c r="F10" s="94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3" t="s">
        <v>91</v>
      </c>
      <c r="B11" s="195"/>
      <c r="C11" s="123"/>
      <c r="D11" s="95"/>
      <c r="E11" s="56"/>
      <c r="F11" s="95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4" t="s">
        <v>87</v>
      </c>
      <c r="B12" s="196"/>
      <c r="C12" s="124"/>
      <c r="D12" s="96"/>
      <c r="E12" s="90"/>
      <c r="F12" s="96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200" t="s">
        <v>36</v>
      </c>
      <c r="B13" s="211"/>
      <c r="C13" s="210"/>
      <c r="D13" s="207">
        <f>SUM(D4:D12)</f>
        <v>0</v>
      </c>
      <c r="E13" s="201">
        <f>SUM(E4:E12)</f>
        <v>0</v>
      </c>
      <c r="F13" s="201">
        <f>SUM(F3:F12)</f>
        <v>81</v>
      </c>
      <c r="G13" s="201">
        <f>SUM(G3:G12)</f>
        <v>230.3</v>
      </c>
      <c r="H13" s="201">
        <f>SUM(H3:H12)</f>
        <v>4877</v>
      </c>
      <c r="I13" s="202">
        <f t="shared" ref="I13:S13" si="0">SUM(I3:I12)</f>
        <v>8819</v>
      </c>
      <c r="J13" s="202">
        <f t="shared" si="0"/>
        <v>0</v>
      </c>
      <c r="K13" s="202">
        <f t="shared" si="0"/>
        <v>0</v>
      </c>
      <c r="L13" s="202">
        <f t="shared" si="0"/>
        <v>0</v>
      </c>
      <c r="M13" s="202">
        <f t="shared" si="0"/>
        <v>0</v>
      </c>
      <c r="N13" s="203">
        <f t="shared" si="0"/>
        <v>0</v>
      </c>
      <c r="O13" s="203">
        <f t="shared" si="0"/>
        <v>0</v>
      </c>
      <c r="P13" s="203">
        <f t="shared" si="0"/>
        <v>0</v>
      </c>
      <c r="Q13" s="202">
        <f t="shared" si="0"/>
        <v>0</v>
      </c>
      <c r="R13" s="202">
        <f t="shared" si="0"/>
        <v>0</v>
      </c>
      <c r="S13" s="204">
        <f t="shared" si="0"/>
        <v>0</v>
      </c>
    </row>
    <row r="14" spans="1:19" ht="28.2" thickBot="1" x14ac:dyDescent="0.3">
      <c r="A14" s="126" t="s">
        <v>37</v>
      </c>
      <c r="B14" s="192" t="s">
        <v>164</v>
      </c>
      <c r="C14" s="120" t="s">
        <v>165</v>
      </c>
      <c r="D14" s="206"/>
      <c r="E14" s="205"/>
      <c r="F14" s="206"/>
      <c r="G14" s="62"/>
      <c r="H14" s="62"/>
      <c r="I14" s="62"/>
      <c r="J14" s="62"/>
      <c r="K14" s="62"/>
      <c r="L14" s="62"/>
      <c r="M14" s="140"/>
      <c r="N14" s="62"/>
      <c r="O14" s="62"/>
      <c r="P14" s="62"/>
      <c r="Q14" s="140"/>
      <c r="R14" s="140"/>
      <c r="S14" s="63"/>
    </row>
    <row r="15" spans="1:19" x14ac:dyDescent="0.25">
      <c r="A15" s="122" t="s">
        <v>226</v>
      </c>
      <c r="B15" s="197"/>
      <c r="C15" s="122"/>
      <c r="D15" s="52"/>
      <c r="E15" s="145"/>
      <c r="F15" s="52">
        <v>71</v>
      </c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2" t="s">
        <v>227</v>
      </c>
      <c r="B16" s="197"/>
      <c r="C16" s="122"/>
      <c r="D16" s="52">
        <v>145.80000000000001</v>
      </c>
      <c r="E16" s="51"/>
      <c r="F16" s="52"/>
      <c r="G16" s="64"/>
      <c r="H16" s="64"/>
      <c r="I16" s="48"/>
      <c r="J16" s="64"/>
      <c r="K16" s="48"/>
      <c r="L16" s="48"/>
      <c r="M16" s="48"/>
      <c r="N16" s="48"/>
      <c r="O16" s="48"/>
      <c r="P16" s="48"/>
      <c r="Q16" s="49"/>
      <c r="R16" s="49"/>
      <c r="S16" s="50"/>
    </row>
    <row r="17" spans="1:19" x14ac:dyDescent="0.25">
      <c r="A17" s="122" t="s">
        <v>202</v>
      </c>
      <c r="B17" s="197"/>
      <c r="C17" s="122"/>
      <c r="D17" s="52"/>
      <c r="E17" s="51"/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2" t="s">
        <v>204</v>
      </c>
      <c r="B18" s="197"/>
      <c r="C18" s="122"/>
      <c r="D18" s="52"/>
      <c r="E18" s="51"/>
      <c r="F18" s="52"/>
      <c r="G18" s="64"/>
      <c r="H18" s="64"/>
      <c r="I18" s="48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25">
      <c r="A19" s="122" t="s">
        <v>204</v>
      </c>
      <c r="B19" s="197"/>
      <c r="C19" s="122"/>
      <c r="D19" s="52"/>
      <c r="E19" s="51"/>
      <c r="F19" s="52"/>
      <c r="G19" s="64"/>
      <c r="H19" s="64"/>
      <c r="I19" s="48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25">
      <c r="A20" s="122" t="s">
        <v>203</v>
      </c>
      <c r="B20" s="197"/>
      <c r="C20" s="122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3"/>
    </row>
    <row r="21" spans="1:19" x14ac:dyDescent="0.25">
      <c r="A21" s="122"/>
      <c r="B21" s="197"/>
      <c r="C21" s="122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25">
      <c r="A22" s="122"/>
      <c r="B22" s="197"/>
      <c r="C22" s="122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ht="14.4" thickBot="1" x14ac:dyDescent="0.3">
      <c r="A23" s="124"/>
      <c r="B23" s="196"/>
      <c r="C23" s="124"/>
      <c r="D23" s="60"/>
      <c r="E23" s="59"/>
      <c r="F23" s="60"/>
      <c r="G23" s="59"/>
      <c r="H23" s="59"/>
      <c r="I23" s="59"/>
      <c r="J23" s="51"/>
      <c r="K23" s="51"/>
      <c r="L23" s="51"/>
      <c r="M23" s="51"/>
      <c r="N23" s="51"/>
      <c r="O23" s="59"/>
      <c r="P23" s="59"/>
      <c r="Q23" s="60"/>
      <c r="R23" s="60"/>
      <c r="S23" s="61"/>
    </row>
    <row r="24" spans="1:19" ht="14.4" thickTop="1" x14ac:dyDescent="0.25">
      <c r="A24" s="127" t="s">
        <v>90</v>
      </c>
      <c r="B24" s="198"/>
      <c r="C24" s="127"/>
      <c r="D24" s="208">
        <f>SUM(D17:D23)</f>
        <v>0</v>
      </c>
      <c r="E24" s="119">
        <f>SUM(E17:E23)</f>
        <v>0</v>
      </c>
      <c r="F24" s="119">
        <f t="shared" ref="F24:S24" si="1">SUM(F15:F23)</f>
        <v>71</v>
      </c>
      <c r="G24" s="119">
        <f t="shared" si="1"/>
        <v>0</v>
      </c>
      <c r="H24" s="119">
        <f t="shared" si="1"/>
        <v>0</v>
      </c>
      <c r="I24" s="119">
        <f t="shared" si="1"/>
        <v>0</v>
      </c>
      <c r="J24" s="119">
        <f t="shared" si="1"/>
        <v>0</v>
      </c>
      <c r="K24" s="65">
        <f t="shared" si="1"/>
        <v>0</v>
      </c>
      <c r="L24" s="65">
        <f t="shared" si="1"/>
        <v>0</v>
      </c>
      <c r="M24" s="65">
        <f t="shared" si="1"/>
        <v>0</v>
      </c>
      <c r="N24" s="65">
        <f t="shared" si="1"/>
        <v>0</v>
      </c>
      <c r="O24" s="65">
        <f t="shared" si="1"/>
        <v>0</v>
      </c>
      <c r="P24" s="65">
        <f t="shared" si="1"/>
        <v>0</v>
      </c>
      <c r="Q24" s="141">
        <f t="shared" si="1"/>
        <v>0</v>
      </c>
      <c r="R24" s="141">
        <f t="shared" si="1"/>
        <v>0</v>
      </c>
      <c r="S24" s="139">
        <f t="shared" si="1"/>
        <v>0</v>
      </c>
    </row>
    <row r="25" spans="1:19" ht="14.4" thickBot="1" x14ac:dyDescent="0.3">
      <c r="A25" s="125" t="s">
        <v>38</v>
      </c>
      <c r="B25" s="199"/>
      <c r="C25" s="125"/>
      <c r="D25" s="142">
        <f t="shared" ref="D25:S25" si="2">D13-D24</f>
        <v>0</v>
      </c>
      <c r="E25" s="138">
        <f t="shared" si="2"/>
        <v>0</v>
      </c>
      <c r="F25" s="138">
        <f t="shared" si="2"/>
        <v>10</v>
      </c>
      <c r="G25" s="138">
        <f t="shared" si="2"/>
        <v>230.3</v>
      </c>
      <c r="H25" s="138">
        <f t="shared" si="2"/>
        <v>4877</v>
      </c>
      <c r="I25" s="138">
        <f t="shared" si="2"/>
        <v>8819</v>
      </c>
      <c r="J25" s="138">
        <f t="shared" si="2"/>
        <v>0</v>
      </c>
      <c r="K25" s="138">
        <f t="shared" si="2"/>
        <v>0</v>
      </c>
      <c r="L25" s="138">
        <f t="shared" si="2"/>
        <v>0</v>
      </c>
      <c r="M25" s="138">
        <f t="shared" si="2"/>
        <v>0</v>
      </c>
      <c r="N25" s="138">
        <f t="shared" si="2"/>
        <v>0</v>
      </c>
      <c r="O25" s="138">
        <f t="shared" si="2"/>
        <v>0</v>
      </c>
      <c r="P25" s="138">
        <f t="shared" si="2"/>
        <v>0</v>
      </c>
      <c r="Q25" s="143">
        <f t="shared" si="2"/>
        <v>0</v>
      </c>
      <c r="R25" s="142">
        <f t="shared" si="2"/>
        <v>0</v>
      </c>
      <c r="S25" s="146">
        <f t="shared" si="2"/>
        <v>0</v>
      </c>
    </row>
    <row r="26" spans="1:19" x14ac:dyDescent="0.25">
      <c r="D26" s="135"/>
      <c r="E26" s="73"/>
      <c r="F26" s="148"/>
      <c r="H26" s="73"/>
      <c r="I26" s="73"/>
      <c r="J26" s="73"/>
      <c r="K26" s="98"/>
      <c r="L26" s="148"/>
      <c r="M26" s="73"/>
    </row>
    <row r="27" spans="1:19" x14ac:dyDescent="0.25">
      <c r="A27" t="s">
        <v>88</v>
      </c>
      <c r="D27" s="136">
        <f>D8+D7</f>
        <v>0</v>
      </c>
      <c r="F27" s="73"/>
    </row>
    <row r="28" spans="1:19" x14ac:dyDescent="0.25">
      <c r="E28" s="91">
        <f>E3*9300*5%*7</f>
        <v>74865</v>
      </c>
      <c r="F28" s="66"/>
      <c r="G28" s="91"/>
      <c r="H28" s="91"/>
      <c r="K28" s="91"/>
    </row>
    <row r="29" spans="1:19" x14ac:dyDescent="0.25">
      <c r="E29" s="38">
        <f>375-E24-F24-I24</f>
        <v>304</v>
      </c>
      <c r="F29" s="66"/>
      <c r="G29" s="91"/>
      <c r="H29" s="91"/>
    </row>
    <row r="30" spans="1:19" x14ac:dyDescent="0.25">
      <c r="N30" s="91"/>
      <c r="O30" s="91"/>
    </row>
    <row r="31" spans="1:19" x14ac:dyDescent="0.25">
      <c r="A31" s="67" t="s">
        <v>39</v>
      </c>
      <c r="B31" s="67"/>
      <c r="C31" s="67"/>
      <c r="D31" s="68"/>
      <c r="L31" s="91"/>
      <c r="N31" s="17"/>
    </row>
    <row r="32" spans="1:19" x14ac:dyDescent="0.25">
      <c r="A32" t="s">
        <v>14</v>
      </c>
      <c r="E32" s="69">
        <f>-D13</f>
        <v>0</v>
      </c>
      <c r="G32" s="72"/>
      <c r="H32" s="72"/>
      <c r="L32" s="91"/>
    </row>
    <row r="33" spans="1:10" x14ac:dyDescent="0.25">
      <c r="A33" t="s">
        <v>15</v>
      </c>
      <c r="E33" s="17">
        <f>-E13</f>
        <v>0</v>
      </c>
      <c r="G33" s="72"/>
    </row>
    <row r="34" spans="1:10" x14ac:dyDescent="0.25">
      <c r="A34" t="s">
        <v>18</v>
      </c>
      <c r="E34" s="17">
        <f>I24</f>
        <v>0</v>
      </c>
    </row>
    <row r="35" spans="1:10" x14ac:dyDescent="0.25">
      <c r="A35" s="40" t="s">
        <v>8</v>
      </c>
      <c r="B35" s="40"/>
      <c r="C35" s="40"/>
      <c r="D35" s="40"/>
      <c r="E35" s="23">
        <f>SUM(E31:E34)</f>
        <v>0</v>
      </c>
      <c r="J35" s="72"/>
    </row>
    <row r="36" spans="1:10" x14ac:dyDescent="0.25">
      <c r="A36" t="s">
        <v>40</v>
      </c>
      <c r="E36" s="38">
        <v>375</v>
      </c>
      <c r="H36" s="91"/>
    </row>
    <row r="37" spans="1:10" x14ac:dyDescent="0.25">
      <c r="A37" s="40" t="s">
        <v>41</v>
      </c>
      <c r="B37" s="40"/>
      <c r="C37" s="40"/>
      <c r="D37" s="40"/>
      <c r="E37" s="23">
        <f>SUM(E35:E36)</f>
        <v>375</v>
      </c>
    </row>
    <row r="38" spans="1:10" x14ac:dyDescent="0.25">
      <c r="A38" t="s">
        <v>42</v>
      </c>
      <c r="E38" s="17">
        <f>-E24-F24-I24</f>
        <v>-71</v>
      </c>
    </row>
    <row r="39" spans="1:10" x14ac:dyDescent="0.25">
      <c r="A39" s="40" t="s">
        <v>43</v>
      </c>
      <c r="B39" s="40"/>
      <c r="C39" s="40"/>
      <c r="D39" s="40"/>
      <c r="E39" s="70">
        <f>SUM(E37:E38)</f>
        <v>304</v>
      </c>
    </row>
    <row r="43" spans="1:10" x14ac:dyDescent="0.25">
      <c r="A43" s="130" t="s">
        <v>77</v>
      </c>
      <c r="B43" s="130"/>
      <c r="C43" s="130"/>
    </row>
    <row r="44" spans="1:10" ht="15.6" x14ac:dyDescent="0.4">
      <c r="A44" s="39" t="s">
        <v>78</v>
      </c>
      <c r="B44" s="39"/>
      <c r="C44" s="39"/>
      <c r="D44" s="39" t="s">
        <v>80</v>
      </c>
      <c r="E44" s="131" t="s">
        <v>81</v>
      </c>
      <c r="F44" s="39" t="s">
        <v>84</v>
      </c>
      <c r="G44" s="39"/>
      <c r="H44" s="17"/>
      <c r="I44" s="17"/>
    </row>
    <row r="45" spans="1:10" x14ac:dyDescent="0.25">
      <c r="A45" t="s">
        <v>44</v>
      </c>
      <c r="F45" s="91">
        <f>E45-D45</f>
        <v>0</v>
      </c>
    </row>
    <row r="46" spans="1:10" x14ac:dyDescent="0.25">
      <c r="A46" t="s">
        <v>79</v>
      </c>
      <c r="F46" s="91">
        <f>E46-D46</f>
        <v>0</v>
      </c>
    </row>
    <row r="47" spans="1:10" x14ac:dyDescent="0.25">
      <c r="A47" s="108" t="s">
        <v>82</v>
      </c>
      <c r="B47" s="108"/>
      <c r="C47" s="108"/>
      <c r="D47" s="108">
        <f>SUM(D45:D46)</f>
        <v>0</v>
      </c>
      <c r="E47" s="70">
        <f>SUM(E45:E46)</f>
        <v>0</v>
      </c>
      <c r="F47" s="132">
        <f>E47-D47</f>
        <v>0</v>
      </c>
    </row>
    <row r="49" spans="1:10" ht="15.6" x14ac:dyDescent="0.4">
      <c r="A49" s="39" t="s">
        <v>83</v>
      </c>
      <c r="B49" s="39"/>
      <c r="C49" s="39"/>
      <c r="D49" s="39" t="s">
        <v>80</v>
      </c>
      <c r="E49" s="131" t="s">
        <v>81</v>
      </c>
      <c r="F49" s="39" t="s">
        <v>84</v>
      </c>
    </row>
    <row r="50" spans="1:10" x14ac:dyDescent="0.25">
      <c r="A50" t="s">
        <v>44</v>
      </c>
      <c r="F50" s="91">
        <f>E50-D50</f>
        <v>0</v>
      </c>
      <c r="G50" s="39"/>
      <c r="J50" s="17"/>
    </row>
    <row r="51" spans="1:10" x14ac:dyDescent="0.25">
      <c r="A51" t="s">
        <v>79</v>
      </c>
      <c r="F51" s="91">
        <f>E51-D51</f>
        <v>0</v>
      </c>
    </row>
    <row r="52" spans="1:10" x14ac:dyDescent="0.25">
      <c r="A52" s="108" t="s">
        <v>82</v>
      </c>
      <c r="B52" s="108"/>
      <c r="C52" s="108"/>
      <c r="D52" s="108">
        <f>SUM(D50:D51)</f>
        <v>0</v>
      </c>
      <c r="E52" s="70">
        <f>SUM(E50:E51)</f>
        <v>0</v>
      </c>
      <c r="F52" s="132">
        <f>E52-D52</f>
        <v>0</v>
      </c>
      <c r="J52" s="147"/>
    </row>
    <row r="54" spans="1:10" x14ac:dyDescent="0.25">
      <c r="A54" s="133" t="s">
        <v>8</v>
      </c>
      <c r="B54" s="133"/>
      <c r="C54" s="133"/>
      <c r="D54" s="133">
        <f>D52+D47</f>
        <v>0</v>
      </c>
      <c r="E54" s="133">
        <f>E52+E47</f>
        <v>0</v>
      </c>
      <c r="F54" s="134">
        <f>F52+F47</f>
        <v>0</v>
      </c>
    </row>
    <row r="58" spans="1:10" x14ac:dyDescent="0.25">
      <c r="G58" s="39"/>
      <c r="J58" s="17"/>
    </row>
    <row r="60" spans="1:10" x14ac:dyDescent="0.25">
      <c r="J60" s="14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F6"/>
  <sheetViews>
    <sheetView rightToLeft="1" zoomScale="175" zoomScaleNormal="175" workbookViewId="0">
      <selection activeCell="H14" sqref="H14"/>
    </sheetView>
  </sheetViews>
  <sheetFormatPr defaultRowHeight="13.8" x14ac:dyDescent="0.25"/>
  <cols>
    <col min="2" max="2" width="11.5" bestFit="1" customWidth="1"/>
    <col min="3" max="3" width="9.8984375" bestFit="1" customWidth="1"/>
  </cols>
  <sheetData>
    <row r="2" spans="1:6" x14ac:dyDescent="0.25">
      <c r="A2" s="39" t="s">
        <v>168</v>
      </c>
      <c r="B2" s="39" t="s">
        <v>169</v>
      </c>
      <c r="C2" s="39" t="s">
        <v>136</v>
      </c>
      <c r="D2" s="39" t="s">
        <v>170</v>
      </c>
    </row>
    <row r="3" spans="1:6" x14ac:dyDescent="0.25">
      <c r="A3" t="s">
        <v>174</v>
      </c>
      <c r="B3" t="s">
        <v>218</v>
      </c>
      <c r="C3" s="188">
        <v>45433</v>
      </c>
      <c r="D3">
        <v>3.5</v>
      </c>
      <c r="E3" t="s">
        <v>175</v>
      </c>
      <c r="F3" t="s">
        <v>176</v>
      </c>
    </row>
    <row r="4" spans="1:6" x14ac:dyDescent="0.25">
      <c r="A4" t="s">
        <v>171</v>
      </c>
      <c r="B4" t="s">
        <v>172</v>
      </c>
      <c r="C4" s="188">
        <v>45344</v>
      </c>
      <c r="D4">
        <v>500</v>
      </c>
      <c r="E4" t="s">
        <v>173</v>
      </c>
    </row>
    <row r="5" spans="1:6" x14ac:dyDescent="0.25">
      <c r="A5" t="s">
        <v>216</v>
      </c>
      <c r="C5" s="74">
        <v>2004</v>
      </c>
      <c r="D5" s="190">
        <v>0.12</v>
      </c>
      <c r="E5" t="s">
        <v>217</v>
      </c>
    </row>
    <row r="6" spans="1:6" x14ac:dyDescent="0.25">
      <c r="A6" t="s">
        <v>174</v>
      </c>
      <c r="B6" t="s">
        <v>215</v>
      </c>
      <c r="C6" s="188">
        <v>25723</v>
      </c>
      <c r="D6" s="212">
        <v>2</v>
      </c>
      <c r="E6" t="s">
        <v>175</v>
      </c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285" t="s">
        <v>120</v>
      </c>
      <c r="C2" s="286"/>
      <c r="D2" s="286"/>
      <c r="E2" s="286"/>
      <c r="F2" s="287"/>
    </row>
    <row r="3" spans="2:10" ht="14.4" thickBot="1" x14ac:dyDescent="0.3">
      <c r="B3" s="152" t="s">
        <v>49</v>
      </c>
      <c r="C3" s="288" t="s">
        <v>44</v>
      </c>
      <c r="D3" s="289"/>
      <c r="E3" s="288" t="s">
        <v>102</v>
      </c>
      <c r="F3" s="290"/>
    </row>
    <row r="4" spans="2:10" x14ac:dyDescent="0.25">
      <c r="B4" s="167" t="s">
        <v>103</v>
      </c>
      <c r="C4" s="281">
        <v>0</v>
      </c>
      <c r="D4" s="307"/>
      <c r="E4" s="281">
        <v>0</v>
      </c>
      <c r="F4" s="282"/>
    </row>
    <row r="5" spans="2:10" x14ac:dyDescent="0.25">
      <c r="B5" s="172" t="s">
        <v>104</v>
      </c>
      <c r="C5" s="281">
        <v>140000</v>
      </c>
      <c r="D5" s="307"/>
      <c r="E5" s="281">
        <f>6000*2</f>
        <v>12000</v>
      </c>
      <c r="F5" s="282"/>
    </row>
    <row r="6" spans="2:10" ht="27.6" x14ac:dyDescent="0.25">
      <c r="B6" s="172" t="s">
        <v>116</v>
      </c>
      <c r="C6" s="281">
        <f>46500*7</f>
        <v>325500</v>
      </c>
      <c r="D6" s="307"/>
      <c r="E6" s="281">
        <v>0</v>
      </c>
      <c r="F6" s="282"/>
    </row>
    <row r="7" spans="2:10" x14ac:dyDescent="0.25">
      <c r="B7" s="172" t="s">
        <v>105</v>
      </c>
      <c r="C7" s="281">
        <f>13000*7</f>
        <v>91000</v>
      </c>
      <c r="D7" s="307"/>
      <c r="E7" s="281">
        <f>4000*7</f>
        <v>28000</v>
      </c>
      <c r="F7" s="282"/>
    </row>
    <row r="8" spans="2:10" ht="14.4" thickBot="1" x14ac:dyDescent="0.3">
      <c r="B8" s="158" t="s">
        <v>106</v>
      </c>
      <c r="C8" s="281">
        <f>65000*7</f>
        <v>455000</v>
      </c>
      <c r="D8" s="307"/>
      <c r="E8" s="281">
        <v>50000</v>
      </c>
      <c r="F8" s="282"/>
      <c r="J8" t="s">
        <v>166</v>
      </c>
    </row>
    <row r="9" spans="2:10" ht="14.4" thickBot="1" x14ac:dyDescent="0.3">
      <c r="B9" s="285" t="s">
        <v>119</v>
      </c>
      <c r="C9" s="286"/>
      <c r="D9" s="286"/>
      <c r="E9" s="286"/>
      <c r="F9" s="287"/>
      <c r="J9" t="s">
        <v>167</v>
      </c>
    </row>
    <row r="10" spans="2:10" ht="16.2" thickBot="1" x14ac:dyDescent="0.3">
      <c r="B10" s="153" t="s">
        <v>114</v>
      </c>
      <c r="C10" s="154" t="s">
        <v>112</v>
      </c>
      <c r="D10" s="155" t="s">
        <v>109</v>
      </c>
      <c r="E10" s="156" t="s">
        <v>110</v>
      </c>
      <c r="F10" s="157" t="s">
        <v>111</v>
      </c>
    </row>
    <row r="11" spans="2:10" x14ac:dyDescent="0.25">
      <c r="B11" s="167" t="s">
        <v>103</v>
      </c>
      <c r="C11" s="184">
        <f>197-160</f>
        <v>37</v>
      </c>
      <c r="D11" s="179">
        <f>C11*6605</f>
        <v>244385</v>
      </c>
      <c r="E11" s="184">
        <v>35</v>
      </c>
      <c r="F11" s="180">
        <f>E11*6605/2</f>
        <v>115587.5</v>
      </c>
    </row>
    <row r="12" spans="2:10" x14ac:dyDescent="0.25">
      <c r="B12" s="172" t="s">
        <v>104</v>
      </c>
      <c r="C12" s="185">
        <v>0</v>
      </c>
      <c r="D12" s="183">
        <v>0</v>
      </c>
      <c r="E12" s="185">
        <f>147+24-160</f>
        <v>11</v>
      </c>
      <c r="F12" s="178">
        <f>E12*6605/2</f>
        <v>36327.5</v>
      </c>
    </row>
    <row r="13" spans="2:10" x14ac:dyDescent="0.25">
      <c r="B13" s="181" t="s">
        <v>107</v>
      </c>
      <c r="C13" s="283" t="s">
        <v>113</v>
      </c>
      <c r="D13" s="283"/>
      <c r="E13" s="283"/>
      <c r="F13" s="284"/>
    </row>
    <row r="14" spans="2:10" x14ac:dyDescent="0.25">
      <c r="B14" s="182" t="s">
        <v>105</v>
      </c>
      <c r="C14" s="283" t="s">
        <v>115</v>
      </c>
      <c r="D14" s="283"/>
      <c r="E14" s="283"/>
      <c r="F14" s="284"/>
    </row>
    <row r="15" spans="2:10" ht="14.4" thickBot="1" x14ac:dyDescent="0.3">
      <c r="B15" s="158" t="s">
        <v>106</v>
      </c>
      <c r="C15" s="301" t="s">
        <v>117</v>
      </c>
      <c r="D15" s="302"/>
      <c r="E15" s="302"/>
      <c r="F15" s="303"/>
    </row>
    <row r="16" spans="2:10" ht="14.4" thickBot="1" x14ac:dyDescent="0.3"/>
    <row r="17" spans="2:6" ht="14.4" thickBot="1" x14ac:dyDescent="0.3">
      <c r="B17" s="285" t="s">
        <v>101</v>
      </c>
      <c r="C17" s="286"/>
      <c r="D17" s="286"/>
      <c r="E17" s="286"/>
      <c r="F17" s="287"/>
    </row>
    <row r="18" spans="2:6" ht="14.4" thickBot="1" x14ac:dyDescent="0.3">
      <c r="B18" s="152" t="s">
        <v>108</v>
      </c>
      <c r="C18" s="288" t="s">
        <v>44</v>
      </c>
      <c r="D18" s="289"/>
      <c r="E18" s="288" t="s">
        <v>102</v>
      </c>
      <c r="F18" s="290"/>
    </row>
    <row r="19" spans="2:6" x14ac:dyDescent="0.25">
      <c r="B19" s="167" t="s">
        <v>103</v>
      </c>
      <c r="C19" s="304">
        <v>0</v>
      </c>
      <c r="D19" s="305"/>
      <c r="E19" s="304">
        <v>0</v>
      </c>
      <c r="F19" s="306"/>
    </row>
    <row r="20" spans="2:6" x14ac:dyDescent="0.25">
      <c r="B20" s="172" t="s">
        <v>104</v>
      </c>
      <c r="C20" s="293">
        <v>70000</v>
      </c>
      <c r="D20" s="294"/>
      <c r="E20" s="295">
        <f>6000*7</f>
        <v>42000</v>
      </c>
      <c r="F20" s="296"/>
    </row>
    <row r="21" spans="2:6" x14ac:dyDescent="0.25">
      <c r="B21" s="176" t="s">
        <v>107</v>
      </c>
      <c r="C21" s="293">
        <f>46500*7</f>
        <v>325500</v>
      </c>
      <c r="D21" s="294"/>
      <c r="E21" s="293">
        <v>0</v>
      </c>
      <c r="F21" s="297"/>
    </row>
    <row r="22" spans="2:6" x14ac:dyDescent="0.25">
      <c r="B22" s="172" t="s">
        <v>105</v>
      </c>
      <c r="C22" s="293">
        <f>13000*7</f>
        <v>91000</v>
      </c>
      <c r="D22" s="294"/>
      <c r="E22" s="293">
        <f>4000*7</f>
        <v>28000</v>
      </c>
      <c r="F22" s="297"/>
    </row>
    <row r="23" spans="2:6" ht="14.4" thickBot="1" x14ac:dyDescent="0.3">
      <c r="B23" s="158" t="s">
        <v>106</v>
      </c>
      <c r="C23" s="298">
        <f>65000*7</f>
        <v>455000</v>
      </c>
      <c r="D23" s="299"/>
      <c r="E23" s="298">
        <f>7000*7</f>
        <v>49000</v>
      </c>
      <c r="F23" s="300"/>
    </row>
    <row r="24" spans="2:6" ht="14.4" thickBot="1" x14ac:dyDescent="0.3">
      <c r="B24" s="163"/>
      <c r="C24" s="164"/>
      <c r="D24" s="165"/>
      <c r="E24" s="165"/>
      <c r="F24" s="166"/>
    </row>
    <row r="25" spans="2:6" ht="16.2" thickBot="1" x14ac:dyDescent="0.3">
      <c r="B25" s="153" t="s">
        <v>114</v>
      </c>
      <c r="C25" s="154" t="s">
        <v>112</v>
      </c>
      <c r="D25" s="155" t="s">
        <v>109</v>
      </c>
      <c r="E25" s="156" t="s">
        <v>110</v>
      </c>
      <c r="F25" s="157" t="s">
        <v>111</v>
      </c>
    </row>
    <row r="26" spans="2:6" x14ac:dyDescent="0.25">
      <c r="B26" s="167" t="s">
        <v>103</v>
      </c>
      <c r="C26" s="168">
        <f>197-160</f>
        <v>37</v>
      </c>
      <c r="D26" s="169">
        <f>C26*6605</f>
        <v>244385</v>
      </c>
      <c r="E26" s="170">
        <v>35</v>
      </c>
      <c r="F26" s="171">
        <f>E26*6605/2</f>
        <v>115587.5</v>
      </c>
    </row>
    <row r="27" spans="2:6" x14ac:dyDescent="0.25">
      <c r="B27" s="172" t="s">
        <v>104</v>
      </c>
      <c r="C27" s="173">
        <v>0</v>
      </c>
      <c r="D27" s="174">
        <f>C27*6605</f>
        <v>0</v>
      </c>
      <c r="E27" s="177">
        <f>147+24-160</f>
        <v>11</v>
      </c>
      <c r="F27" s="175">
        <f>E27*6605/2</f>
        <v>36327.5</v>
      </c>
    </row>
    <row r="28" spans="2:6" x14ac:dyDescent="0.25">
      <c r="B28" s="176" t="s">
        <v>107</v>
      </c>
      <c r="C28" s="291" t="s">
        <v>113</v>
      </c>
      <c r="D28" s="291"/>
      <c r="E28" s="291"/>
      <c r="F28" s="292"/>
    </row>
    <row r="29" spans="2:6" x14ac:dyDescent="0.25">
      <c r="B29" s="172" t="s">
        <v>105</v>
      </c>
      <c r="C29" s="173">
        <v>0</v>
      </c>
      <c r="D29" s="174">
        <v>0</v>
      </c>
      <c r="E29" s="173">
        <v>0</v>
      </c>
      <c r="F29" s="175">
        <v>0</v>
      </c>
    </row>
    <row r="30" spans="2:6" ht="14.4" thickBot="1" x14ac:dyDescent="0.3">
      <c r="B30" s="158" t="s">
        <v>106</v>
      </c>
      <c r="C30" s="159">
        <v>0</v>
      </c>
      <c r="D30" s="160">
        <v>0</v>
      </c>
      <c r="E30" s="161">
        <f>139+31-160</f>
        <v>10</v>
      </c>
      <c r="F30" s="162">
        <f>E30*6605/2</f>
        <v>33025</v>
      </c>
    </row>
    <row r="34" spans="2:6" ht="14.4" thickBot="1" x14ac:dyDescent="0.3"/>
    <row r="35" spans="2:6" ht="14.4" thickBot="1" x14ac:dyDescent="0.3">
      <c r="B35" s="285" t="s">
        <v>118</v>
      </c>
      <c r="C35" s="286"/>
      <c r="D35" s="286"/>
      <c r="E35" s="286"/>
      <c r="F35" s="287"/>
    </row>
    <row r="36" spans="2:6" ht="14.4" thickBot="1" x14ac:dyDescent="0.3">
      <c r="B36" s="152" t="s">
        <v>121</v>
      </c>
      <c r="C36" s="288" t="s">
        <v>44</v>
      </c>
      <c r="D36" s="289"/>
      <c r="E36" s="288" t="s">
        <v>102</v>
      </c>
      <c r="F36" s="290"/>
    </row>
    <row r="37" spans="2:6" x14ac:dyDescent="0.25">
      <c r="B37" s="167" t="s">
        <v>122</v>
      </c>
      <c r="C37" s="272" t="s">
        <v>125</v>
      </c>
      <c r="D37" s="273"/>
      <c r="E37" s="273"/>
      <c r="F37" s="274"/>
    </row>
    <row r="38" spans="2:6" x14ac:dyDescent="0.25">
      <c r="B38" s="172" t="s">
        <v>123</v>
      </c>
      <c r="C38" s="275" t="s">
        <v>124</v>
      </c>
      <c r="D38" s="276"/>
      <c r="E38" s="276"/>
      <c r="F38" s="277"/>
    </row>
    <row r="39" spans="2:6" x14ac:dyDescent="0.25">
      <c r="B39" s="172" t="s">
        <v>126</v>
      </c>
      <c r="C39" s="275" t="s">
        <v>127</v>
      </c>
      <c r="D39" s="276"/>
      <c r="E39" s="276"/>
      <c r="F39" s="277"/>
    </row>
    <row r="40" spans="2:6" ht="14.4" thickBot="1" x14ac:dyDescent="0.3">
      <c r="B40" s="158" t="s">
        <v>128</v>
      </c>
      <c r="C40" s="278" t="s">
        <v>129</v>
      </c>
      <c r="D40" s="279"/>
      <c r="E40" s="279"/>
      <c r="F40" s="280"/>
    </row>
  </sheetData>
  <mergeCells count="38"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  <mergeCell ref="B9:F9"/>
    <mergeCell ref="E3:F3"/>
    <mergeCell ref="E4:F4"/>
    <mergeCell ref="E5:F5"/>
    <mergeCell ref="E6:F6"/>
    <mergeCell ref="E7:F7"/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177</v>
      </c>
      <c r="B2" t="s">
        <v>178</v>
      </c>
    </row>
    <row r="3" spans="1:14" x14ac:dyDescent="0.25">
      <c r="B3" t="s">
        <v>44</v>
      </c>
    </row>
    <row r="7" spans="1:14" x14ac:dyDescent="0.25">
      <c r="N7" t="s">
        <v>179</v>
      </c>
    </row>
    <row r="8" spans="1:14" x14ac:dyDescent="0.25">
      <c r="A8" t="s">
        <v>180</v>
      </c>
      <c r="N8" t="s">
        <v>181</v>
      </c>
    </row>
    <row r="9" spans="1:14" x14ac:dyDescent="0.25">
      <c r="A9" t="s">
        <v>182</v>
      </c>
      <c r="D9" s="213" t="s">
        <v>183</v>
      </c>
      <c r="E9" s="213"/>
      <c r="N9" t="s">
        <v>184</v>
      </c>
    </row>
    <row r="10" spans="1:14" x14ac:dyDescent="0.25">
      <c r="N10" t="s">
        <v>185</v>
      </c>
    </row>
    <row r="15" spans="1:14" x14ac:dyDescent="0.25">
      <c r="A15" t="s">
        <v>186</v>
      </c>
      <c r="B15" t="s">
        <v>187</v>
      </c>
    </row>
    <row r="19" spans="1:12" x14ac:dyDescent="0.25">
      <c r="A19" s="39" t="s">
        <v>188</v>
      </c>
      <c r="B19" s="39" t="s">
        <v>179</v>
      </c>
      <c r="C19" s="39" t="s">
        <v>80</v>
      </c>
      <c r="D19" s="39" t="s">
        <v>189</v>
      </c>
      <c r="E19" s="39" t="s">
        <v>190</v>
      </c>
      <c r="F19" s="39" t="s">
        <v>191</v>
      </c>
      <c r="G19" s="39" t="s">
        <v>21</v>
      </c>
      <c r="H19" s="39" t="s">
        <v>192</v>
      </c>
      <c r="I19" s="39" t="s">
        <v>193</v>
      </c>
      <c r="J19" s="39" t="s">
        <v>194</v>
      </c>
      <c r="K19" s="39" t="s">
        <v>195</v>
      </c>
      <c r="L19" s="39" t="s">
        <v>196</v>
      </c>
    </row>
    <row r="20" spans="1:12" x14ac:dyDescent="0.25">
      <c r="A20" t="s">
        <v>197</v>
      </c>
      <c r="H20" s="149">
        <f>'תחשיב לפי שווי שומה (2)'!B8</f>
        <v>8500</v>
      </c>
      <c r="I20" s="190">
        <v>0</v>
      </c>
      <c r="J20" s="150">
        <f>D20*G20*H20*I20</f>
        <v>0</v>
      </c>
      <c r="K20" s="190">
        <v>0.51</v>
      </c>
      <c r="L20" s="149">
        <f>'[1]תחשיב לפי שווי שומה (2)'!$B$26*G20</f>
        <v>0</v>
      </c>
    </row>
    <row r="21" spans="1:12" x14ac:dyDescent="0.25">
      <c r="A21" t="s">
        <v>198</v>
      </c>
      <c r="H21" s="150">
        <f>H20</f>
        <v>8500</v>
      </c>
      <c r="I21" s="190">
        <v>0</v>
      </c>
      <c r="J21" s="150">
        <f>D21*G21*H21*I21</f>
        <v>0</v>
      </c>
      <c r="K21" s="190">
        <v>0.51</v>
      </c>
      <c r="L21" s="149">
        <f>'[1]תחשיב לפי שווי שומה (2)'!$B$26*G21</f>
        <v>0</v>
      </c>
    </row>
    <row r="22" spans="1:12" x14ac:dyDescent="0.25">
      <c r="A22" t="s">
        <v>199</v>
      </c>
      <c r="H22" s="150">
        <f>H21</f>
        <v>8500</v>
      </c>
      <c r="I22" s="190">
        <v>0.05</v>
      </c>
      <c r="J22" s="150">
        <f>D22*G22*H22*I22</f>
        <v>0</v>
      </c>
      <c r="K22" s="190">
        <v>0.51</v>
      </c>
      <c r="L22" s="149">
        <f>'[1]תחשיב לפי שווי שומה (2)'!$B$26*G22</f>
        <v>0</v>
      </c>
    </row>
    <row r="23" spans="1:12" x14ac:dyDescent="0.25">
      <c r="A23" t="s">
        <v>200</v>
      </c>
      <c r="H23" s="150">
        <f>H22</f>
        <v>8500</v>
      </c>
      <c r="I23" s="190">
        <v>0.05</v>
      </c>
      <c r="J23" s="150">
        <f>D23*G23*H23*I23</f>
        <v>0</v>
      </c>
      <c r="K23" s="190">
        <v>0.51</v>
      </c>
      <c r="L23" s="149">
        <f>'[1]תחשיב לפי שווי שומה (2)'!$B$26*G23</f>
        <v>0</v>
      </c>
    </row>
    <row r="24" spans="1:12" x14ac:dyDescent="0.25">
      <c r="A24" t="s">
        <v>201</v>
      </c>
      <c r="H24" s="150"/>
      <c r="I24" s="190">
        <v>0.05</v>
      </c>
      <c r="J24" s="150">
        <f>D24*G24*H24*I24</f>
        <v>0</v>
      </c>
      <c r="K24" s="190">
        <v>0.51</v>
      </c>
      <c r="L24" s="149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Props1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תחשיב לפי שווי שומה (2)</vt:lpstr>
      <vt:lpstr>סיכום עלויות פיצולים</vt:lpstr>
      <vt:lpstr>מ"ר אקו' נחלה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2025-07-07T13:34:52Z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