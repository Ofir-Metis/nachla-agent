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לרר אחי - משמר איילון/פרוייקט בדיקת התכנות/בדיקת התכנות/"/>
    </mc:Choice>
  </mc:AlternateContent>
  <xr:revisionPtr revIDLastSave="551" documentId="8_{E9A5D54E-385F-4F6C-AF2C-D62B03C85759}" xr6:coauthVersionLast="47" xr6:coauthVersionMax="47" xr10:uidLastSave="{A0F04737-7B9D-41E9-A7FD-26D9203E94B4}"/>
  <bookViews>
    <workbookView xWindow="-28920" yWindow="-120" windowWidth="29040" windowHeight="15720" activeTab="3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7" i="3" l="1"/>
  <c r="B136" i="3"/>
  <c r="B134" i="3"/>
  <c r="B132" i="3"/>
  <c r="L16" i="10"/>
  <c r="B72" i="3"/>
  <c r="B73" i="3" s="1"/>
  <c r="D73" i="3" s="1"/>
  <c r="D69" i="3"/>
  <c r="J68" i="3"/>
  <c r="D68" i="3"/>
  <c r="D67" i="3"/>
  <c r="G66" i="3"/>
  <c r="I66" i="3" s="1"/>
  <c r="D66" i="3"/>
  <c r="I65" i="3"/>
  <c r="I67" i="3" s="1"/>
  <c r="K67" i="3" s="1"/>
  <c r="M67" i="3" s="1"/>
  <c r="F65" i="3"/>
  <c r="D65" i="3"/>
  <c r="D74" i="3" s="1"/>
  <c r="I68" i="3" s="1"/>
  <c r="K68" i="3" s="1"/>
  <c r="M68" i="3" s="1"/>
  <c r="B122" i="3"/>
  <c r="D122" i="3" s="1"/>
  <c r="D121" i="3"/>
  <c r="C7" i="5"/>
  <c r="B112" i="3" s="1"/>
  <c r="B114" i="3" s="1"/>
  <c r="B115" i="3" s="1"/>
  <c r="B102" i="3"/>
  <c r="B104" i="3" s="1"/>
  <c r="B105" i="3" s="1"/>
  <c r="D6" i="4"/>
  <c r="K33" i="5"/>
  <c r="K35" i="5" s="1"/>
  <c r="M69" i="3" l="1"/>
  <c r="D123" i="3"/>
  <c r="D125" i="3" s="1"/>
  <c r="D127" i="3" s="1"/>
  <c r="D128" i="3" s="1"/>
  <c r="B27" i="3"/>
  <c r="D8" i="3"/>
  <c r="D7" i="3"/>
  <c r="B9" i="3"/>
  <c r="B12" i="3" s="1"/>
  <c r="M47" i="5"/>
  <c r="L47" i="5"/>
  <c r="M44" i="5"/>
  <c r="L44" i="5"/>
  <c r="M41" i="5"/>
  <c r="L41" i="5"/>
  <c r="D9" i="3" l="1"/>
  <c r="F18" i="5"/>
  <c r="F17" i="5"/>
  <c r="D19" i="5"/>
  <c r="F19" i="5" s="1"/>
  <c r="F20" i="5" s="1"/>
  <c r="F22" i="5" s="1"/>
  <c r="D20" i="5" l="1"/>
  <c r="D22" i="5" s="1"/>
  <c r="F15" i="4"/>
  <c r="F6" i="4"/>
  <c r="F3" i="8"/>
  <c r="S58" i="3"/>
  <c r="W56" i="3"/>
  <c r="U56" i="3"/>
  <c r="Y56" i="3" s="1"/>
  <c r="U54" i="3"/>
  <c r="Y54" i="3" s="1"/>
  <c r="S52" i="3"/>
  <c r="U52" i="3" s="1"/>
  <c r="S51" i="3"/>
  <c r="U51" i="3" s="1"/>
  <c r="S50" i="3"/>
  <c r="U50" i="3" s="1"/>
  <c r="S49" i="3"/>
  <c r="W49" i="3" s="1"/>
  <c r="G51" i="3"/>
  <c r="D38" i="3"/>
  <c r="L24" i="9"/>
  <c r="J24" i="9"/>
  <c r="L23" i="9"/>
  <c r="L22" i="9"/>
  <c r="L21" i="9"/>
  <c r="L20" i="9"/>
  <c r="C42" i="6"/>
  <c r="B8" i="6"/>
  <c r="H20" i="9" s="1"/>
  <c r="H21" i="9" s="1"/>
  <c r="W60" i="3" l="1"/>
  <c r="S53" i="3"/>
  <c r="S55" i="3" s="1"/>
  <c r="S57" i="3" s="1"/>
  <c r="S59" i="3" s="1"/>
  <c r="Y60" i="3"/>
  <c r="U49" i="3"/>
  <c r="U53" i="3" s="1"/>
  <c r="U60" i="3" s="1"/>
  <c r="J16" i="10"/>
  <c r="J20" i="10" s="1"/>
  <c r="L20" i="10"/>
  <c r="D40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H23" i="9" l="1"/>
  <c r="J23" i="9" s="1"/>
  <c r="J22" i="9"/>
  <c r="D42" i="6"/>
  <c r="C35" i="6"/>
  <c r="D35" i="6" s="1"/>
  <c r="G25" i="4"/>
  <c r="I25" i="4"/>
  <c r="H25" i="4"/>
  <c r="D25" i="4"/>
  <c r="F25" i="4"/>
  <c r="E25" i="4"/>
  <c r="C15" i="6" l="1"/>
  <c r="D27" i="4"/>
  <c r="D9" i="6" l="1"/>
  <c r="S24" i="4" l="1"/>
  <c r="R24" i="4"/>
  <c r="Q24" i="4"/>
  <c r="P24" i="4"/>
  <c r="O24" i="4"/>
  <c r="N24" i="4"/>
  <c r="M24" i="4"/>
  <c r="L24" i="4"/>
  <c r="K24" i="4"/>
  <c r="J24" i="4"/>
  <c r="D26" i="3" l="1"/>
  <c r="D14" i="3"/>
  <c r="D11" i="3"/>
  <c r="D6" i="3"/>
  <c r="D5" i="3"/>
  <c r="D4" i="3"/>
  <c r="B13" i="3" l="1"/>
  <c r="B15" i="3" l="1"/>
  <c r="D15" i="3" s="1"/>
  <c r="D17" i="3" s="1"/>
  <c r="S13" i="4"/>
  <c r="R13" i="4"/>
  <c r="Q13" i="4"/>
  <c r="O13" i="4"/>
  <c r="M13" i="4"/>
  <c r="L13" i="4"/>
  <c r="K13" i="4"/>
  <c r="J13" i="4"/>
  <c r="P13" i="4"/>
  <c r="N13" i="4"/>
  <c r="H27" i="3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87" i="3"/>
  <c r="F79" i="3"/>
  <c r="I85" i="3"/>
  <c r="G84" i="3"/>
  <c r="I86" i="3" s="1"/>
  <c r="I83" i="3"/>
  <c r="I82" i="3"/>
  <c r="I81" i="3"/>
  <c r="I16" i="3"/>
  <c r="G14" i="3"/>
  <c r="I14" i="3" s="1"/>
  <c r="H11" i="3"/>
  <c r="H6" i="3"/>
  <c r="H5" i="3"/>
  <c r="H4" i="3"/>
  <c r="G11" i="3"/>
  <c r="F11" i="3"/>
  <c r="G6" i="3"/>
  <c r="G5" i="3"/>
  <c r="F6" i="3"/>
  <c r="F5" i="3"/>
  <c r="F4" i="3"/>
  <c r="G4" i="3"/>
  <c r="D27" i="3"/>
  <c r="D25" i="3"/>
  <c r="D24" i="3"/>
  <c r="D23" i="3"/>
  <c r="D28" i="3" s="1"/>
  <c r="D30" i="3" s="1"/>
  <c r="G11" i="6"/>
  <c r="I50" i="3"/>
  <c r="I51" i="3"/>
  <c r="F50" i="3"/>
  <c r="B57" i="3"/>
  <c r="B58" i="3" s="1"/>
  <c r="D58" i="3" s="1"/>
  <c r="D51" i="3"/>
  <c r="D54" i="3"/>
  <c r="D53" i="3"/>
  <c r="D52" i="3"/>
  <c r="F18" i="6"/>
  <c r="B4" i="6" l="1"/>
  <c r="I11" i="3"/>
  <c r="I4" i="3"/>
  <c r="G12" i="3"/>
  <c r="G13" i="3" s="1"/>
  <c r="I6" i="3"/>
  <c r="J53" i="3"/>
  <c r="I88" i="3"/>
  <c r="I89" i="3" s="1"/>
  <c r="G88" i="3"/>
  <c r="I52" i="3"/>
  <c r="I5" i="3"/>
  <c r="D50" i="3"/>
  <c r="D59" i="3" l="1"/>
  <c r="B39" i="6" s="1"/>
  <c r="B40" i="6" s="1"/>
  <c r="B42" i="6" s="1"/>
  <c r="B43" i="6" s="1"/>
  <c r="D7" i="6"/>
  <c r="B12" i="6" s="1"/>
  <c r="B15" i="6"/>
  <c r="D15" i="6" s="1"/>
  <c r="F15" i="6" s="1"/>
  <c r="K52" i="3"/>
  <c r="M52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3" i="3"/>
  <c r="K53" i="3" s="1"/>
  <c r="M53" i="3" s="1"/>
  <c r="M54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85" i="3"/>
  <c r="B84" i="3"/>
  <c r="B86" i="3" s="1"/>
  <c r="D86" i="3" s="1"/>
  <c r="D83" i="3"/>
  <c r="D82" i="3"/>
  <c r="D81" i="3"/>
  <c r="E32" i="4" l="1"/>
  <c r="D88" i="3"/>
  <c r="D89" i="3" s="1"/>
  <c r="E29" i="4"/>
  <c r="B88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5" i="3" l="1"/>
  <c r="B17" i="3"/>
  <c r="D18" i="3" l="1"/>
  <c r="I15" i="3"/>
  <c r="G17" i="3"/>
  <c r="B3" i="6" l="1"/>
  <c r="D43" i="3"/>
  <c r="I17" i="3"/>
  <c r="I18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<sst xmlns="http://schemas.openxmlformats.org/spreadsheetml/2006/main" count="493" uniqueCount="301">
  <si>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</si>
  <si>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</si>
  <si>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</si>
  <si>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</si>
  <si>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</si>
  <si>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</si>
  <si>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</si>
  <si>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</si>
  <si>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</si>
  <si>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</si>
  <si>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</si>
  <si>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</si>
  <si>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</si>
  <si>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</si>
  <si>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</si>
  <si>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</si>
  <si>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</si>
  <si>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</si>
  <si>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</si>
  <si>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</si>
  <si>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</si>
  <si>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</si>
  <si>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</si>
  <si>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</si>
  <si>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</si>
  <si>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</si>
  <si>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</si>
  <si>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</si>
  <si>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</si>
  <si>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</si>
  <si>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</si>
  <si>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</si>
  <si>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</si>
  <si>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</si>
  <si>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</si>
  <si>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</si>
  <si>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</si>
  <si>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</si>
  <si>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</si>
  <si>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</si>
  <si>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</si>
  <si>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</si>
  <si>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</si>
  <si>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</si>
  <si>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</si>
  <si>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</si>
  <si>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</si>
  <si>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</si>
  <si>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</si>
  <si>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</si>
  <si>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</si>
  <si>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</si>
  <si>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</si>
  <si>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</si>
  <si>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</si>
  <si>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</si>
  <si>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</si>
  <si>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</si>
  <si>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</si>
  <si>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</si>
  <si>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</si>
  <si>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</si>
  <si>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</si>
  <si>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</si>
  <si>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</si>
  <si>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</si>
  <si>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</si>
  <si>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</si>
  <si>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</si>
  <si>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</si>
  <si>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</si>
  <si>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</si>
  <si>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</si>
  <si>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</si>
  <si>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</si>
  <si>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</si>
  <si>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</si>
  <si>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</si>
  <si>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</si>
  <si>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</si>
  <si>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</si>
  <si>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</si>
  <si>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</si>
  <si>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</si>
  <si>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</si>
  <si>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</si>
  <si>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</si>
  <si>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</si>
  <si>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</si>
  <si>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</si>
  <si>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</si>
  <si>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</si>
  <si>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ש"ש עיליים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</si>
  <si>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</si>
  <si>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</si>
  <si>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</si>
  <si>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</si>
  <si>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</si>
  <si>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</si>
  <si>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</si>
  <si>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</si>
  <si>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</si>
  <si>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</si>
  <si>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</si>
  <si>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</si>
  <si>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</si>
  <si>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</si>
  <si>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</si>
  <si>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</si>
  <si>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</si>
  <si>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</si>
  <si>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</si>
  <si>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</si>
  <si>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</si>
  <si>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</si>
  <si>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</si>
  <si>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</si>
  <si>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</si>
  <si>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</si>
  <si>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</si>
  <si>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</si>
  <si>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</si>
  <si>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</si>
  <si>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</si>
  <si>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</si>
  <si>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</si>
  <si>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</si>
  <si>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</si>
  <si>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</si>
  <si>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</si>
  <si>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</si>
  <si>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</si>
  <si>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</si>
  <si>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</si>
  <si>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</si>
  <si>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</si>
  <si>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</si>
  <si>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</si>
  <si>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</si>
  <si>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</si>
  <si>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</si>
  <si>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</si>
  <si>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</si>
  <si>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</si>
  <si>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</si>
  <si>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</si>
  <si>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</si>
  <si>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</si>
  <si>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</si>
  <si>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</si>
  <si>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</si>
  <si>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</si>
  <si>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</si>
  <si>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</si>
  <si>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</si>
  <si>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</si>
  <si>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</si>
  <si>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</si>
  <si>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</si>
  <si>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</si>
  <si>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</si>
  <si>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פל"ח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</si>
  <si>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</si>
  <si>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</si>
  <si>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</si>
  <si>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</si>
  <si>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</si>
  <si>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</si>
  <si>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</si>
  <si>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</si>
  <si>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</si>
  <si>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</si>
  <si>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</si>
  <si>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</si>
  <si>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</si>
  <si>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</si>
  <si>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</si>
  <si>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</si>
  <si>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</si>
  <si>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</si>
  <si>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</si>
  <si>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</si>
  <si>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</si>
  <si>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</si>
  <si>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</si>
  <si>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</si>
  <si>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</si>
  <si>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</si>
  <si>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</si>
  <si>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</si>
  <si>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</si>
  <si>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</si>
  <si>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</si>
  <si>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</si>
  <si>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</si>
  <si>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</si>
  <si>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</si>
  <si>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</si>
  <si>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</si>
  <si>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</si>
  <si>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</si>
  <si>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</si>
  <si>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</si>
  <si>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</si>
  <si>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</si>
  <si>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</si>
  <si>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</si>
  <si>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</si>
  <si>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</si>
  <si>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</si>
  <si>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</si>
  <si>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</si>
  <si>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</si>
  <si>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</si>
  <si>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</si>
  <si>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</si>
  <si>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</si>
  <si>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</si>
  <si>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</si>
  <si>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</si>
  <si>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</si>
  <si>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</si>
  <si>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</si>
  <si>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</si>
  <si>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</si>
  <si>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</si>
  <si>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</si>
  <si>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שומה מכרעת</t>
  </si>
  <si>
    <t>R/6</t>
  </si>
  <si>
    <t>מהות</t>
  </si>
  <si>
    <t>שירות</t>
  </si>
  <si>
    <t>מרתף</t>
  </si>
  <si>
    <t>בריכה</t>
  </si>
  <si>
    <t>גז/1/22</t>
  </si>
  <si>
    <t>גז/1000</t>
  </si>
  <si>
    <t>גז/1/22/א</t>
  </si>
  <si>
    <t>עליית גג</t>
  </si>
  <si>
    <t>חדר כביסה</t>
  </si>
  <si>
    <t>קונטור</t>
  </si>
  <si>
    <t>שווי מר למועד קובע</t>
  </si>
  <si>
    <t>מדד</t>
  </si>
  <si>
    <t>שווי מ"ר ממודד</t>
  </si>
  <si>
    <t>מבנה 1 - בית מגורים ראשון</t>
  </si>
  <si>
    <t>מבנה 1.1 מחסן ביתי</t>
  </si>
  <si>
    <t>מבנה 2- בית מגורים שני + שלשי</t>
  </si>
  <si>
    <t>מבנה 3- קונטיינר חקלאי</t>
  </si>
  <si>
    <t>מבנה 4- חממות</t>
  </si>
  <si>
    <t>היתר שנת 2018</t>
  </si>
  <si>
    <t>היתר שנת 2016 - חקלאי</t>
  </si>
  <si>
    <t>שומת רמי משמר איילון</t>
  </si>
  <si>
    <t>שמאי רמ"י</t>
  </si>
  <si>
    <t>שמאי מכריע</t>
  </si>
  <si>
    <t>מועד קובע 12/23</t>
  </si>
  <si>
    <t>מקדם זמן לשנה</t>
  </si>
  <si>
    <t>מס' שנים</t>
  </si>
  <si>
    <t>מקדם משוקלל</t>
  </si>
  <si>
    <t>שווי מ"ר מתואם</t>
  </si>
  <si>
    <t>שווי מ"ר הרחבה</t>
  </si>
  <si>
    <t>מקדם נחלה</t>
  </si>
  <si>
    <t>שווי מתואם</t>
  </si>
  <si>
    <t>גוש חלקה</t>
  </si>
  <si>
    <t>יום מכירה</t>
  </si>
  <si>
    <t>תמורה מוצהרת בש"ח</t>
  </si>
  <si>
    <t>שווי מכירה בש"ח</t>
  </si>
  <si>
    <t>חלק נמכר</t>
  </si>
  <si>
    <t>ישוב</t>
  </si>
  <si>
    <t>שטח</t>
  </si>
  <si>
    <t>חדרים</t>
  </si>
  <si>
    <t>סה"כ חלק יחסי</t>
  </si>
  <si>
    <t>מחיר נחלה</t>
  </si>
  <si>
    <t>005433-0028-000-00</t>
  </si>
  <si>
    <t>במשק חקלאי-נחלה</t>
  </si>
  <si>
    <t>משמר איילון</t>
  </si>
  <si>
    <t>לא מעובדת</t>
  </si>
  <si>
    <t>005433-0003-000-00</t>
  </si>
  <si>
    <t>005433-0018-000-00</t>
  </si>
  <si>
    <t>מרתפים</t>
  </si>
  <si>
    <t>חניה</t>
  </si>
  <si>
    <t>יתרת מבני עזר</t>
  </si>
  <si>
    <t>מרתף עיקרי כולל ממד</t>
  </si>
  <si>
    <t>שומת רמ"י מועד קובע 2023</t>
  </si>
  <si>
    <t>שווי מ"ר שמאי רמי</t>
  </si>
  <si>
    <t>מקדם לנחלה</t>
  </si>
  <si>
    <t>מקדם זמן</t>
  </si>
  <si>
    <t>היטל השבחה יחידה צמודת קיר</t>
  </si>
  <si>
    <t>שווי מ"ר למועד קובע 21/02/2018</t>
  </si>
  <si>
    <t>שווי ממודד</t>
  </si>
  <si>
    <t>מקדם השבחה</t>
  </si>
  <si>
    <t>סה"כ השבחה למ"ר</t>
  </si>
  <si>
    <t>היטל השבחה בית שלישי חדש</t>
  </si>
  <si>
    <t>שווי מ"ר</t>
  </si>
  <si>
    <t>סה"כ השבחה</t>
  </si>
  <si>
    <t>מרתף כולל ממד</t>
  </si>
  <si>
    <t>פיצול בית ראשון</t>
  </si>
  <si>
    <t>פיצול בית שני</t>
  </si>
  <si>
    <t>שטח מגרש</t>
  </si>
  <si>
    <t>סה"כ שטח אקו'</t>
  </si>
  <si>
    <t>דמי היוון 3.75%</t>
  </si>
  <si>
    <t>פיצול בית שני - זכויות כמו בהרחבה</t>
  </si>
  <si>
    <t>פיצול בית ראשון - זכויות 160 מ"ר</t>
  </si>
  <si>
    <t>פיצול בית ראשון / שני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</si>
</sst>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  <numFmt numFmtId="167" formatCode="_ * #,##0.0_ ;_ * \-#,##0.0_ ;_ * &quot;-&quot;??_ ;_ @_ "/>
  </numFmts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7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readingOrder="2"/>
    </xf>
    <xf numFmtId="167" fontId="0" fillId="0" borderId="0" xfId="1" applyNumberFormat="1" applyFont="1"/>
    <xf numFmtId="165" fontId="4" fillId="5" borderId="21" xfId="1" applyNumberFormat="1" applyFont="1" applyFill="1" applyBorder="1"/>
    <xf numFmtId="165" fontId="19" fillId="3" borderId="17" xfId="1" applyNumberFormat="1" applyFont="1" applyFill="1" applyBorder="1" applyAlignment="1">
      <alignment horizontal="center" vertical="center" wrapText="1"/>
    </xf>
    <xf numFmtId="165" fontId="19" fillId="3" borderId="18" xfId="1" applyNumberFormat="1" applyFont="1" applyFill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 wrapText="1"/>
    </xf>
    <xf numFmtId="164" fontId="6" fillId="0" borderId="0" xfId="0" applyNumberFormat="1" applyFont="1"/>
    <xf numFmtId="165" fontId="6" fillId="0" borderId="0" xfId="1" applyNumberFormat="1" applyFont="1"/>
    <xf numFmtId="0" fontId="20" fillId="13" borderId="79" xfId="0" applyFont="1" applyFill="1" applyBorder="1" applyAlignment="1">
      <alignment horizontal="center" vertical="center" wrapText="1"/>
    </xf>
    <xf numFmtId="0" fontId="20" fillId="13" borderId="80" xfId="0" applyFont="1" applyFill="1" applyBorder="1" applyAlignment="1">
      <alignment horizontal="center" vertical="center" wrapText="1"/>
    </xf>
    <xf numFmtId="0" fontId="20" fillId="13" borderId="22" xfId="0" applyFont="1" applyFill="1" applyBorder="1" applyAlignment="1">
      <alignment horizontal="center" vertical="center" wrapText="1"/>
    </xf>
    <xf numFmtId="0" fontId="21" fillId="0" borderId="79" xfId="0" applyFont="1" applyBorder="1" applyAlignment="1">
      <alignment wrapText="1"/>
    </xf>
    <xf numFmtId="14" fontId="21" fillId="14" borderId="79" xfId="0" applyNumberFormat="1" applyFont="1" applyFill="1" applyBorder="1" applyAlignment="1">
      <alignment wrapText="1"/>
    </xf>
    <xf numFmtId="3" fontId="21" fillId="0" borderId="79" xfId="0" applyNumberFormat="1" applyFont="1" applyBorder="1" applyAlignment="1">
      <alignment wrapText="1"/>
    </xf>
    <xf numFmtId="0" fontId="21" fillId="0" borderId="80" xfId="0" applyFont="1" applyBorder="1" applyAlignment="1">
      <alignment wrapText="1"/>
    </xf>
    <xf numFmtId="14" fontId="21" fillId="15" borderId="79" xfId="0" applyNumberFormat="1" applyFont="1" applyFill="1" applyBorder="1" applyAlignment="1">
      <alignment wrapText="1"/>
    </xf>
    <xf numFmtId="14" fontId="21" fillId="16" borderId="79" xfId="0" applyNumberFormat="1" applyFont="1" applyFill="1" applyBorder="1" applyAlignment="1">
      <alignment wrapText="1"/>
    </xf>
    <xf numFmtId="164" fontId="6" fillId="0" borderId="0" xfId="2" applyNumberFormat="1" applyFont="1"/>
    <xf numFmtId="164" fontId="0" fillId="0" borderId="35" xfId="2" applyNumberFormat="1" applyFont="1" applyBorder="1"/>
    <xf numFmtId="164" fontId="0" fillId="0" borderId="8" xfId="2" applyNumberFormat="1" applyFont="1" applyBorder="1"/>
    <xf numFmtId="0" fontId="0" fillId="0" borderId="33" xfId="0" applyBorder="1"/>
    <xf numFmtId="0" fontId="0" fillId="0" borderId="34" xfId="0" applyBorder="1"/>
    <xf numFmtId="3" fontId="0" fillId="14" borderId="24" xfId="0" applyNumberFormat="1" applyFill="1" applyBorder="1" applyAlignment="1">
      <alignment horizontal="center" vertical="center"/>
    </xf>
    <xf numFmtId="3" fontId="0" fillId="14" borderId="65" xfId="0" applyNumberFormat="1" applyFill="1" applyBorder="1" applyAlignment="1">
      <alignment horizontal="center" vertical="center"/>
    </xf>
    <xf numFmtId="3" fontId="0" fillId="14" borderId="20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3" fontId="0" fillId="15" borderId="24" xfId="0" applyNumberFormat="1" applyFill="1" applyBorder="1" applyAlignment="1">
      <alignment horizontal="center" vertical="center"/>
    </xf>
    <xf numFmtId="3" fontId="0" fillId="15" borderId="65" xfId="0" applyNumberFormat="1" applyFill="1" applyBorder="1" applyAlignment="1">
      <alignment horizontal="center" vertical="center"/>
    </xf>
    <xf numFmtId="3" fontId="0" fillId="15" borderId="20" xfId="0" applyNumberFormat="1" applyFill="1" applyBorder="1" applyAlignment="1">
      <alignment horizontal="center" vertical="center"/>
    </xf>
    <xf numFmtId="3" fontId="0" fillId="16" borderId="24" xfId="0" applyNumberFormat="1" applyFill="1" applyBorder="1" applyAlignment="1">
      <alignment horizontal="center" vertical="center"/>
    </xf>
    <xf numFmtId="3" fontId="0" fillId="16" borderId="65" xfId="0" applyNumberFormat="1" applyFill="1" applyBorder="1" applyAlignment="1">
      <alignment horizontal="center" vertical="center"/>
    </xf>
    <xf numFmtId="3" fontId="0" fillId="16" borderId="20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6" fillId="11" borderId="60" xfId="0" applyFont="1" applyFill="1" applyBorder="1" applyAlignment="1">
      <alignment horizontal="center" vertical="center"/>
    </xf>
    <xf numFmtId="0" fontId="6" fillId="11" borderId="48" xfId="0" applyFont="1" applyFill="1" applyBorder="1" applyAlignment="1">
      <alignment horizontal="center" vertical="center"/>
    </xf>
    <xf numFmtId="0" fontId="6" fillId="11" borderId="19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274320</xdr:colOff>
      <xdr:row>0</xdr:row>
      <xdr:rowOff>110490</xdr:rowOff>
    </xdr:from>
    <xdr:to>
      <xdr:col>15</xdr:col>
      <xdr:colOff>632322</xdr:colOff>
      <xdr:row>21</xdr:row>
      <xdr:rowOff>131445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5722726-25C5-CA38-30C5-9642EB9156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797"/>
        <a:stretch>
          <a:fillRect/>
        </a:stretch>
      </xdr:blipFill>
      <xdr:spPr>
        <a:xfrm>
          <a:off x="10915141503" y="110490"/>
          <a:ext cx="4425177" cy="3657600"/>
        </a:xfrm>
        <a:prstGeom prst="rect">
          <a:avLst/>
        </a:prstGeom>
      </xdr:spPr>
    </xdr:pic>
    <xdr:clientData/>
  </xdr:twoCellAnchor>
  <xdr:twoCellAnchor editAs="oneCell">
    <xdr:from>
      <xdr:col>10</xdr:col>
      <xdr:colOff>224790</xdr:colOff>
      <xdr:row>21</xdr:row>
      <xdr:rowOff>110490</xdr:rowOff>
    </xdr:from>
    <xdr:to>
      <xdr:col>16</xdr:col>
      <xdr:colOff>493012</xdr:colOff>
      <xdr:row>36</xdr:row>
      <xdr:rowOff>133350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BD2CEE2C-0615-21B1-BF3A-F69AB0612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4614063" y="3739515"/>
          <a:ext cx="5002147" cy="2632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1904</xdr:colOff>
      <xdr:row>13</xdr:row>
      <xdr:rowOff>32469</xdr:rowOff>
    </xdr:from>
    <xdr:to>
      <xdr:col>14</xdr:col>
      <xdr:colOff>167881</xdr:colOff>
      <xdr:row>29</xdr:row>
      <xdr:rowOff>17871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39EF73C3-9C47-43C5-B06B-EB42FCB53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2078766" y="2500686"/>
          <a:ext cx="5346417" cy="27759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topLeftCell="A7" zoomScale="70" zoomScaleNormal="70" workbookViewId="0">
      <selection activeCell="I27" sqref="I27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42</v>
      </c>
      <c r="B2" s="76">
        <f>'מ"ר אקו'' נחלה'!I18</f>
        <v>983.80000000000007</v>
      </c>
      <c r="K2" s="1"/>
    </row>
    <row r="3" spans="1:11" x14ac:dyDescent="0.35">
      <c r="A3" s="1" t="s">
        <v>17</v>
      </c>
      <c r="B3" s="76">
        <f>'מ"ר אקו'' נחלה'!D18</f>
        <v>1049.8</v>
      </c>
      <c r="K3" s="1"/>
    </row>
    <row r="4" spans="1:11" x14ac:dyDescent="0.35">
      <c r="A4" s="1" t="s">
        <v>87</v>
      </c>
      <c r="B4" s="76">
        <f>'מ"ר אקו'' נחלה'!D30</f>
        <v>174.006</v>
      </c>
      <c r="K4" s="1"/>
    </row>
    <row r="5" spans="1:11" x14ac:dyDescent="0.35">
      <c r="A5" s="1" t="s">
        <v>192</v>
      </c>
      <c r="B5" s="76">
        <f>'מ"ר אקו'' נחלה'!D40</f>
        <v>21</v>
      </c>
      <c r="K5" s="1"/>
    </row>
    <row r="6" spans="1:11" x14ac:dyDescent="0.35">
      <c r="A6" s="1" t="s">
        <v>3</v>
      </c>
      <c r="B6" s="1">
        <f>'מ"ר אקו'' נחלה'!D89</f>
        <v>806.25</v>
      </c>
      <c r="F6" s="7"/>
      <c r="K6" s="1"/>
    </row>
    <row r="7" spans="1:11" x14ac:dyDescent="0.35">
      <c r="A7" s="1" t="s">
        <v>53</v>
      </c>
      <c r="B7" s="1">
        <f>'מ"ר אקו'' נחלה'!D59</f>
        <v>342.3</v>
      </c>
      <c r="C7" s="1" t="s">
        <v>54</v>
      </c>
      <c r="D7" s="75">
        <f>'מ"ר אקו'' נחלה'!I52</f>
        <v>207.5</v>
      </c>
      <c r="F7" s="75"/>
      <c r="K7" s="1"/>
    </row>
    <row r="8" spans="1:11" x14ac:dyDescent="0.35">
      <c r="A8" s="1" t="s">
        <v>12</v>
      </c>
      <c r="B8" s="128">
        <f>'ניתוח איזור לעסקאות דמה'!C7</f>
        <v>10500</v>
      </c>
      <c r="C8" s="1" t="s">
        <v>80</v>
      </c>
      <c r="D8" s="5">
        <v>2500</v>
      </c>
      <c r="F8" s="75"/>
      <c r="K8" s="1"/>
    </row>
    <row r="9" spans="1:11" x14ac:dyDescent="0.35">
      <c r="A9" s="3"/>
      <c r="B9" s="5"/>
      <c r="C9" s="1" t="s">
        <v>88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63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317460.9375</v>
      </c>
      <c r="G11" s="75">
        <f>'מ"ר אקו'' נחלה'!D90*-3.75%</f>
        <v>-6562.5</v>
      </c>
      <c r="H11" s="88">
        <f>SUM(F11:G11)</f>
        <v>310898.4375</v>
      </c>
      <c r="I11" s="9"/>
      <c r="J11" s="75"/>
    </row>
    <row r="12" spans="1:11" x14ac:dyDescent="0.35">
      <c r="A12" s="82" t="s">
        <v>59</v>
      </c>
      <c r="B12" s="113">
        <f>D7</f>
        <v>207.5</v>
      </c>
      <c r="C12" s="114">
        <v>0.29249999999999998</v>
      </c>
      <c r="D12" s="82">
        <f t="shared" si="0"/>
        <v>60.693749999999994</v>
      </c>
      <c r="E12" s="82">
        <v>1</v>
      </c>
      <c r="F12" s="84">
        <f>D12*$B$8*E12</f>
        <v>637284.37499999988</v>
      </c>
      <c r="G12" s="75">
        <f>-'מ"ר אקו'' נחלה'!D60*C12</f>
        <v>-29250</v>
      </c>
      <c r="H12" s="6">
        <f>SUM(F12:G12)</f>
        <v>608034.37499999988</v>
      </c>
      <c r="J12" s="87"/>
    </row>
    <row r="13" spans="1:11" x14ac:dyDescent="0.35">
      <c r="A13" s="82" t="s">
        <v>60</v>
      </c>
      <c r="B13" s="113">
        <f>B7-B12</f>
        <v>134.80000000000001</v>
      </c>
      <c r="C13" s="114">
        <v>0.33</v>
      </c>
      <c r="D13" s="82">
        <f t="shared" si="0"/>
        <v>44.484000000000009</v>
      </c>
      <c r="E13" s="82">
        <v>1</v>
      </c>
      <c r="F13" s="84">
        <f>D13*$B$8*E13</f>
        <v>467082.00000000012</v>
      </c>
      <c r="G13" s="87">
        <f>G12*53/245</f>
        <v>-6327.5510204081629</v>
      </c>
      <c r="H13" s="6">
        <f>SUM(F13:G13)</f>
        <v>460754.44897959195</v>
      </c>
      <c r="I13" s="9"/>
      <c r="J13" s="75"/>
    </row>
    <row r="14" spans="1:11" ht="21" x14ac:dyDescent="0.4">
      <c r="A14" s="110" t="s">
        <v>61</v>
      </c>
      <c r="B14" s="111">
        <f>SUM(B12:B13)</f>
        <v>342.3</v>
      </c>
      <c r="C14" s="112"/>
      <c r="D14" s="112"/>
      <c r="E14" s="112"/>
      <c r="F14" s="112">
        <f>SUM(F12:F13)</f>
        <v>1104366.375</v>
      </c>
      <c r="G14" s="115"/>
      <c r="H14" s="89">
        <f>SUM(H12:H13)</f>
        <v>1068788.823979592</v>
      </c>
      <c r="J14" s="75"/>
    </row>
    <row r="15" spans="1:11" ht="21" x14ac:dyDescent="0.4">
      <c r="A15" s="77" t="s">
        <v>7</v>
      </c>
      <c r="B15" s="77">
        <f>'מ"ר אקו'' נחלה'!I52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925968.75</v>
      </c>
      <c r="G15" s="9"/>
      <c r="J15" s="86"/>
    </row>
    <row r="16" spans="1:11" ht="21" x14ac:dyDescent="0.4">
      <c r="A16" s="77" t="s">
        <v>5</v>
      </c>
      <c r="B16" s="81">
        <f>B3+B4-B5</f>
        <v>1202.806</v>
      </c>
      <c r="C16" s="80">
        <v>0.33</v>
      </c>
      <c r="D16" s="77">
        <f t="shared" si="0"/>
        <v>396.92598000000004</v>
      </c>
      <c r="E16" s="77">
        <v>1</v>
      </c>
      <c r="F16" s="79">
        <f>D16*$B$8*E16</f>
        <v>4167722.7900000005</v>
      </c>
      <c r="G16" s="75">
        <f>-'מ"ר אקו'' נחלה'!D19*C16</f>
        <v>-81510</v>
      </c>
      <c r="H16" s="88">
        <f>SUM(F16:G16)</f>
        <v>4086212.7900000005</v>
      </c>
      <c r="J16" s="136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6688.5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716.625</v>
      </c>
      <c r="G20" s="9"/>
      <c r="I20" s="6"/>
      <c r="J20" s="9"/>
    </row>
    <row r="21" spans="1:10" ht="21" x14ac:dyDescent="0.4">
      <c r="A21" s="1" t="s">
        <v>66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43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2866.5</v>
      </c>
    </row>
    <row r="23" spans="1:10" ht="21" x14ac:dyDescent="0.4">
      <c r="A23" s="82" t="s">
        <v>81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44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525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45</v>
      </c>
      <c r="B27" s="85"/>
      <c r="C27" s="8"/>
      <c r="D27" s="185"/>
      <c r="E27" s="185"/>
      <c r="F27" s="5"/>
      <c r="I27" s="75"/>
    </row>
    <row r="29" spans="1:10" x14ac:dyDescent="0.35">
      <c r="A29" s="2" t="s">
        <v>149</v>
      </c>
      <c r="C29" s="75"/>
    </row>
    <row r="30" spans="1:10" x14ac:dyDescent="0.35">
      <c r="A30" s="2"/>
      <c r="B30" s="2" t="s">
        <v>151</v>
      </c>
      <c r="C30" s="2" t="s">
        <v>21</v>
      </c>
      <c r="D30" s="2" t="s">
        <v>150</v>
      </c>
    </row>
    <row r="31" spans="1:10" x14ac:dyDescent="0.35">
      <c r="A31" s="1" t="s">
        <v>147</v>
      </c>
      <c r="B31" s="5">
        <f>'מ"ר אקו'' נחלה'!D59*'תחשיב לפי שווי שומה (2)'!$B$8</f>
        <v>3594150</v>
      </c>
      <c r="C31" s="190">
        <v>1</v>
      </c>
      <c r="D31" s="6">
        <f>C31*$B$8</f>
        <v>10500</v>
      </c>
    </row>
    <row r="32" spans="1:10" x14ac:dyDescent="0.35">
      <c r="A32" s="1" t="s">
        <v>146</v>
      </c>
      <c r="B32" s="6">
        <f>350*$B$8*C32</f>
        <v>551250</v>
      </c>
      <c r="C32" s="190">
        <v>0.15</v>
      </c>
      <c r="D32" s="6">
        <f>C32*$B$8</f>
        <v>1575</v>
      </c>
    </row>
    <row r="33" spans="1:6" x14ac:dyDescent="0.35">
      <c r="C33" s="75"/>
    </row>
    <row r="34" spans="1:6" x14ac:dyDescent="0.35">
      <c r="A34" s="1" t="s">
        <v>144</v>
      </c>
      <c r="B34" s="6">
        <f>B31-B32</f>
        <v>3042900</v>
      </c>
      <c r="C34" s="190">
        <f>C31-C32</f>
        <v>0.85</v>
      </c>
      <c r="D34" s="6">
        <f>C34*$B$8</f>
        <v>8925</v>
      </c>
    </row>
    <row r="35" spans="1:6" x14ac:dyDescent="0.35">
      <c r="A35" s="1" t="s">
        <v>145</v>
      </c>
      <c r="B35" s="6">
        <f>B34*50%</f>
        <v>1521450</v>
      </c>
      <c r="C35" s="190">
        <f>C34*50%</f>
        <v>0.42499999999999999</v>
      </c>
      <c r="D35" s="6">
        <f>C35*$B$8</f>
        <v>4462.5</v>
      </c>
    </row>
    <row r="37" spans="1:6" x14ac:dyDescent="0.35">
      <c r="A37" s="2" t="s">
        <v>152</v>
      </c>
      <c r="C37" s="75"/>
    </row>
    <row r="38" spans="1:6" x14ac:dyDescent="0.35">
      <c r="A38" s="2"/>
      <c r="B38" s="2" t="s">
        <v>151</v>
      </c>
      <c r="C38" s="2" t="s">
        <v>21</v>
      </c>
      <c r="D38" s="2" t="s">
        <v>150</v>
      </c>
    </row>
    <row r="39" spans="1:6" x14ac:dyDescent="0.35">
      <c r="A39" s="1" t="s">
        <v>147</v>
      </c>
      <c r="B39" s="5">
        <f>'מ"ר אקו'' נחלה'!D59*'תחשיב לפי שווי שומה (2)'!$B$8</f>
        <v>3594150</v>
      </c>
      <c r="C39" s="190">
        <v>1</v>
      </c>
      <c r="D39" s="6">
        <f>C39*$B$8</f>
        <v>10500</v>
      </c>
    </row>
    <row r="40" spans="1:6" x14ac:dyDescent="0.35">
      <c r="A40" s="1" t="s">
        <v>153</v>
      </c>
      <c r="B40" s="6">
        <f>B39*70%</f>
        <v>2515905</v>
      </c>
      <c r="C40" s="190">
        <v>0.7</v>
      </c>
      <c r="D40" s="6">
        <f>C40*$B$8</f>
        <v>7349.9999999999991</v>
      </c>
    </row>
    <row r="41" spans="1:6" x14ac:dyDescent="0.35">
      <c r="C41" s="75"/>
    </row>
    <row r="42" spans="1:6" x14ac:dyDescent="0.35">
      <c r="A42" s="1" t="s">
        <v>144</v>
      </c>
      <c r="B42" s="6">
        <f>B39-B40</f>
        <v>1078245</v>
      </c>
      <c r="C42" s="190">
        <f>C39-C40</f>
        <v>0.30000000000000004</v>
      </c>
      <c r="D42" s="6">
        <f>C42*$B$8</f>
        <v>3150.0000000000005</v>
      </c>
      <c r="F42" s="6"/>
    </row>
    <row r="43" spans="1:6" x14ac:dyDescent="0.35">
      <c r="A43" s="1" t="s">
        <v>145</v>
      </c>
      <c r="B43" s="6">
        <f>B42*50%</f>
        <v>539122.5</v>
      </c>
      <c r="C43" s="190">
        <f>C42*50%</f>
        <v>0.15000000000000002</v>
      </c>
      <c r="D43" s="6">
        <f>C43*$B$8</f>
        <v>1575.0000000000002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M23"/>
  <sheetViews>
    <sheetView rightToLeft="1" workbookViewId="0">
      <selection activeCell="H9" sqref="H9:M23"/>
    </sheetView>
  </sheetViews>
  <sheetFormatPr defaultRowHeight="13.8" x14ac:dyDescent="0.25"/>
  <cols>
    <col min="9" max="9" width="10.796875" customWidth="1"/>
    <col min="11" max="11" width="12.8984375" customWidth="1"/>
  </cols>
  <sheetData>
    <row r="8" spans="8:13" ht="14.4" thickBot="1" x14ac:dyDescent="0.3"/>
    <row r="9" spans="8:13" ht="14.4" thickBot="1" x14ac:dyDescent="0.3">
      <c r="H9" s="293" t="s">
        <v>199</v>
      </c>
      <c r="I9" s="294"/>
      <c r="J9" s="294"/>
      <c r="K9" s="294"/>
      <c r="L9" s="294"/>
      <c r="M9" s="295"/>
    </row>
    <row r="10" spans="8:13" x14ac:dyDescent="0.25">
      <c r="H10" s="306" t="s">
        <v>200</v>
      </c>
      <c r="I10" s="307"/>
      <c r="J10" s="306" t="s">
        <v>293</v>
      </c>
      <c r="K10" s="307"/>
      <c r="L10" s="310" t="s">
        <v>294</v>
      </c>
      <c r="M10" s="311"/>
    </row>
    <row r="11" spans="8:13" ht="14.4" thickBot="1" x14ac:dyDescent="0.3">
      <c r="H11" s="308"/>
      <c r="I11" s="309"/>
      <c r="J11" s="308"/>
      <c r="K11" s="309"/>
      <c r="L11" s="312"/>
      <c r="M11" s="313"/>
    </row>
    <row r="12" spans="8:13" x14ac:dyDescent="0.25">
      <c r="H12" s="302" t="s">
        <v>297</v>
      </c>
      <c r="I12" s="303"/>
      <c r="J12" s="304">
        <v>330000</v>
      </c>
      <c r="K12" s="304"/>
      <c r="L12" s="304">
        <v>330000</v>
      </c>
      <c r="M12" s="305"/>
    </row>
    <row r="13" spans="8:13" x14ac:dyDescent="0.25">
      <c r="H13" s="296"/>
      <c r="I13" s="297"/>
      <c r="J13" s="298"/>
      <c r="K13" s="298"/>
      <c r="L13" s="298"/>
      <c r="M13" s="299"/>
    </row>
    <row r="14" spans="8:13" x14ac:dyDescent="0.25">
      <c r="H14" s="296" t="s">
        <v>201</v>
      </c>
      <c r="I14" s="297"/>
      <c r="J14" s="298">
        <v>1260000</v>
      </c>
      <c r="K14" s="298"/>
      <c r="L14" s="298">
        <v>1260000</v>
      </c>
      <c r="M14" s="299"/>
    </row>
    <row r="15" spans="8:13" x14ac:dyDescent="0.25">
      <c r="H15" s="296"/>
      <c r="I15" s="297"/>
      <c r="J15" s="298"/>
      <c r="K15" s="298"/>
      <c r="L15" s="298"/>
      <c r="M15" s="299"/>
    </row>
    <row r="16" spans="8:13" x14ac:dyDescent="0.25">
      <c r="H16" s="296" t="s">
        <v>203</v>
      </c>
      <c r="I16" s="297"/>
      <c r="J16" s="300">
        <f>(J14+J12)*0.06</f>
        <v>95400</v>
      </c>
      <c r="K16" s="300"/>
      <c r="L16" s="300">
        <f>(L14+L12)*0.06</f>
        <v>95400</v>
      </c>
      <c r="M16" s="301"/>
    </row>
    <row r="17" spans="8:13" x14ac:dyDescent="0.25">
      <c r="H17" s="296"/>
      <c r="I17" s="297"/>
      <c r="J17" s="300"/>
      <c r="K17" s="300"/>
      <c r="L17" s="300"/>
      <c r="M17" s="301"/>
    </row>
    <row r="18" spans="8:13" x14ac:dyDescent="0.25">
      <c r="H18" s="296" t="s">
        <v>204</v>
      </c>
      <c r="I18" s="297"/>
      <c r="J18" s="297" t="s">
        <v>202</v>
      </c>
      <c r="K18" s="297"/>
      <c r="L18" s="300" t="s">
        <v>202</v>
      </c>
      <c r="M18" s="301"/>
    </row>
    <row r="19" spans="8:13" x14ac:dyDescent="0.25">
      <c r="H19" s="296"/>
      <c r="I19" s="297"/>
      <c r="J19" s="297"/>
      <c r="K19" s="297"/>
      <c r="L19" s="300"/>
      <c r="M19" s="301"/>
    </row>
    <row r="20" spans="8:13" x14ac:dyDescent="0.25">
      <c r="H20" s="318" t="s">
        <v>8</v>
      </c>
      <c r="I20" s="319"/>
      <c r="J20" s="320">
        <f>SUM(J12:K19)</f>
        <v>1685400</v>
      </c>
      <c r="K20" s="319"/>
      <c r="L20" s="320">
        <f>SUM(L12:M19)</f>
        <v>1685400</v>
      </c>
      <c r="M20" s="321"/>
    </row>
    <row r="21" spans="8:13" x14ac:dyDescent="0.25">
      <c r="H21" s="318"/>
      <c r="I21" s="319"/>
      <c r="J21" s="319"/>
      <c r="K21" s="319"/>
      <c r="L21" s="319"/>
      <c r="M21" s="321"/>
    </row>
    <row r="22" spans="8:13" x14ac:dyDescent="0.25">
      <c r="H22" s="296" t="s">
        <v>205</v>
      </c>
      <c r="I22" s="297"/>
      <c r="J22" s="300">
        <v>620000</v>
      </c>
      <c r="K22" s="297"/>
      <c r="L22" s="300">
        <v>620000</v>
      </c>
      <c r="M22" s="316"/>
    </row>
    <row r="23" spans="8:13" ht="14.4" thickBot="1" x14ac:dyDescent="0.3">
      <c r="H23" s="314"/>
      <c r="I23" s="315"/>
      <c r="J23" s="315"/>
      <c r="K23" s="315"/>
      <c r="L23" s="315"/>
      <c r="M23" s="317"/>
    </row>
  </sheetData>
  <mergeCells count="22">
    <mergeCell ref="H22:I23"/>
    <mergeCell ref="J22:K23"/>
    <mergeCell ref="L22:M23"/>
    <mergeCell ref="H18:I19"/>
    <mergeCell ref="J18:K19"/>
    <mergeCell ref="L18:M19"/>
    <mergeCell ref="H20:I21"/>
    <mergeCell ref="J20:K21"/>
    <mergeCell ref="L20:M21"/>
    <mergeCell ref="H9:M9"/>
    <mergeCell ref="H14:I15"/>
    <mergeCell ref="J14:K15"/>
    <mergeCell ref="L14:M15"/>
    <mergeCell ref="H16:I17"/>
    <mergeCell ref="J16:K17"/>
    <mergeCell ref="L16:M17"/>
    <mergeCell ref="H12:I13"/>
    <mergeCell ref="J12:K13"/>
    <mergeCell ref="L12:M13"/>
    <mergeCell ref="H10:I11"/>
    <mergeCell ref="J10:K11"/>
    <mergeCell ref="L10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141"/>
  <sheetViews>
    <sheetView rightToLeft="1" topLeftCell="A109" workbookViewId="0">
      <selection activeCell="G136" sqref="G136"/>
    </sheetView>
  </sheetViews>
  <sheetFormatPr defaultRowHeight="13.8" x14ac:dyDescent="0.25"/>
  <cols>
    <col min="1" max="1" width="41.5" bestFit="1" customWidth="1"/>
    <col min="2" max="2" width="12.39843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9" ht="14.4" thickBot="1" x14ac:dyDescent="0.3"/>
    <row r="2" spans="1:9" x14ac:dyDescent="0.25">
      <c r="A2" s="10" t="s">
        <v>19</v>
      </c>
      <c r="B2" s="11">
        <v>2500</v>
      </c>
      <c r="C2" s="12" t="s">
        <v>122</v>
      </c>
      <c r="D2" s="13"/>
      <c r="F2" s="10" t="s">
        <v>19</v>
      </c>
      <c r="G2" s="11">
        <v>3000</v>
      </c>
      <c r="H2" s="12"/>
      <c r="I2" s="13"/>
    </row>
    <row r="3" spans="1:9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9" x14ac:dyDescent="0.25">
      <c r="A4" s="18" t="s">
        <v>52</v>
      </c>
      <c r="B4" s="19">
        <v>405</v>
      </c>
      <c r="C4" s="20">
        <v>1</v>
      </c>
      <c r="D4" s="21">
        <f>C4*B4</f>
        <v>405</v>
      </c>
      <c r="F4" s="18" t="str">
        <f t="shared" ref="F4:H11" si="0">A4</f>
        <v>עיקרי</v>
      </c>
      <c r="G4" s="19">
        <f t="shared" si="0"/>
        <v>405</v>
      </c>
      <c r="H4" s="20">
        <f t="shared" si="0"/>
        <v>1</v>
      </c>
      <c r="I4" s="21">
        <f>H4*G4</f>
        <v>405</v>
      </c>
    </row>
    <row r="5" spans="1:9" x14ac:dyDescent="0.25">
      <c r="A5" s="18" t="s">
        <v>23</v>
      </c>
      <c r="B5" s="19">
        <v>24</v>
      </c>
      <c r="C5" s="20">
        <v>0.9</v>
      </c>
      <c r="D5" s="21">
        <f>C5*B5</f>
        <v>21.6</v>
      </c>
      <c r="F5" s="18" t="str">
        <f t="shared" si="0"/>
        <v>מרחבים מוגנים</v>
      </c>
      <c r="G5" s="19">
        <f t="shared" si="0"/>
        <v>24</v>
      </c>
      <c r="H5" s="20">
        <f t="shared" si="0"/>
        <v>0.9</v>
      </c>
      <c r="I5" s="21">
        <f>H5*G5</f>
        <v>21.6</v>
      </c>
    </row>
    <row r="6" spans="1:9" x14ac:dyDescent="0.25">
      <c r="A6" s="18" t="s">
        <v>276</v>
      </c>
      <c r="B6" s="19">
        <v>200</v>
      </c>
      <c r="C6" s="20">
        <v>0.4</v>
      </c>
      <c r="D6" s="21">
        <f>C6*B6</f>
        <v>80</v>
      </c>
      <c r="F6" s="18" t="str">
        <f t="shared" si="0"/>
        <v>מרתפים</v>
      </c>
      <c r="G6" s="19">
        <f t="shared" si="0"/>
        <v>200</v>
      </c>
      <c r="H6" s="20">
        <f t="shared" si="0"/>
        <v>0.4</v>
      </c>
      <c r="I6" s="21">
        <f>H6*G6</f>
        <v>80</v>
      </c>
    </row>
    <row r="7" spans="1:9" x14ac:dyDescent="0.25">
      <c r="A7" s="18" t="s">
        <v>236</v>
      </c>
      <c r="B7" s="19">
        <v>140</v>
      </c>
      <c r="C7" s="20">
        <v>0.7</v>
      </c>
      <c r="D7" s="21">
        <f t="shared" ref="D7:D9" si="1">C7*B7</f>
        <v>98</v>
      </c>
      <c r="F7" s="18"/>
      <c r="G7" s="19"/>
      <c r="H7" s="20"/>
      <c r="I7" s="21"/>
    </row>
    <row r="8" spans="1:9" x14ac:dyDescent="0.25">
      <c r="A8" s="18" t="s">
        <v>277</v>
      </c>
      <c r="B8" s="19">
        <v>30</v>
      </c>
      <c r="C8" s="20">
        <v>0.35</v>
      </c>
      <c r="D8" s="21">
        <f t="shared" si="1"/>
        <v>10.5</v>
      </c>
      <c r="F8" s="18"/>
      <c r="G8" s="19"/>
      <c r="H8" s="20"/>
      <c r="I8" s="21"/>
    </row>
    <row r="9" spans="1:9" x14ac:dyDescent="0.25">
      <c r="A9" s="18" t="s">
        <v>278</v>
      </c>
      <c r="B9" s="19">
        <f>45-B8</f>
        <v>15</v>
      </c>
      <c r="C9" s="20">
        <v>0.5</v>
      </c>
      <c r="D9" s="21">
        <f t="shared" si="1"/>
        <v>7.5</v>
      </c>
      <c r="F9" s="18"/>
      <c r="G9" s="19"/>
      <c r="H9" s="20"/>
      <c r="I9" s="21"/>
    </row>
    <row r="10" spans="1:9" x14ac:dyDescent="0.25">
      <c r="A10" s="18"/>
      <c r="B10" s="19"/>
      <c r="C10" s="20"/>
      <c r="D10" s="21"/>
      <c r="F10" s="18"/>
      <c r="G10" s="19"/>
      <c r="H10" s="20"/>
      <c r="I10" s="21"/>
    </row>
    <row r="11" spans="1:9" x14ac:dyDescent="0.25">
      <c r="A11" s="18"/>
      <c r="B11" s="19"/>
      <c r="C11" s="20">
        <v>0.5</v>
      </c>
      <c r="D11" s="21">
        <f>C11*B11</f>
        <v>0</v>
      </c>
      <c r="F11" s="18">
        <f t="shared" si="0"/>
        <v>0</v>
      </c>
      <c r="G11" s="19">
        <f t="shared" si="0"/>
        <v>0</v>
      </c>
      <c r="H11" s="20">
        <f t="shared" si="0"/>
        <v>0.5</v>
      </c>
      <c r="I11" s="21">
        <f>H11*G11</f>
        <v>0</v>
      </c>
    </row>
    <row r="12" spans="1:9" x14ac:dyDescent="0.25">
      <c r="A12" s="22" t="s">
        <v>24</v>
      </c>
      <c r="B12" s="23">
        <f>SUM(B4:B11)-B6</f>
        <v>614</v>
      </c>
      <c r="C12" s="24"/>
      <c r="D12" s="25"/>
      <c r="E12" s="91"/>
      <c r="F12" s="22" t="s">
        <v>24</v>
      </c>
      <c r="G12" s="23">
        <f>SUM(G4:G11)</f>
        <v>629</v>
      </c>
      <c r="H12" s="24"/>
      <c r="I12" s="25"/>
    </row>
    <row r="13" spans="1:9" x14ac:dyDescent="0.25">
      <c r="A13" s="26" t="s">
        <v>25</v>
      </c>
      <c r="B13" s="27">
        <f>B2-B12</f>
        <v>1886</v>
      </c>
      <c r="C13" s="28"/>
      <c r="D13" s="29"/>
      <c r="F13" s="26" t="s">
        <v>25</v>
      </c>
      <c r="G13" s="27">
        <f>G2-G12</f>
        <v>2371</v>
      </c>
      <c r="H13" s="28"/>
      <c r="I13" s="29"/>
    </row>
    <row r="14" spans="1:9" x14ac:dyDescent="0.25">
      <c r="A14" s="22" t="s">
        <v>26</v>
      </c>
      <c r="B14" s="23">
        <v>1000</v>
      </c>
      <c r="C14" s="24">
        <v>0.25</v>
      </c>
      <c r="D14" s="25">
        <f>C14*B14</f>
        <v>250</v>
      </c>
      <c r="F14" s="22" t="s">
        <v>26</v>
      </c>
      <c r="G14" s="23">
        <f>B14</f>
        <v>1000</v>
      </c>
      <c r="H14" s="24">
        <v>0.25</v>
      </c>
      <c r="I14" s="25">
        <f>H14*G14</f>
        <v>250</v>
      </c>
    </row>
    <row r="15" spans="1:9" x14ac:dyDescent="0.25">
      <c r="A15" s="18" t="s">
        <v>27</v>
      </c>
      <c r="B15" s="19">
        <f>B13-B14</f>
        <v>886</v>
      </c>
      <c r="C15" s="20">
        <v>0.2</v>
      </c>
      <c r="D15" s="21">
        <f>C15*B15</f>
        <v>177.20000000000002</v>
      </c>
      <c r="F15" s="18" t="s">
        <v>27</v>
      </c>
      <c r="G15" s="19">
        <f>B15</f>
        <v>886</v>
      </c>
      <c r="H15" s="20">
        <v>0.2</v>
      </c>
      <c r="I15" s="21">
        <f>H15*G15</f>
        <v>177.20000000000002</v>
      </c>
    </row>
    <row r="16" spans="1:9" x14ac:dyDescent="0.25">
      <c r="A16" s="18"/>
      <c r="B16" s="19"/>
      <c r="C16" s="20"/>
      <c r="D16" s="21"/>
      <c r="F16" s="18" t="s">
        <v>67</v>
      </c>
      <c r="G16" s="19">
        <v>500</v>
      </c>
      <c r="H16" s="20">
        <v>0.1</v>
      </c>
      <c r="I16" s="21">
        <f>G16*H16</f>
        <v>50</v>
      </c>
    </row>
    <row r="17" spans="1:10" x14ac:dyDescent="0.25">
      <c r="A17" s="30" t="s">
        <v>28</v>
      </c>
      <c r="B17" s="31">
        <f>SUM(B4:B15)</f>
        <v>5200</v>
      </c>
      <c r="C17" s="32"/>
      <c r="D17" s="33">
        <f>SUM(D4:D16)</f>
        <v>1049.8</v>
      </c>
      <c r="F17" s="30" t="s">
        <v>28</v>
      </c>
      <c r="G17" s="31">
        <f>SUM(G4:G15)</f>
        <v>5515</v>
      </c>
      <c r="H17" s="32"/>
      <c r="I17" s="33">
        <f>SUM(I4:I16)</f>
        <v>983.80000000000007</v>
      </c>
      <c r="J17" s="74"/>
    </row>
    <row r="18" spans="1:10" ht="14.4" thickBot="1" x14ac:dyDescent="0.3">
      <c r="A18" s="34" t="s">
        <v>29</v>
      </c>
      <c r="B18" s="35"/>
      <c r="C18" s="36"/>
      <c r="D18" s="37">
        <f>D17</f>
        <v>1049.8</v>
      </c>
      <c r="E18" s="72"/>
      <c r="F18" s="34" t="s">
        <v>29</v>
      </c>
      <c r="G18" s="35"/>
      <c r="H18" s="36"/>
      <c r="I18" s="37">
        <f>I17</f>
        <v>983.80000000000007</v>
      </c>
    </row>
    <row r="19" spans="1:10" x14ac:dyDescent="0.25">
      <c r="A19" t="s">
        <v>62</v>
      </c>
      <c r="D19" s="17">
        <v>247000</v>
      </c>
      <c r="F19" t="s">
        <v>62</v>
      </c>
      <c r="I19" s="17">
        <v>263000</v>
      </c>
    </row>
    <row r="20" spans="1:10" ht="14.4" thickBot="1" x14ac:dyDescent="0.3">
      <c r="D20" s="17"/>
      <c r="I20" s="17"/>
    </row>
    <row r="21" spans="1:10" x14ac:dyDescent="0.25">
      <c r="A21" s="10" t="s">
        <v>64</v>
      </c>
      <c r="B21" s="11">
        <v>350</v>
      </c>
      <c r="C21" s="12"/>
      <c r="D21" s="13"/>
      <c r="I21" s="17"/>
    </row>
    <row r="22" spans="1:10" x14ac:dyDescent="0.25">
      <c r="A22" s="14"/>
      <c r="B22" s="15" t="s">
        <v>20</v>
      </c>
      <c r="C22" s="15" t="s">
        <v>21</v>
      </c>
      <c r="D22" s="16" t="s">
        <v>22</v>
      </c>
      <c r="I22" s="17"/>
    </row>
    <row r="23" spans="1:10" x14ac:dyDescent="0.25">
      <c r="A23" s="18" t="s">
        <v>52</v>
      </c>
      <c r="B23" s="19">
        <v>180</v>
      </c>
      <c r="C23" s="20">
        <v>1</v>
      </c>
      <c r="D23" s="21">
        <f>C23*B23</f>
        <v>180</v>
      </c>
      <c r="I23" s="17"/>
    </row>
    <row r="24" spans="1:10" x14ac:dyDescent="0.25">
      <c r="A24" s="18" t="s">
        <v>279</v>
      </c>
      <c r="B24" s="19">
        <v>105</v>
      </c>
      <c r="C24" s="20">
        <v>0.5</v>
      </c>
      <c r="D24" s="21">
        <f>C24*B24</f>
        <v>52.5</v>
      </c>
      <c r="I24" s="17"/>
    </row>
    <row r="25" spans="1:10" x14ac:dyDescent="0.25">
      <c r="A25" s="18" t="s">
        <v>92</v>
      </c>
      <c r="B25" s="19">
        <v>23</v>
      </c>
      <c r="C25" s="20">
        <v>0.5</v>
      </c>
      <c r="D25" s="21">
        <f>C25*B25</f>
        <v>11.5</v>
      </c>
      <c r="I25" s="17"/>
    </row>
    <row r="26" spans="1:10" x14ac:dyDescent="0.25">
      <c r="A26" s="18" t="s">
        <v>277</v>
      </c>
      <c r="B26" s="19">
        <v>25</v>
      </c>
      <c r="C26" s="20">
        <v>0.35</v>
      </c>
      <c r="D26" s="21">
        <f>C26*B26</f>
        <v>8.75</v>
      </c>
      <c r="I26" s="17"/>
    </row>
    <row r="27" spans="1:10" x14ac:dyDescent="0.25">
      <c r="A27" s="22" t="s">
        <v>65</v>
      </c>
      <c r="B27" s="23">
        <f>-B23-B25-B26</f>
        <v>-228</v>
      </c>
      <c r="C27" s="24">
        <v>0.2</v>
      </c>
      <c r="D27" s="25">
        <f>B27*C27</f>
        <v>-45.6</v>
      </c>
      <c r="H27" t="e">
        <f>#REF!+137</f>
        <v>#REF!</v>
      </c>
      <c r="I27" s="17"/>
    </row>
    <row r="28" spans="1:10" x14ac:dyDescent="0.25">
      <c r="A28" s="18" t="s">
        <v>29</v>
      </c>
      <c r="B28" s="19"/>
      <c r="C28" s="20"/>
      <c r="D28" s="21">
        <f>SUM(D23:D27)</f>
        <v>207.15</v>
      </c>
      <c r="I28" s="17"/>
    </row>
    <row r="29" spans="1:10" x14ac:dyDescent="0.25">
      <c r="A29" s="30" t="s">
        <v>84</v>
      </c>
      <c r="B29" s="31"/>
      <c r="C29" s="32"/>
      <c r="D29" s="33">
        <v>0.84</v>
      </c>
      <c r="I29" s="17"/>
    </row>
    <row r="30" spans="1:10" ht="14.4" thickBot="1" x14ac:dyDescent="0.3">
      <c r="A30" s="34" t="s">
        <v>29</v>
      </c>
      <c r="B30" s="35"/>
      <c r="C30" s="36"/>
      <c r="D30" s="37">
        <f>D28*D29</f>
        <v>174.006</v>
      </c>
      <c r="I30" s="17"/>
    </row>
    <row r="31" spans="1:10" ht="14.4" thickBot="1" x14ac:dyDescent="0.3">
      <c r="D31" s="17"/>
      <c r="I31" s="17"/>
    </row>
    <row r="32" spans="1:10" ht="14.4" thickBot="1" x14ac:dyDescent="0.3">
      <c r="A32" s="327" t="s">
        <v>192</v>
      </c>
      <c r="B32" s="328"/>
      <c r="C32" s="328"/>
      <c r="D32" s="329"/>
      <c r="I32" s="17"/>
    </row>
    <row r="33" spans="1:25" x14ac:dyDescent="0.25">
      <c r="A33" s="212" t="s">
        <v>193</v>
      </c>
      <c r="B33" s="12"/>
      <c r="C33" s="12"/>
      <c r="D33" s="213"/>
      <c r="I33" s="17"/>
    </row>
    <row r="34" spans="1:25" x14ac:dyDescent="0.25">
      <c r="A34" s="18" t="s">
        <v>194</v>
      </c>
      <c r="D34" s="214">
        <v>160</v>
      </c>
      <c r="I34" s="17"/>
    </row>
    <row r="35" spans="1:25" ht="14.4" thickBot="1" x14ac:dyDescent="0.3">
      <c r="A35" s="100" t="s">
        <v>195</v>
      </c>
      <c r="B35" s="102"/>
      <c r="C35" s="102"/>
      <c r="D35" s="215">
        <v>0</v>
      </c>
      <c r="I35" s="17"/>
    </row>
    <row r="36" spans="1:25" x14ac:dyDescent="0.25">
      <c r="A36" s="212" t="s">
        <v>196</v>
      </c>
      <c r="B36" s="12"/>
      <c r="C36" s="12"/>
      <c r="D36" s="213">
        <v>181</v>
      </c>
      <c r="I36" s="17"/>
    </row>
    <row r="37" spans="1:25" x14ac:dyDescent="0.25">
      <c r="A37" s="18" t="s">
        <v>194</v>
      </c>
      <c r="D37" s="214">
        <v>160</v>
      </c>
      <c r="I37" s="17"/>
    </row>
    <row r="38" spans="1:25" ht="14.4" thickBot="1" x14ac:dyDescent="0.3">
      <c r="A38" s="100" t="s">
        <v>195</v>
      </c>
      <c r="B38" s="102"/>
      <c r="C38" s="102"/>
      <c r="D38" s="215">
        <f>D36-D37</f>
        <v>21</v>
      </c>
      <c r="I38" s="17"/>
    </row>
    <row r="39" spans="1:25" ht="14.4" thickBot="1" x14ac:dyDescent="0.3">
      <c r="A39" s="18"/>
      <c r="D39" s="214"/>
      <c r="I39" s="17"/>
    </row>
    <row r="40" spans="1:25" ht="14.4" thickBot="1" x14ac:dyDescent="0.3">
      <c r="A40" s="216" t="s">
        <v>197</v>
      </c>
      <c r="B40" s="217"/>
      <c r="C40" s="217"/>
      <c r="D40" s="218">
        <f>D38+D35</f>
        <v>21</v>
      </c>
      <c r="I40" s="17"/>
    </row>
    <row r="41" spans="1:25" x14ac:dyDescent="0.25">
      <c r="D41" s="17"/>
      <c r="I41" s="17"/>
    </row>
    <row r="42" spans="1:25" x14ac:dyDescent="0.25">
      <c r="D42" s="17"/>
      <c r="I42" s="17"/>
    </row>
    <row r="43" spans="1:25" x14ac:dyDescent="0.25">
      <c r="A43" t="s">
        <v>198</v>
      </c>
      <c r="D43" s="17">
        <f>D18+D30-D40</f>
        <v>1202.806</v>
      </c>
      <c r="I43" s="17"/>
    </row>
    <row r="44" spans="1:25" x14ac:dyDescent="0.25">
      <c r="D44" s="17"/>
      <c r="I44" s="17"/>
    </row>
    <row r="45" spans="1:25" x14ac:dyDescent="0.25">
      <c r="D45" s="17"/>
      <c r="I45" s="17"/>
    </row>
    <row r="46" spans="1:25" x14ac:dyDescent="0.25">
      <c r="D46" s="17"/>
      <c r="I46" s="17"/>
    </row>
    <row r="47" spans="1:25" ht="14.4" thickBot="1" x14ac:dyDescent="0.3">
      <c r="D47" s="17"/>
      <c r="I47" s="17"/>
    </row>
    <row r="48" spans="1:25" ht="14.4" thickBot="1" x14ac:dyDescent="0.3">
      <c r="A48" s="39" t="s">
        <v>298</v>
      </c>
      <c r="O48" s="219" t="s">
        <v>206</v>
      </c>
      <c r="P48" s="220" t="s">
        <v>207</v>
      </c>
      <c r="Q48" s="220" t="s">
        <v>208</v>
      </c>
      <c r="R48" s="220" t="s">
        <v>209</v>
      </c>
      <c r="S48" s="221" t="s">
        <v>210</v>
      </c>
      <c r="T48" s="219" t="s">
        <v>211</v>
      </c>
      <c r="U48" s="222" t="s">
        <v>212</v>
      </c>
      <c r="V48" s="219" t="s">
        <v>213</v>
      </c>
      <c r="W48" s="222" t="s">
        <v>214</v>
      </c>
      <c r="X48" s="219" t="s">
        <v>213</v>
      </c>
      <c r="Y48" s="222" t="s">
        <v>203</v>
      </c>
    </row>
    <row r="49" spans="1:25" x14ac:dyDescent="0.25">
      <c r="A49" s="10" t="s">
        <v>48</v>
      </c>
      <c r="B49" s="98">
        <v>350</v>
      </c>
      <c r="C49" s="12" t="s">
        <v>69</v>
      </c>
      <c r="D49" s="13"/>
      <c r="F49" s="10" t="s">
        <v>55</v>
      </c>
      <c r="G49" s="12"/>
      <c r="H49" s="12"/>
      <c r="I49" s="13"/>
      <c r="J49" t="s">
        <v>58</v>
      </c>
      <c r="O49" s="330" t="s">
        <v>215</v>
      </c>
      <c r="P49" s="223" t="s">
        <v>14</v>
      </c>
      <c r="Q49" s="223">
        <v>300</v>
      </c>
      <c r="R49" s="223">
        <v>160</v>
      </c>
      <c r="S49" s="224">
        <f>Q49-R49</f>
        <v>140</v>
      </c>
      <c r="T49" s="225">
        <v>3000</v>
      </c>
      <c r="U49" s="226">
        <f>S49*T49</f>
        <v>420000</v>
      </c>
      <c r="V49" s="225">
        <v>0</v>
      </c>
      <c r="W49" s="226">
        <f>S49*V49</f>
        <v>0</v>
      </c>
      <c r="X49" s="227">
        <v>0</v>
      </c>
      <c r="Y49" s="226">
        <v>0</v>
      </c>
    </row>
    <row r="50" spans="1:25" x14ac:dyDescent="0.25">
      <c r="A50" s="22" t="s">
        <v>49</v>
      </c>
      <c r="B50" s="40">
        <v>220</v>
      </c>
      <c r="C50" s="24">
        <v>1</v>
      </c>
      <c r="D50" s="25">
        <f t="shared" ref="D50:D54" si="2">B50*C50</f>
        <v>220</v>
      </c>
      <c r="F50" s="18" t="str">
        <f>A50</f>
        <v>מגורים עיקרי בהרחבה</v>
      </c>
      <c r="G50">
        <v>160</v>
      </c>
      <c r="H50">
        <v>1</v>
      </c>
      <c r="I50" s="21">
        <f>G50*H50</f>
        <v>160</v>
      </c>
      <c r="J50" s="17"/>
      <c r="K50" s="17"/>
      <c r="O50" s="332"/>
      <c r="P50" s="228" t="s">
        <v>15</v>
      </c>
      <c r="Q50" s="228">
        <v>197</v>
      </c>
      <c r="R50" s="228">
        <v>160</v>
      </c>
      <c r="S50" s="229">
        <f>Q50-R50</f>
        <v>37</v>
      </c>
      <c r="T50" s="230">
        <v>3000</v>
      </c>
      <c r="U50" s="231">
        <f>S50*T50</f>
        <v>111000</v>
      </c>
      <c r="V50" s="230">
        <v>0</v>
      </c>
      <c r="W50" s="231">
        <v>0</v>
      </c>
      <c r="X50" s="232">
        <v>0</v>
      </c>
      <c r="Y50" s="231">
        <v>0</v>
      </c>
    </row>
    <row r="51" spans="1:25" x14ac:dyDescent="0.25">
      <c r="A51" s="18" t="s">
        <v>230</v>
      </c>
      <c r="B51" s="19">
        <v>30</v>
      </c>
      <c r="C51" s="20">
        <v>0.5</v>
      </c>
      <c r="D51" s="21">
        <f t="shared" si="2"/>
        <v>15</v>
      </c>
      <c r="F51" s="18" t="s">
        <v>50</v>
      </c>
      <c r="G51" s="91">
        <f>B49-G50</f>
        <v>190</v>
      </c>
      <c r="H51">
        <v>0.25</v>
      </c>
      <c r="I51" s="21">
        <f>G51*H51</f>
        <v>47.5</v>
      </c>
      <c r="J51" s="17"/>
      <c r="K51" s="17"/>
      <c r="O51" s="332"/>
      <c r="P51" s="228" t="s">
        <v>216</v>
      </c>
      <c r="Q51" s="228">
        <v>130</v>
      </c>
      <c r="R51" s="228">
        <v>0</v>
      </c>
      <c r="S51" s="229">
        <f>Q51-R51</f>
        <v>130</v>
      </c>
      <c r="T51" s="230">
        <v>3000</v>
      </c>
      <c r="U51" s="231">
        <f>S51*T51</f>
        <v>390000</v>
      </c>
      <c r="V51" s="230">
        <v>0</v>
      </c>
      <c r="W51" s="231">
        <v>0</v>
      </c>
      <c r="X51" s="232">
        <v>0</v>
      </c>
      <c r="Y51" s="231">
        <v>0</v>
      </c>
    </row>
    <row r="52" spans="1:25" ht="14.4" thickBot="1" x14ac:dyDescent="0.3">
      <c r="A52" s="18" t="s">
        <v>23</v>
      </c>
      <c r="B52" s="19">
        <v>12</v>
      </c>
      <c r="C52" s="20">
        <v>0.9</v>
      </c>
      <c r="D52" s="21">
        <f t="shared" si="2"/>
        <v>10.8</v>
      </c>
      <c r="F52" s="43" t="s">
        <v>56</v>
      </c>
      <c r="G52" s="107"/>
      <c r="H52" s="107"/>
      <c r="I52" s="108">
        <f>I50+I51</f>
        <v>207.5</v>
      </c>
      <c r="J52" s="17">
        <v>12000</v>
      </c>
      <c r="K52" s="17">
        <f>I52*J52</f>
        <v>2490000</v>
      </c>
      <c r="L52" s="109">
        <v>0.29249999999999998</v>
      </c>
      <c r="M52" s="91">
        <f>K52*L52</f>
        <v>728325</v>
      </c>
      <c r="O52" s="332"/>
      <c r="P52" s="233" t="s">
        <v>217</v>
      </c>
      <c r="Q52" s="233">
        <v>55</v>
      </c>
      <c r="R52" s="233">
        <v>0</v>
      </c>
      <c r="S52" s="234">
        <f>Q52-R52</f>
        <v>55</v>
      </c>
      <c r="T52" s="235">
        <v>3000</v>
      </c>
      <c r="U52" s="236">
        <f>S52*T52</f>
        <v>165000</v>
      </c>
      <c r="V52" s="235">
        <v>0</v>
      </c>
      <c r="W52" s="236">
        <v>0</v>
      </c>
      <c r="X52" s="237">
        <v>0</v>
      </c>
      <c r="Y52" s="236">
        <v>0</v>
      </c>
    </row>
    <row r="53" spans="1:25" ht="15" thickTop="1" thickBot="1" x14ac:dyDescent="0.3">
      <c r="A53" s="18" t="s">
        <v>277</v>
      </c>
      <c r="B53" s="19">
        <v>30</v>
      </c>
      <c r="C53" s="20">
        <v>0.35</v>
      </c>
      <c r="D53" s="21">
        <f t="shared" si="2"/>
        <v>10.5</v>
      </c>
      <c r="F53" s="100" t="s">
        <v>57</v>
      </c>
      <c r="G53" s="102"/>
      <c r="H53" s="102"/>
      <c r="I53" s="103">
        <f>D59-I52</f>
        <v>134.80000000000001</v>
      </c>
      <c r="J53" s="17">
        <f>J52</f>
        <v>12000</v>
      </c>
      <c r="K53" s="17">
        <f>I53*J53</f>
        <v>1617600.0000000002</v>
      </c>
      <c r="L53" s="109">
        <v>0.33</v>
      </c>
      <c r="M53" s="91">
        <f>K53*L53</f>
        <v>533808.00000000012</v>
      </c>
      <c r="O53" s="331"/>
      <c r="P53" s="322" t="s">
        <v>8</v>
      </c>
      <c r="Q53" s="323"/>
      <c r="R53" s="324"/>
      <c r="S53" s="238">
        <f>SUM(S49:S52)</f>
        <v>362</v>
      </c>
      <c r="T53" s="239">
        <v>3000</v>
      </c>
      <c r="U53" s="240">
        <f>SUM(U49:U52)</f>
        <v>1086000</v>
      </c>
      <c r="V53" s="239">
        <v>0</v>
      </c>
      <c r="W53" s="240">
        <v>0</v>
      </c>
      <c r="X53" s="241">
        <v>0</v>
      </c>
      <c r="Y53" s="240">
        <v>0</v>
      </c>
    </row>
    <row r="54" spans="1:25" x14ac:dyDescent="0.25">
      <c r="A54" s="18" t="s">
        <v>292</v>
      </c>
      <c r="B54" s="19">
        <v>60</v>
      </c>
      <c r="C54" s="20">
        <v>0.6</v>
      </c>
      <c r="D54" s="21">
        <f t="shared" si="2"/>
        <v>36</v>
      </c>
      <c r="M54" s="91">
        <f>SUM(M52:M53)</f>
        <v>1262133</v>
      </c>
      <c r="O54" s="302" t="s">
        <v>218</v>
      </c>
      <c r="P54" s="223" t="s">
        <v>218</v>
      </c>
      <c r="Q54" s="242">
        <v>3.7499999999999999E-2</v>
      </c>
      <c r="R54" s="243"/>
      <c r="S54" s="224">
        <v>375</v>
      </c>
      <c r="T54" s="244">
        <v>240000</v>
      </c>
      <c r="U54" s="245">
        <f>T54</f>
        <v>240000</v>
      </c>
      <c r="V54" s="244">
        <v>0</v>
      </c>
      <c r="W54" s="245">
        <v>0</v>
      </c>
      <c r="X54" s="246">
        <v>0.06</v>
      </c>
      <c r="Y54" s="245">
        <f>U54*6%</f>
        <v>14400</v>
      </c>
    </row>
    <row r="55" spans="1:25" ht="14.4" thickBot="1" x14ac:dyDescent="0.3">
      <c r="A55" s="99"/>
      <c r="B55" s="71"/>
      <c r="C55" s="28"/>
      <c r="D55" s="29"/>
      <c r="O55" s="314"/>
      <c r="P55" s="247" t="s">
        <v>219</v>
      </c>
      <c r="Q55" s="247"/>
      <c r="R55" s="247"/>
      <c r="S55" s="248">
        <f>SUM(S53:S54)</f>
        <v>737</v>
      </c>
      <c r="T55" s="249"/>
      <c r="U55" s="250"/>
      <c r="V55" s="249"/>
      <c r="W55" s="250"/>
      <c r="X55" s="251"/>
      <c r="Y55" s="250">
        <v>0</v>
      </c>
    </row>
    <row r="56" spans="1:25" x14ac:dyDescent="0.25">
      <c r="A56" s="22" t="s">
        <v>24</v>
      </c>
      <c r="B56" s="23">
        <v>150</v>
      </c>
      <c r="C56" s="24"/>
      <c r="D56" s="25"/>
      <c r="O56" s="330" t="s">
        <v>163</v>
      </c>
      <c r="P56" s="223" t="s">
        <v>220</v>
      </c>
      <c r="Q56" s="252"/>
      <c r="R56" s="243"/>
      <c r="S56" s="224">
        <v>-160</v>
      </c>
      <c r="T56" s="225">
        <v>950000</v>
      </c>
      <c r="U56" s="226">
        <f>T56</f>
        <v>950000</v>
      </c>
      <c r="V56" s="225">
        <v>450000</v>
      </c>
      <c r="W56" s="226">
        <f>V56</f>
        <v>450000</v>
      </c>
      <c r="X56" s="227">
        <v>0.06</v>
      </c>
      <c r="Y56" s="226">
        <f>U56*6%</f>
        <v>57000</v>
      </c>
    </row>
    <row r="57" spans="1:25" ht="14.4" thickBot="1" x14ac:dyDescent="0.3">
      <c r="A57" s="18" t="s">
        <v>25</v>
      </c>
      <c r="B57" s="19">
        <f>B49-B56</f>
        <v>200</v>
      </c>
      <c r="C57" s="20"/>
      <c r="D57" s="21"/>
      <c r="O57" s="331"/>
      <c r="P57" s="247" t="s">
        <v>221</v>
      </c>
      <c r="Q57" s="247"/>
      <c r="R57" s="247"/>
      <c r="S57" s="248">
        <f>SUM(S55:S56)</f>
        <v>577</v>
      </c>
      <c r="T57" s="249"/>
      <c r="U57" s="250"/>
      <c r="V57" s="249"/>
      <c r="W57" s="250"/>
      <c r="X57" s="251"/>
      <c r="Y57" s="250"/>
    </row>
    <row r="58" spans="1:25" x14ac:dyDescent="0.25">
      <c r="A58" s="26" t="s">
        <v>26</v>
      </c>
      <c r="B58" s="104">
        <f>B57</f>
        <v>200</v>
      </c>
      <c r="C58" s="105">
        <v>0.25</v>
      </c>
      <c r="D58" s="106">
        <f>B58*C58</f>
        <v>50</v>
      </c>
      <c r="O58" s="330" t="s">
        <v>222</v>
      </c>
      <c r="P58" s="223" t="s">
        <v>223</v>
      </c>
      <c r="Q58" s="223"/>
      <c r="R58" s="223"/>
      <c r="S58" s="224">
        <f>-Q50-Q51-Q52</f>
        <v>-382</v>
      </c>
      <c r="T58" s="225"/>
      <c r="U58" s="226"/>
      <c r="V58" s="225"/>
      <c r="W58" s="226">
        <v>0</v>
      </c>
      <c r="X58" s="227">
        <v>0</v>
      </c>
      <c r="Y58" s="226">
        <v>0</v>
      </c>
    </row>
    <row r="59" spans="1:25" ht="14.4" thickBot="1" x14ac:dyDescent="0.3">
      <c r="A59" s="100" t="s">
        <v>28</v>
      </c>
      <c r="B59" s="101"/>
      <c r="C59" s="102"/>
      <c r="D59" s="103">
        <f>SUM(D50:D58)</f>
        <v>342.3</v>
      </c>
      <c r="F59" s="91"/>
      <c r="O59" s="331"/>
      <c r="P59" s="247" t="s">
        <v>224</v>
      </c>
      <c r="Q59" s="247"/>
      <c r="R59" s="247"/>
      <c r="S59" s="248">
        <f>SUM(S57:S58)</f>
        <v>195</v>
      </c>
      <c r="T59" s="249">
        <v>0</v>
      </c>
      <c r="U59" s="250">
        <v>0</v>
      </c>
      <c r="V59" s="249"/>
      <c r="W59" s="250">
        <v>0</v>
      </c>
      <c r="X59" s="251">
        <v>0</v>
      </c>
      <c r="Y59" s="250">
        <v>0</v>
      </c>
    </row>
    <row r="60" spans="1:25" ht="14.4" thickBot="1" x14ac:dyDescent="0.3">
      <c r="A60" s="18" t="s">
        <v>70</v>
      </c>
      <c r="B60" s="19"/>
      <c r="D60" s="91">
        <v>100000</v>
      </c>
      <c r="T60" s="216" t="s">
        <v>212</v>
      </c>
      <c r="U60" s="253">
        <f>SUM(U53:U59)</f>
        <v>2276000</v>
      </c>
      <c r="V60" s="217" t="s">
        <v>225</v>
      </c>
      <c r="W60" s="253">
        <f>SUM(W49:W59)</f>
        <v>450000</v>
      </c>
      <c r="X60" s="217" t="s">
        <v>226</v>
      </c>
      <c r="Y60" s="254">
        <f>SUM(Y53:Y59)</f>
        <v>71400</v>
      </c>
    </row>
    <row r="61" spans="1:25" x14ac:dyDescent="0.25">
      <c r="B61" s="19"/>
      <c r="D61" s="91"/>
      <c r="T61" s="68"/>
      <c r="U61" s="264"/>
      <c r="V61" s="68"/>
      <c r="W61" s="264"/>
      <c r="X61" s="68"/>
      <c r="Y61" s="264"/>
    </row>
    <row r="62" spans="1:25" x14ac:dyDescent="0.25">
      <c r="B62" s="19"/>
      <c r="D62" s="91"/>
      <c r="T62" s="68"/>
      <c r="U62" s="264"/>
      <c r="V62" s="68"/>
      <c r="W62" s="264"/>
      <c r="X62" s="68"/>
      <c r="Y62" s="264"/>
    </row>
    <row r="63" spans="1:25" ht="14.4" thickBot="1" x14ac:dyDescent="0.3">
      <c r="A63" s="39" t="s">
        <v>299</v>
      </c>
      <c r="T63" s="68"/>
      <c r="U63" s="264"/>
      <c r="V63" s="68"/>
      <c r="W63" s="264"/>
      <c r="X63" s="68"/>
      <c r="Y63" s="264"/>
    </row>
    <row r="64" spans="1:25" x14ac:dyDescent="0.25">
      <c r="A64" s="10" t="s">
        <v>48</v>
      </c>
      <c r="B64" s="98">
        <v>350</v>
      </c>
      <c r="C64" s="12" t="s">
        <v>69</v>
      </c>
      <c r="D64" s="13"/>
      <c r="F64" s="10" t="s">
        <v>55</v>
      </c>
      <c r="G64" s="12"/>
      <c r="H64" s="12"/>
      <c r="I64" s="13"/>
      <c r="J64" t="s">
        <v>58</v>
      </c>
      <c r="T64" s="68"/>
      <c r="U64" s="264"/>
      <c r="V64" s="68"/>
      <c r="W64" s="264"/>
      <c r="X64" s="68"/>
      <c r="Y64" s="264"/>
    </row>
    <row r="65" spans="1:25" x14ac:dyDescent="0.25">
      <c r="A65" s="22" t="s">
        <v>49</v>
      </c>
      <c r="B65" s="40">
        <v>160</v>
      </c>
      <c r="C65" s="24">
        <v>1</v>
      </c>
      <c r="D65" s="25">
        <f t="shared" ref="D65:D69" si="3">B65*C65</f>
        <v>160</v>
      </c>
      <c r="F65" s="18" t="str">
        <f>A65</f>
        <v>מגורים עיקרי בהרחבה</v>
      </c>
      <c r="G65">
        <v>160</v>
      </c>
      <c r="H65">
        <v>1</v>
      </c>
      <c r="I65" s="21">
        <f>G65*H65</f>
        <v>160</v>
      </c>
      <c r="J65" s="17"/>
      <c r="K65" s="17"/>
      <c r="T65" s="68"/>
      <c r="U65" s="264"/>
      <c r="V65" s="68"/>
      <c r="W65" s="264"/>
      <c r="X65" s="68"/>
      <c r="Y65" s="264"/>
    </row>
    <row r="66" spans="1:25" x14ac:dyDescent="0.25">
      <c r="A66" s="18" t="s">
        <v>230</v>
      </c>
      <c r="B66" s="19"/>
      <c r="C66" s="20">
        <v>0.5</v>
      </c>
      <c r="D66" s="21">
        <f t="shared" si="3"/>
        <v>0</v>
      </c>
      <c r="F66" s="18" t="s">
        <v>50</v>
      </c>
      <c r="G66" s="91">
        <f>B64-G65</f>
        <v>190</v>
      </c>
      <c r="H66">
        <v>0.25</v>
      </c>
      <c r="I66" s="21">
        <f>G66*H66</f>
        <v>47.5</v>
      </c>
      <c r="J66" s="17"/>
      <c r="K66" s="17"/>
      <c r="T66" s="68"/>
      <c r="U66" s="264"/>
      <c r="V66" s="68"/>
      <c r="W66" s="264"/>
      <c r="X66" s="68"/>
      <c r="Y66" s="264"/>
    </row>
    <row r="67" spans="1:25" x14ac:dyDescent="0.25">
      <c r="A67" s="18" t="s">
        <v>23</v>
      </c>
      <c r="B67" s="19"/>
      <c r="C67" s="20">
        <v>0.9</v>
      </c>
      <c r="D67" s="21">
        <f t="shared" si="3"/>
        <v>0</v>
      </c>
      <c r="F67" s="43" t="s">
        <v>56</v>
      </c>
      <c r="G67" s="107"/>
      <c r="H67" s="107"/>
      <c r="I67" s="108">
        <f>I65+I66</f>
        <v>207.5</v>
      </c>
      <c r="J67" s="17">
        <v>12000</v>
      </c>
      <c r="K67" s="17">
        <f>I67*J67</f>
        <v>2490000</v>
      </c>
      <c r="L67" s="109">
        <v>0.29249999999999998</v>
      </c>
      <c r="M67" s="91">
        <f>K67*L67</f>
        <v>728325</v>
      </c>
      <c r="T67" s="68"/>
      <c r="U67" s="264"/>
      <c r="V67" s="68"/>
      <c r="W67" s="264"/>
      <c r="X67" s="68"/>
      <c r="Y67" s="264"/>
    </row>
    <row r="68" spans="1:25" ht="14.4" thickBot="1" x14ac:dyDescent="0.3">
      <c r="A68" s="18" t="s">
        <v>277</v>
      </c>
      <c r="B68" s="19"/>
      <c r="C68" s="20">
        <v>0.35</v>
      </c>
      <c r="D68" s="21">
        <f t="shared" si="3"/>
        <v>0</v>
      </c>
      <c r="F68" s="100" t="s">
        <v>57</v>
      </c>
      <c r="G68" s="102"/>
      <c r="H68" s="102"/>
      <c r="I68" s="103">
        <f>D74-I67</f>
        <v>2.5</v>
      </c>
      <c r="J68" s="17">
        <f>J67</f>
        <v>12000</v>
      </c>
      <c r="K68" s="17">
        <f>I68*J68</f>
        <v>30000</v>
      </c>
      <c r="L68" s="109">
        <v>0.33</v>
      </c>
      <c r="M68" s="91">
        <f>K68*L68</f>
        <v>9900</v>
      </c>
      <c r="T68" s="68"/>
      <c r="U68" s="264"/>
      <c r="V68" s="68"/>
      <c r="W68" s="264"/>
      <c r="X68" s="68"/>
      <c r="Y68" s="264"/>
    </row>
    <row r="69" spans="1:25" x14ac:dyDescent="0.25">
      <c r="A69" s="18" t="s">
        <v>292</v>
      </c>
      <c r="B69" s="19"/>
      <c r="C69" s="20">
        <v>0.6</v>
      </c>
      <c r="D69" s="21">
        <f t="shared" si="3"/>
        <v>0</v>
      </c>
      <c r="M69" s="91">
        <f>SUM(M67:M68)</f>
        <v>738225</v>
      </c>
      <c r="T69" s="68"/>
      <c r="U69" s="264"/>
      <c r="V69" s="68"/>
      <c r="W69" s="264"/>
      <c r="X69" s="68"/>
      <c r="Y69" s="264"/>
    </row>
    <row r="70" spans="1:25" x14ac:dyDescent="0.25">
      <c r="A70" s="99"/>
      <c r="B70" s="71"/>
      <c r="C70" s="28"/>
      <c r="D70" s="29"/>
      <c r="T70" s="68"/>
      <c r="U70" s="264"/>
      <c r="V70" s="68"/>
      <c r="W70" s="264"/>
      <c r="X70" s="68"/>
      <c r="Y70" s="264"/>
    </row>
    <row r="71" spans="1:25" x14ac:dyDescent="0.25">
      <c r="A71" s="22" t="s">
        <v>24</v>
      </c>
      <c r="B71" s="23">
        <v>150</v>
      </c>
      <c r="C71" s="24"/>
      <c r="D71" s="25"/>
      <c r="T71" s="68"/>
      <c r="U71" s="264"/>
      <c r="V71" s="68"/>
      <c r="W71" s="264"/>
      <c r="X71" s="68"/>
      <c r="Y71" s="264"/>
    </row>
    <row r="72" spans="1:25" x14ac:dyDescent="0.25">
      <c r="A72" s="18" t="s">
        <v>25</v>
      </c>
      <c r="B72" s="19">
        <f>B64-B71</f>
        <v>200</v>
      </c>
      <c r="C72" s="20"/>
      <c r="D72" s="21"/>
      <c r="T72" s="68"/>
      <c r="U72" s="264"/>
      <c r="V72" s="68"/>
      <c r="W72" s="264"/>
      <c r="X72" s="68"/>
      <c r="Y72" s="264"/>
    </row>
    <row r="73" spans="1:25" x14ac:dyDescent="0.25">
      <c r="A73" s="26" t="s">
        <v>26</v>
      </c>
      <c r="B73" s="104">
        <f>B72</f>
        <v>200</v>
      </c>
      <c r="C73" s="105">
        <v>0.25</v>
      </c>
      <c r="D73" s="106">
        <f>B73*C73</f>
        <v>50</v>
      </c>
      <c r="T73" s="68"/>
      <c r="U73" s="264"/>
      <c r="V73" s="68"/>
      <c r="W73" s="264"/>
      <c r="X73" s="68"/>
      <c r="Y73" s="264"/>
    </row>
    <row r="74" spans="1:25" ht="14.4" thickBot="1" x14ac:dyDescent="0.3">
      <c r="A74" s="100" t="s">
        <v>28</v>
      </c>
      <c r="B74" s="101"/>
      <c r="C74" s="102"/>
      <c r="D74" s="103">
        <f>SUM(D65:D73)</f>
        <v>210</v>
      </c>
      <c r="F74" s="91"/>
      <c r="T74" s="68"/>
      <c r="U74" s="264"/>
      <c r="V74" s="68"/>
      <c r="W74" s="264"/>
      <c r="X74" s="68"/>
      <c r="Y74" s="264"/>
    </row>
    <row r="75" spans="1:25" x14ac:dyDescent="0.25">
      <c r="A75" s="18" t="s">
        <v>70</v>
      </c>
      <c r="B75" s="19"/>
      <c r="D75" s="91">
        <v>100000</v>
      </c>
      <c r="T75" s="68"/>
      <c r="U75" s="264"/>
      <c r="V75" s="68"/>
      <c r="W75" s="264"/>
      <c r="X75" s="68"/>
      <c r="Y75" s="264"/>
    </row>
    <row r="76" spans="1:25" x14ac:dyDescent="0.25">
      <c r="B76" s="19"/>
      <c r="D76" s="91"/>
      <c r="T76" s="68"/>
      <c r="U76" s="264"/>
      <c r="V76" s="68"/>
      <c r="W76" s="264"/>
      <c r="X76" s="68"/>
      <c r="Y76" s="264"/>
    </row>
    <row r="77" spans="1:25" x14ac:dyDescent="0.25">
      <c r="B77" s="19"/>
      <c r="D77" s="91"/>
      <c r="T77" s="68"/>
      <c r="U77" s="264"/>
      <c r="V77" s="68"/>
      <c r="W77" s="264"/>
      <c r="X77" s="68"/>
      <c r="Y77" s="264"/>
    </row>
    <row r="79" spans="1:25" ht="14.4" thickBot="1" x14ac:dyDescent="0.3">
      <c r="A79" t="s">
        <v>91</v>
      </c>
      <c r="B79">
        <v>2500</v>
      </c>
      <c r="F79" t="str">
        <f>A79</f>
        <v>לפי שומת הררי 2021</v>
      </c>
      <c r="G79">
        <v>3000</v>
      </c>
    </row>
    <row r="80" spans="1:25" x14ac:dyDescent="0.25">
      <c r="A80" s="10" t="s">
        <v>16</v>
      </c>
      <c r="B80" s="41" t="s">
        <v>20</v>
      </c>
      <c r="C80" s="41" t="s">
        <v>21</v>
      </c>
      <c r="D80" s="42" t="s">
        <v>22</v>
      </c>
      <c r="F80" s="10" t="s">
        <v>16</v>
      </c>
      <c r="G80" s="41" t="s">
        <v>20</v>
      </c>
      <c r="H80" s="41" t="s">
        <v>21</v>
      </c>
      <c r="I80" s="42" t="s">
        <v>22</v>
      </c>
    </row>
    <row r="81" spans="1:9" x14ac:dyDescent="0.25">
      <c r="A81" s="18" t="s">
        <v>14</v>
      </c>
      <c r="B81">
        <v>160</v>
      </c>
      <c r="C81">
        <v>1</v>
      </c>
      <c r="D81" s="21">
        <f t="shared" ref="D81:D86" si="4">C81*B81</f>
        <v>160</v>
      </c>
      <c r="F81" s="18" t="s">
        <v>14</v>
      </c>
      <c r="G81">
        <v>160</v>
      </c>
      <c r="H81">
        <v>1</v>
      </c>
      <c r="I81" s="21">
        <f>H81*G81</f>
        <v>160</v>
      </c>
    </row>
    <row r="82" spans="1:9" x14ac:dyDescent="0.25">
      <c r="A82" s="18" t="s">
        <v>15</v>
      </c>
      <c r="B82">
        <v>160</v>
      </c>
      <c r="C82">
        <v>1</v>
      </c>
      <c r="D82" s="21">
        <f t="shared" si="4"/>
        <v>160</v>
      </c>
      <c r="F82" s="18" t="s">
        <v>15</v>
      </c>
      <c r="G82">
        <v>160</v>
      </c>
      <c r="H82">
        <v>1</v>
      </c>
      <c r="I82" s="21">
        <f>H82*G82</f>
        <v>160</v>
      </c>
    </row>
    <row r="83" spans="1:9" x14ac:dyDescent="0.25">
      <c r="A83" s="18" t="s">
        <v>30</v>
      </c>
      <c r="B83">
        <v>55</v>
      </c>
      <c r="C83">
        <v>1</v>
      </c>
      <c r="D83" s="21">
        <f t="shared" si="4"/>
        <v>55</v>
      </c>
      <c r="F83" s="18" t="s">
        <v>30</v>
      </c>
      <c r="G83">
        <v>55</v>
      </c>
      <c r="H83">
        <v>1</v>
      </c>
      <c r="I83" s="21">
        <f>H83*G83</f>
        <v>55</v>
      </c>
    </row>
    <row r="84" spans="1:9" x14ac:dyDescent="0.25">
      <c r="A84" s="18" t="s">
        <v>24</v>
      </c>
      <c r="B84" s="40">
        <f>SUM(B81:B83)</f>
        <v>375</v>
      </c>
      <c r="D84" s="21"/>
      <c r="F84" s="18" t="s">
        <v>24</v>
      </c>
      <c r="G84" s="40">
        <f>SUM(G81:G83)</f>
        <v>375</v>
      </c>
      <c r="I84" s="21"/>
    </row>
    <row r="85" spans="1:9" x14ac:dyDescent="0.25">
      <c r="A85" s="18" t="s">
        <v>31</v>
      </c>
      <c r="B85">
        <v>1125</v>
      </c>
      <c r="C85" s="20">
        <v>0.25</v>
      </c>
      <c r="D85" s="21">
        <f t="shared" si="4"/>
        <v>281.25</v>
      </c>
      <c r="F85" s="18" t="s">
        <v>31</v>
      </c>
      <c r="G85">
        <v>1125</v>
      </c>
      <c r="H85" s="20">
        <v>0.25</v>
      </c>
      <c r="I85" s="21">
        <f>H85*G85</f>
        <v>281.25</v>
      </c>
    </row>
    <row r="86" spans="1:9" x14ac:dyDescent="0.25">
      <c r="A86" s="18" t="s">
        <v>51</v>
      </c>
      <c r="B86">
        <f>B79-B84-B85</f>
        <v>1000</v>
      </c>
      <c r="C86" s="20">
        <v>0.15</v>
      </c>
      <c r="D86" s="21">
        <f t="shared" si="4"/>
        <v>150</v>
      </c>
      <c r="F86" s="18" t="s">
        <v>51</v>
      </c>
      <c r="G86">
        <v>1000</v>
      </c>
      <c r="H86" s="20">
        <v>0.15</v>
      </c>
      <c r="I86" s="21">
        <f>H86*G86</f>
        <v>150</v>
      </c>
    </row>
    <row r="87" spans="1:9" x14ac:dyDescent="0.25">
      <c r="A87" s="18"/>
      <c r="C87" s="20"/>
      <c r="D87" s="21"/>
      <c r="F87" s="18" t="s">
        <v>68</v>
      </c>
      <c r="G87">
        <v>500</v>
      </c>
      <c r="H87" s="20">
        <v>0.1</v>
      </c>
      <c r="I87" s="127">
        <f>G87*H87</f>
        <v>50</v>
      </c>
    </row>
    <row r="88" spans="1:9" x14ac:dyDescent="0.25">
      <c r="A88" s="43" t="s">
        <v>28</v>
      </c>
      <c r="B88" s="40">
        <f>SUM(B81:B86)</f>
        <v>2875</v>
      </c>
      <c r="C88" s="40"/>
      <c r="D88" s="44">
        <f>SUM(D81:D86)</f>
        <v>806.25</v>
      </c>
      <c r="F88" s="43" t="s">
        <v>28</v>
      </c>
      <c r="G88" s="40">
        <f>SUM(G81:G87)</f>
        <v>3375</v>
      </c>
      <c r="H88" s="40"/>
      <c r="I88" s="44">
        <f>SUM(I81:I87)</f>
        <v>856.25</v>
      </c>
    </row>
    <row r="89" spans="1:9" ht="14.4" thickBot="1" x14ac:dyDescent="0.3">
      <c r="A89" s="34" t="s">
        <v>29</v>
      </c>
      <c r="B89" s="45"/>
      <c r="C89" s="45"/>
      <c r="D89" s="46">
        <f>D88</f>
        <v>806.25</v>
      </c>
      <c r="E89" s="72"/>
      <c r="F89" s="34" t="s">
        <v>29</v>
      </c>
      <c r="G89" s="45"/>
      <c r="H89" s="45"/>
      <c r="I89" s="46">
        <f>I88</f>
        <v>856.25</v>
      </c>
    </row>
    <row r="90" spans="1:9" x14ac:dyDescent="0.25">
      <c r="A90" t="s">
        <v>62</v>
      </c>
      <c r="D90" s="17">
        <v>175000</v>
      </c>
      <c r="F90" t="s">
        <v>62</v>
      </c>
      <c r="I90" s="17">
        <v>190000</v>
      </c>
    </row>
    <row r="98" spans="1:2" x14ac:dyDescent="0.25">
      <c r="A98" t="s">
        <v>284</v>
      </c>
    </row>
    <row r="100" spans="1:2" x14ac:dyDescent="0.25">
      <c r="A100" t="s">
        <v>285</v>
      </c>
      <c r="B100">
        <v>4500</v>
      </c>
    </row>
    <row r="101" spans="1:2" x14ac:dyDescent="0.25">
      <c r="A101" t="s">
        <v>240</v>
      </c>
      <c r="B101">
        <v>1.2</v>
      </c>
    </row>
    <row r="102" spans="1:2" x14ac:dyDescent="0.25">
      <c r="A102" t="s">
        <v>286</v>
      </c>
      <c r="B102">
        <f>B101*B100</f>
        <v>5400</v>
      </c>
    </row>
    <row r="103" spans="1:2" x14ac:dyDescent="0.25">
      <c r="A103" t="s">
        <v>287</v>
      </c>
      <c r="B103">
        <v>0.7</v>
      </c>
    </row>
    <row r="104" spans="1:2" x14ac:dyDescent="0.25">
      <c r="A104" t="s">
        <v>288</v>
      </c>
      <c r="B104">
        <f>B102*B103</f>
        <v>3779.9999999999995</v>
      </c>
    </row>
    <row r="105" spans="1:2" x14ac:dyDescent="0.25">
      <c r="A105" t="s">
        <v>145</v>
      </c>
      <c r="B105">
        <f>B104/2</f>
        <v>1889.9999999999998</v>
      </c>
    </row>
    <row r="111" spans="1:2" x14ac:dyDescent="0.25">
      <c r="A111" t="s">
        <v>289</v>
      </c>
    </row>
    <row r="112" spans="1:2" x14ac:dyDescent="0.25">
      <c r="A112" t="s">
        <v>290</v>
      </c>
      <c r="B112">
        <f>'ניתוח איזור לעסקאות דמה'!C7</f>
        <v>10500</v>
      </c>
    </row>
    <row r="113" spans="1:4" x14ac:dyDescent="0.25">
      <c r="A113" t="s">
        <v>287</v>
      </c>
      <c r="B113">
        <v>0.85</v>
      </c>
    </row>
    <row r="114" spans="1:4" x14ac:dyDescent="0.25">
      <c r="A114" t="s">
        <v>291</v>
      </c>
      <c r="B114">
        <f>B113*B112</f>
        <v>8925</v>
      </c>
    </row>
    <row r="115" spans="1:4" x14ac:dyDescent="0.25">
      <c r="A115" t="s">
        <v>289</v>
      </c>
      <c r="B115">
        <f>B114/2</f>
        <v>4462.5</v>
      </c>
    </row>
    <row r="118" spans="1:4" ht="14.4" thickBot="1" x14ac:dyDescent="0.3"/>
    <row r="119" spans="1:4" x14ac:dyDescent="0.25">
      <c r="A119" s="10" t="s">
        <v>293</v>
      </c>
      <c r="B119" s="12" t="s">
        <v>295</v>
      </c>
      <c r="C119" s="12">
        <v>350</v>
      </c>
      <c r="D119" s="13"/>
    </row>
    <row r="120" spans="1:4" x14ac:dyDescent="0.25">
      <c r="A120" s="18" t="s">
        <v>229</v>
      </c>
      <c r="B120" t="s">
        <v>295</v>
      </c>
      <c r="C120" t="s">
        <v>21</v>
      </c>
      <c r="D120" s="21" t="s">
        <v>8</v>
      </c>
    </row>
    <row r="121" spans="1:4" x14ac:dyDescent="0.25">
      <c r="A121" s="18" t="s">
        <v>52</v>
      </c>
      <c r="B121">
        <v>160</v>
      </c>
      <c r="C121">
        <v>1</v>
      </c>
      <c r="D121" s="21">
        <f>C121*B121</f>
        <v>160</v>
      </c>
    </row>
    <row r="122" spans="1:4" x14ac:dyDescent="0.25">
      <c r="A122" s="18" t="s">
        <v>50</v>
      </c>
      <c r="B122">
        <f>C119-B121</f>
        <v>190</v>
      </c>
      <c r="C122">
        <v>0.25</v>
      </c>
      <c r="D122" s="21">
        <f>C122*B122</f>
        <v>47.5</v>
      </c>
    </row>
    <row r="123" spans="1:4" x14ac:dyDescent="0.25">
      <c r="A123" s="333" t="s">
        <v>296</v>
      </c>
      <c r="B123" s="290"/>
      <c r="C123" s="290"/>
      <c r="D123" s="21">
        <f>SUM(D121:D122)</f>
        <v>207.5</v>
      </c>
    </row>
    <row r="124" spans="1:4" x14ac:dyDescent="0.25">
      <c r="A124" s="333" t="s">
        <v>287</v>
      </c>
      <c r="B124" s="290"/>
      <c r="C124" s="290"/>
      <c r="D124" s="21">
        <v>0.3</v>
      </c>
    </row>
    <row r="125" spans="1:4" x14ac:dyDescent="0.25">
      <c r="A125" s="333" t="s">
        <v>144</v>
      </c>
      <c r="B125" s="290"/>
      <c r="C125" s="290"/>
      <c r="D125" s="21">
        <f>D124*D123</f>
        <v>62.25</v>
      </c>
    </row>
    <row r="126" spans="1:4" x14ac:dyDescent="0.25">
      <c r="A126" s="333" t="s">
        <v>290</v>
      </c>
      <c r="B126" s="290"/>
      <c r="C126" s="290"/>
      <c r="D126" s="277">
        <v>12000</v>
      </c>
    </row>
    <row r="127" spans="1:4" x14ac:dyDescent="0.25">
      <c r="A127" s="333" t="s">
        <v>291</v>
      </c>
      <c r="B127" s="290"/>
      <c r="C127" s="290"/>
      <c r="D127" s="277">
        <f>D126*D125</f>
        <v>747000</v>
      </c>
    </row>
    <row r="128" spans="1:4" ht="14.4" thickBot="1" x14ac:dyDescent="0.3">
      <c r="A128" s="325" t="s">
        <v>214</v>
      </c>
      <c r="B128" s="326"/>
      <c r="C128" s="326"/>
      <c r="D128" s="276">
        <f>D127/2</f>
        <v>373500</v>
      </c>
    </row>
    <row r="130" spans="1:4" ht="14.4" thickBot="1" x14ac:dyDescent="0.3"/>
    <row r="131" spans="1:4" x14ac:dyDescent="0.25">
      <c r="A131" s="10" t="s">
        <v>300</v>
      </c>
      <c r="B131" s="12" t="s">
        <v>295</v>
      </c>
      <c r="C131" s="12">
        <v>350</v>
      </c>
      <c r="D131" s="13"/>
    </row>
    <row r="132" spans="1:4" x14ac:dyDescent="0.25">
      <c r="A132" s="18" t="s">
        <v>296</v>
      </c>
      <c r="B132" s="91">
        <f>D59</f>
        <v>342.3</v>
      </c>
      <c r="D132" s="21"/>
    </row>
    <row r="133" spans="1:4" x14ac:dyDescent="0.25">
      <c r="A133" s="18" t="s">
        <v>287</v>
      </c>
      <c r="B133">
        <v>0.3</v>
      </c>
      <c r="D133" s="21"/>
    </row>
    <row r="134" spans="1:4" x14ac:dyDescent="0.25">
      <c r="A134" s="18" t="s">
        <v>144</v>
      </c>
      <c r="B134" s="72">
        <f>B133*B132</f>
        <v>102.69</v>
      </c>
      <c r="D134" s="21"/>
    </row>
    <row r="135" spans="1:4" x14ac:dyDescent="0.25">
      <c r="A135" s="18" t="s">
        <v>290</v>
      </c>
      <c r="B135">
        <v>12000</v>
      </c>
      <c r="D135" s="21"/>
    </row>
    <row r="136" spans="1:4" x14ac:dyDescent="0.25">
      <c r="A136" s="18" t="s">
        <v>291</v>
      </c>
      <c r="B136" s="72">
        <f>B135*B134</f>
        <v>1232280</v>
      </c>
      <c r="D136" s="21"/>
    </row>
    <row r="137" spans="1:4" x14ac:dyDescent="0.25">
      <c r="A137" s="18" t="s">
        <v>214</v>
      </c>
      <c r="B137" s="91">
        <f>B136/2</f>
        <v>616140</v>
      </c>
      <c r="D137" s="21"/>
    </row>
    <row r="138" spans="1:4" x14ac:dyDescent="0.25">
      <c r="A138" s="18"/>
      <c r="D138" s="21"/>
    </row>
    <row r="139" spans="1:4" x14ac:dyDescent="0.25">
      <c r="A139" s="18"/>
      <c r="D139" s="277"/>
    </row>
    <row r="140" spans="1:4" x14ac:dyDescent="0.25">
      <c r="A140" s="18"/>
      <c r="D140" s="277"/>
    </row>
    <row r="141" spans="1:4" ht="14.4" thickBot="1" x14ac:dyDescent="0.3">
      <c r="A141" s="278"/>
      <c r="B141" s="279"/>
      <c r="C141" s="279"/>
      <c r="D141" s="276"/>
    </row>
  </sheetData>
  <mergeCells count="12">
    <mergeCell ref="P53:R53"/>
    <mergeCell ref="O54:O55"/>
    <mergeCell ref="A128:C128"/>
    <mergeCell ref="A32:D32"/>
    <mergeCell ref="O58:O59"/>
    <mergeCell ref="O56:O57"/>
    <mergeCell ref="O49:O53"/>
    <mergeCell ref="A123:C123"/>
    <mergeCell ref="A124:C124"/>
    <mergeCell ref="A125:C125"/>
    <mergeCell ref="A126:C126"/>
    <mergeCell ref="A127:C12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N49"/>
  <sheetViews>
    <sheetView rightToLeft="1" tabSelected="1" topLeftCell="A9" zoomScale="115" zoomScaleNormal="115" workbookViewId="0">
      <selection activeCell="I12" sqref="I12:N37"/>
    </sheetView>
  </sheetViews>
  <sheetFormatPr defaultRowHeight="13.8" x14ac:dyDescent="0.25"/>
  <cols>
    <col min="1" max="1" width="5.296875" customWidth="1"/>
    <col min="2" max="2" width="12.5" customWidth="1"/>
    <col min="3" max="3" width="13.3984375" bestFit="1" customWidth="1"/>
    <col min="4" max="4" width="10.296875" style="17" customWidth="1"/>
    <col min="5" max="5" width="13.3984375" style="17" bestFit="1" customWidth="1"/>
    <col min="6" max="6" width="8.2968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  <col min="11" max="11" width="12" bestFit="1" customWidth="1"/>
    <col min="12" max="12" width="11.5" bestFit="1" customWidth="1"/>
  </cols>
  <sheetData>
    <row r="2" spans="2:14" ht="15.6" x14ac:dyDescent="0.4">
      <c r="B2" s="39" t="s">
        <v>148</v>
      </c>
      <c r="C2" s="39"/>
      <c r="D2" s="130"/>
    </row>
    <row r="3" spans="2:14" x14ac:dyDescent="0.25">
      <c r="B3" t="s">
        <v>90</v>
      </c>
      <c r="C3" s="148"/>
      <c r="D3" s="148"/>
      <c r="G3" s="189"/>
      <c r="H3" s="148"/>
      <c r="I3" s="149"/>
      <c r="J3" s="149"/>
    </row>
    <row r="4" spans="2:14" x14ac:dyDescent="0.25">
      <c r="B4" t="s">
        <v>123</v>
      </c>
      <c r="C4" s="186"/>
      <c r="D4" s="38"/>
      <c r="G4" s="189"/>
      <c r="J4" s="149"/>
    </row>
    <row r="5" spans="2:14" x14ac:dyDescent="0.25">
      <c r="B5" t="s">
        <v>124</v>
      </c>
    </row>
    <row r="6" spans="2:14" x14ac:dyDescent="0.25">
      <c r="B6" t="s">
        <v>125</v>
      </c>
      <c r="C6" s="149"/>
      <c r="D6" s="148"/>
    </row>
    <row r="7" spans="2:14" x14ac:dyDescent="0.25">
      <c r="B7" t="s">
        <v>139</v>
      </c>
      <c r="C7" s="91">
        <f>K36</f>
        <v>10500</v>
      </c>
    </row>
    <row r="8" spans="2:14" x14ac:dyDescent="0.25">
      <c r="C8" s="149"/>
    </row>
    <row r="9" spans="2:14" x14ac:dyDescent="0.25">
      <c r="B9" s="39" t="s">
        <v>126</v>
      </c>
      <c r="C9" s="150"/>
    </row>
    <row r="10" spans="2:14" ht="27.6" x14ac:dyDescent="0.4">
      <c r="B10" s="39" t="s">
        <v>128</v>
      </c>
      <c r="C10" s="39" t="s">
        <v>127</v>
      </c>
      <c r="D10" s="130" t="s">
        <v>129</v>
      </c>
      <c r="E10" s="130" t="s">
        <v>130</v>
      </c>
      <c r="F10" s="130" t="s">
        <v>131</v>
      </c>
      <c r="G10" s="130" t="s">
        <v>132</v>
      </c>
      <c r="H10" s="188" t="s">
        <v>133</v>
      </c>
      <c r="I10" s="130" t="s">
        <v>134</v>
      </c>
      <c r="J10" s="130" t="s">
        <v>135</v>
      </c>
      <c r="K10" s="130" t="s">
        <v>136</v>
      </c>
      <c r="L10" s="130" t="s">
        <v>137</v>
      </c>
      <c r="M10" s="130" t="s">
        <v>138</v>
      </c>
    </row>
    <row r="11" spans="2:14" x14ac:dyDescent="0.25">
      <c r="B11" s="187"/>
    </row>
    <row r="13" spans="2:14" x14ac:dyDescent="0.25">
      <c r="C13" s="291" t="s">
        <v>249</v>
      </c>
      <c r="D13" s="291"/>
      <c r="E13" s="291"/>
      <c r="F13" s="291"/>
      <c r="J13" s="290" t="s">
        <v>280</v>
      </c>
      <c r="K13" s="290"/>
      <c r="L13" s="290"/>
      <c r="M13" s="290"/>
      <c r="N13" s="290"/>
    </row>
    <row r="14" spans="2:14" x14ac:dyDescent="0.25">
      <c r="C14" s="290" t="s">
        <v>252</v>
      </c>
      <c r="D14" s="290"/>
      <c r="E14" s="290"/>
      <c r="F14" s="290"/>
    </row>
    <row r="15" spans="2:14" x14ac:dyDescent="0.25">
      <c r="B15" s="39"/>
      <c r="C15" s="290" t="s">
        <v>250</v>
      </c>
      <c r="D15" s="290"/>
      <c r="E15" s="292" t="s">
        <v>251</v>
      </c>
      <c r="F15" s="292"/>
    </row>
    <row r="16" spans="2:14" x14ac:dyDescent="0.25">
      <c r="C16" s="148" t="s">
        <v>257</v>
      </c>
      <c r="D16" s="17">
        <v>9600</v>
      </c>
      <c r="E16" s="148" t="s">
        <v>257</v>
      </c>
      <c r="F16" s="17">
        <v>6500</v>
      </c>
    </row>
    <row r="17" spans="3:11" x14ac:dyDescent="0.25">
      <c r="C17" s="17" t="s">
        <v>253</v>
      </c>
      <c r="D17" s="38">
        <v>1.07</v>
      </c>
      <c r="E17" s="17" t="s">
        <v>253</v>
      </c>
      <c r="F17" s="17">
        <f>D17</f>
        <v>1.07</v>
      </c>
    </row>
    <row r="18" spans="3:11" x14ac:dyDescent="0.25">
      <c r="C18" t="s">
        <v>254</v>
      </c>
      <c r="D18" s="259">
        <v>1.7</v>
      </c>
      <c r="E18" t="s">
        <v>254</v>
      </c>
      <c r="F18" s="17">
        <f>D18</f>
        <v>1.7</v>
      </c>
    </row>
    <row r="19" spans="3:11" x14ac:dyDescent="0.25">
      <c r="C19" s="149" t="s">
        <v>255</v>
      </c>
      <c r="D19" s="259">
        <f>D17^D18</f>
        <v>1.1218955413950571</v>
      </c>
      <c r="E19" s="149" t="s">
        <v>255</v>
      </c>
      <c r="F19" s="17">
        <f>D19</f>
        <v>1.1218955413950571</v>
      </c>
    </row>
    <row r="20" spans="3:11" x14ac:dyDescent="0.25">
      <c r="C20" s="149" t="s">
        <v>256</v>
      </c>
      <c r="D20" s="17">
        <f>D19*D16</f>
        <v>10770.197197392548</v>
      </c>
      <c r="E20" s="149" t="s">
        <v>256</v>
      </c>
      <c r="F20" s="17">
        <f>F19*F16</f>
        <v>7292.321019067871</v>
      </c>
    </row>
    <row r="21" spans="3:11" x14ac:dyDescent="0.25">
      <c r="C21" s="149" t="s">
        <v>258</v>
      </c>
      <c r="D21" s="38">
        <v>0.85</v>
      </c>
      <c r="E21" s="149" t="s">
        <v>258</v>
      </c>
      <c r="F21" s="38">
        <v>0.85</v>
      </c>
    </row>
    <row r="22" spans="3:11" x14ac:dyDescent="0.25">
      <c r="C22" s="149" t="s">
        <v>259</v>
      </c>
      <c r="D22" s="17">
        <f>D20*D21</f>
        <v>9154.6676177836653</v>
      </c>
      <c r="E22" s="149" t="s">
        <v>259</v>
      </c>
      <c r="F22" s="17">
        <f>F20*F21</f>
        <v>6198.4728662076905</v>
      </c>
    </row>
    <row r="23" spans="3:11" x14ac:dyDescent="0.25">
      <c r="C23" s="264"/>
      <c r="D23" s="265"/>
    </row>
    <row r="31" spans="3:11" x14ac:dyDescent="0.25">
      <c r="J31" t="s">
        <v>281</v>
      </c>
      <c r="K31">
        <v>9800</v>
      </c>
    </row>
    <row r="32" spans="3:11" x14ac:dyDescent="0.25">
      <c r="J32" t="s">
        <v>282</v>
      </c>
      <c r="K32">
        <v>0.9</v>
      </c>
    </row>
    <row r="33" spans="2:13" x14ac:dyDescent="0.25">
      <c r="J33" t="s">
        <v>259</v>
      </c>
      <c r="K33">
        <f>K31*K32</f>
        <v>8820</v>
      </c>
    </row>
    <row r="34" spans="2:13" x14ac:dyDescent="0.25">
      <c r="J34" t="s">
        <v>283</v>
      </c>
      <c r="K34">
        <v>1.1399999999999999</v>
      </c>
    </row>
    <row r="35" spans="2:13" x14ac:dyDescent="0.25">
      <c r="J35" t="s">
        <v>259</v>
      </c>
      <c r="K35">
        <f>K33*K34</f>
        <v>10054.799999999999</v>
      </c>
    </row>
    <row r="36" spans="2:13" x14ac:dyDescent="0.25">
      <c r="J36" s="68" t="s">
        <v>139</v>
      </c>
      <c r="K36" s="275">
        <v>10500</v>
      </c>
    </row>
    <row r="39" spans="2:13" ht="14.4" thickBot="1" x14ac:dyDescent="0.3"/>
    <row r="40" spans="2:13" ht="40.200000000000003" thickBot="1" x14ac:dyDescent="0.3">
      <c r="B40" s="266" t="s">
        <v>260</v>
      </c>
      <c r="C40" s="266" t="s">
        <v>261</v>
      </c>
      <c r="D40" s="266" t="s">
        <v>262</v>
      </c>
      <c r="E40" s="266" t="s">
        <v>263</v>
      </c>
      <c r="F40" s="266" t="s">
        <v>229</v>
      </c>
      <c r="G40" s="266" t="s">
        <v>264</v>
      </c>
      <c r="H40" s="266" t="s">
        <v>265</v>
      </c>
      <c r="I40" s="266" t="s">
        <v>132</v>
      </c>
      <c r="J40" s="266" t="s">
        <v>266</v>
      </c>
      <c r="K40" s="267" t="s">
        <v>267</v>
      </c>
      <c r="L40" s="228" t="s">
        <v>268</v>
      </c>
      <c r="M40" s="268" t="s">
        <v>269</v>
      </c>
    </row>
    <row r="41" spans="2:13" ht="40.200000000000003" thickBot="1" x14ac:dyDescent="0.3">
      <c r="B41" s="269" t="s">
        <v>270</v>
      </c>
      <c r="C41" s="270">
        <v>45453</v>
      </c>
      <c r="D41" s="271">
        <v>675000</v>
      </c>
      <c r="E41" s="271">
        <v>3383300</v>
      </c>
      <c r="F41" s="269" t="s">
        <v>271</v>
      </c>
      <c r="G41" s="269">
        <v>0.51</v>
      </c>
      <c r="H41" s="269" t="s">
        <v>272</v>
      </c>
      <c r="I41" s="269">
        <v>0</v>
      </c>
      <c r="J41" s="269">
        <v>0</v>
      </c>
      <c r="K41" s="272">
        <v>0</v>
      </c>
      <c r="L41" s="283">
        <f>G41+G42+G43</f>
        <v>1</v>
      </c>
      <c r="M41" s="280">
        <f>E41+E42+E43</f>
        <v>8047300</v>
      </c>
    </row>
    <row r="42" spans="2:13" ht="27" thickBot="1" x14ac:dyDescent="0.3">
      <c r="B42" s="269" t="s">
        <v>270</v>
      </c>
      <c r="C42" s="270">
        <v>45453</v>
      </c>
      <c r="D42" s="271">
        <v>250000</v>
      </c>
      <c r="E42" s="271">
        <v>500000</v>
      </c>
      <c r="F42" s="269" t="s">
        <v>273</v>
      </c>
      <c r="G42" s="269">
        <v>7.0000000000000007E-2</v>
      </c>
      <c r="H42" s="269" t="s">
        <v>272</v>
      </c>
      <c r="I42" s="269">
        <v>0</v>
      </c>
      <c r="J42" s="269">
        <v>0</v>
      </c>
      <c r="K42" s="272">
        <v>0</v>
      </c>
      <c r="L42" s="283"/>
      <c r="M42" s="281"/>
    </row>
    <row r="43" spans="2:13" ht="40.200000000000003" thickBot="1" x14ac:dyDescent="0.3">
      <c r="B43" s="269" t="s">
        <v>270</v>
      </c>
      <c r="C43" s="270">
        <v>45453</v>
      </c>
      <c r="D43" s="271">
        <v>3500000</v>
      </c>
      <c r="E43" s="271">
        <v>4164000</v>
      </c>
      <c r="F43" s="269" t="s">
        <v>271</v>
      </c>
      <c r="G43" s="269">
        <v>0.42</v>
      </c>
      <c r="H43" s="269" t="s">
        <v>272</v>
      </c>
      <c r="I43" s="269">
        <v>0</v>
      </c>
      <c r="J43" s="269">
        <v>0</v>
      </c>
      <c r="K43" s="272">
        <v>0</v>
      </c>
      <c r="L43" s="283"/>
      <c r="M43" s="282"/>
    </row>
    <row r="44" spans="2:13" ht="40.200000000000003" thickBot="1" x14ac:dyDescent="0.3">
      <c r="B44" s="269" t="s">
        <v>274</v>
      </c>
      <c r="C44" s="273">
        <v>45225</v>
      </c>
      <c r="D44" s="271">
        <v>8000000</v>
      </c>
      <c r="E44" s="271">
        <v>4140000</v>
      </c>
      <c r="F44" s="269" t="s">
        <v>271</v>
      </c>
      <c r="G44" s="269">
        <v>0.52</v>
      </c>
      <c r="H44" s="269" t="s">
        <v>272</v>
      </c>
      <c r="I44" s="269">
        <v>0</v>
      </c>
      <c r="J44" s="269">
        <v>0</v>
      </c>
      <c r="K44" s="272">
        <v>0</v>
      </c>
      <c r="L44" s="283">
        <f>G44+G45+G46</f>
        <v>1</v>
      </c>
      <c r="M44" s="284">
        <f>E44+E45+E46</f>
        <v>8000000</v>
      </c>
    </row>
    <row r="45" spans="2:13" ht="40.200000000000003" thickBot="1" x14ac:dyDescent="0.3">
      <c r="B45" s="269" t="s">
        <v>274</v>
      </c>
      <c r="C45" s="273">
        <v>45225</v>
      </c>
      <c r="D45" s="271">
        <v>5000000</v>
      </c>
      <c r="E45" s="271">
        <v>3200000</v>
      </c>
      <c r="F45" s="269" t="s">
        <v>271</v>
      </c>
      <c r="G45" s="269">
        <v>0.4</v>
      </c>
      <c r="H45" s="269" t="s">
        <v>272</v>
      </c>
      <c r="I45" s="269">
        <v>0</v>
      </c>
      <c r="J45" s="269">
        <v>0</v>
      </c>
      <c r="K45" s="272">
        <v>0</v>
      </c>
      <c r="L45" s="283"/>
      <c r="M45" s="285"/>
    </row>
    <row r="46" spans="2:13" ht="40.200000000000003" thickBot="1" x14ac:dyDescent="0.3">
      <c r="B46" s="269" t="s">
        <v>274</v>
      </c>
      <c r="C46" s="273">
        <v>45225</v>
      </c>
      <c r="D46" s="271">
        <v>660000</v>
      </c>
      <c r="E46" s="271">
        <v>660000</v>
      </c>
      <c r="F46" s="269" t="s">
        <v>271</v>
      </c>
      <c r="G46" s="269">
        <v>0.08</v>
      </c>
      <c r="H46" s="269" t="s">
        <v>272</v>
      </c>
      <c r="I46" s="269">
        <v>0</v>
      </c>
      <c r="J46" s="269">
        <v>0</v>
      </c>
      <c r="K46" s="272">
        <v>0</v>
      </c>
      <c r="L46" s="283"/>
      <c r="M46" s="286"/>
    </row>
    <row r="47" spans="2:13" ht="40.200000000000003" thickBot="1" x14ac:dyDescent="0.3">
      <c r="B47" s="269" t="s">
        <v>275</v>
      </c>
      <c r="C47" s="274">
        <v>44658</v>
      </c>
      <c r="D47" s="271">
        <v>400000</v>
      </c>
      <c r="E47" s="271">
        <v>1150000</v>
      </c>
      <c r="F47" s="269" t="s">
        <v>271</v>
      </c>
      <c r="G47" s="269">
        <v>0.08</v>
      </c>
      <c r="H47" s="269" t="s">
        <v>272</v>
      </c>
      <c r="I47" s="269">
        <v>0</v>
      </c>
      <c r="J47" s="269">
        <v>0</v>
      </c>
      <c r="K47" s="272">
        <v>0</v>
      </c>
      <c r="L47" s="283">
        <f>G47+G48+G49</f>
        <v>1</v>
      </c>
      <c r="M47" s="287">
        <f>E47+E48+E49</f>
        <v>9500000</v>
      </c>
    </row>
    <row r="48" spans="2:13" ht="40.200000000000003" thickBot="1" x14ac:dyDescent="0.3">
      <c r="B48" s="269" t="s">
        <v>275</v>
      </c>
      <c r="C48" s="274">
        <v>44658</v>
      </c>
      <c r="D48" s="271">
        <v>5200000</v>
      </c>
      <c r="E48" s="271">
        <v>5000000</v>
      </c>
      <c r="F48" s="269" t="s">
        <v>271</v>
      </c>
      <c r="G48" s="269">
        <v>0.5</v>
      </c>
      <c r="H48" s="269" t="s">
        <v>272</v>
      </c>
      <c r="I48" s="269">
        <v>0</v>
      </c>
      <c r="J48" s="269">
        <v>0</v>
      </c>
      <c r="K48" s="272">
        <v>0</v>
      </c>
      <c r="L48" s="283"/>
      <c r="M48" s="288"/>
    </row>
    <row r="49" spans="2:13" ht="40.200000000000003" thickBot="1" x14ac:dyDescent="0.3">
      <c r="B49" s="269" t="s">
        <v>275</v>
      </c>
      <c r="C49" s="274">
        <v>44658</v>
      </c>
      <c r="D49" s="271">
        <v>3900000</v>
      </c>
      <c r="E49" s="271">
        <v>3350000</v>
      </c>
      <c r="F49" s="269" t="s">
        <v>271</v>
      </c>
      <c r="G49" s="269">
        <v>0.42</v>
      </c>
      <c r="H49" s="269" t="s">
        <v>272</v>
      </c>
      <c r="I49" s="269">
        <v>0</v>
      </c>
      <c r="J49" s="269">
        <v>0</v>
      </c>
      <c r="K49" s="272">
        <v>0</v>
      </c>
      <c r="L49" s="283"/>
      <c r="M49" s="289"/>
    </row>
  </sheetData>
  <mergeCells count="11">
    <mergeCell ref="J13:N13"/>
    <mergeCell ref="C13:F13"/>
    <mergeCell ref="C15:D15"/>
    <mergeCell ref="E15:F15"/>
    <mergeCell ref="C14:F14"/>
    <mergeCell ref="M41:M43"/>
    <mergeCell ref="L44:L46"/>
    <mergeCell ref="M44:M46"/>
    <mergeCell ref="L47:L49"/>
    <mergeCell ref="M47:M49"/>
    <mergeCell ref="L41:L4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D7" sqref="D7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19" t="s">
        <v>32</v>
      </c>
      <c r="B2" s="191" t="s">
        <v>154</v>
      </c>
      <c r="C2" s="119" t="s">
        <v>155</v>
      </c>
      <c r="D2" s="92" t="s">
        <v>242</v>
      </c>
      <c r="E2" s="261" t="s">
        <v>243</v>
      </c>
      <c r="F2" s="92" t="s">
        <v>244</v>
      </c>
      <c r="G2" s="262" t="s">
        <v>245</v>
      </c>
      <c r="H2" s="263" t="s">
        <v>246</v>
      </c>
      <c r="I2" s="47"/>
      <c r="J2" s="116"/>
      <c r="K2" s="116"/>
      <c r="L2" s="116"/>
      <c r="M2" s="116"/>
      <c r="N2" s="47"/>
      <c r="O2" s="47"/>
      <c r="P2" s="47"/>
      <c r="Q2" s="116"/>
      <c r="R2" s="116"/>
      <c r="S2" s="117"/>
    </row>
    <row r="3" spans="1:19" x14ac:dyDescent="0.25">
      <c r="A3" s="120" t="s">
        <v>143</v>
      </c>
      <c r="B3" s="192"/>
      <c r="C3" s="120"/>
      <c r="D3" s="93">
        <v>131</v>
      </c>
      <c r="E3" s="143">
        <v>31</v>
      </c>
      <c r="F3" s="93">
        <v>192</v>
      </c>
      <c r="G3" s="64">
        <v>30</v>
      </c>
      <c r="H3" s="64">
        <v>3560</v>
      </c>
      <c r="I3" s="64"/>
      <c r="J3" s="49"/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0" t="s">
        <v>89</v>
      </c>
      <c r="B4" s="192"/>
      <c r="C4" s="120"/>
      <c r="D4" s="93"/>
      <c r="E4" s="143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0" t="s">
        <v>71</v>
      </c>
      <c r="B5" s="192"/>
      <c r="C5" s="120"/>
      <c r="D5" s="93"/>
      <c r="E5" s="143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0" t="s">
        <v>94</v>
      </c>
      <c r="B6" s="192"/>
      <c r="C6" s="120"/>
      <c r="D6" s="260">
        <f>66+18</f>
        <v>84</v>
      </c>
      <c r="E6" s="143"/>
      <c r="F6" s="260">
        <f>15.7+19.9+7.5+15.8</f>
        <v>58.899999999999991</v>
      </c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0" t="s">
        <v>140</v>
      </c>
      <c r="B7" s="192"/>
      <c r="C7" s="120"/>
      <c r="D7" s="93"/>
      <c r="E7" s="6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0" t="s">
        <v>141</v>
      </c>
      <c r="B8" s="192"/>
      <c r="C8" s="120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0" t="s">
        <v>142</v>
      </c>
      <c r="B9" s="193"/>
      <c r="C9" s="208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1" t="s">
        <v>47</v>
      </c>
      <c r="B10" s="194"/>
      <c r="C10" s="122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2" t="s">
        <v>86</v>
      </c>
      <c r="B11" s="194"/>
      <c r="C11" s="122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3" t="s">
        <v>82</v>
      </c>
      <c r="B12" s="195"/>
      <c r="C12" s="123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199" t="s">
        <v>33</v>
      </c>
      <c r="B13" s="210"/>
      <c r="C13" s="209"/>
      <c r="D13" s="206">
        <f>SUM(D4:D12)</f>
        <v>84</v>
      </c>
      <c r="E13" s="200">
        <f>SUM(E4:E12)</f>
        <v>0</v>
      </c>
      <c r="F13" s="200">
        <f>SUM(F3:F12)</f>
        <v>250.89999999999998</v>
      </c>
      <c r="G13" s="200">
        <f>SUM(G3:G12)</f>
        <v>30</v>
      </c>
      <c r="H13" s="200">
        <f>SUM(H3:H12)</f>
        <v>3560</v>
      </c>
      <c r="I13" s="201">
        <f t="shared" ref="I13:S13" si="0">SUM(I3:I12)</f>
        <v>0</v>
      </c>
      <c r="J13" s="201">
        <f t="shared" si="0"/>
        <v>0</v>
      </c>
      <c r="K13" s="201">
        <f t="shared" si="0"/>
        <v>0</v>
      </c>
      <c r="L13" s="201">
        <f t="shared" si="0"/>
        <v>0</v>
      </c>
      <c r="M13" s="201">
        <f t="shared" si="0"/>
        <v>0</v>
      </c>
      <c r="N13" s="202">
        <f t="shared" si="0"/>
        <v>0</v>
      </c>
      <c r="O13" s="202">
        <f t="shared" si="0"/>
        <v>0</v>
      </c>
      <c r="P13" s="202">
        <f t="shared" si="0"/>
        <v>0</v>
      </c>
      <c r="Q13" s="201">
        <f t="shared" si="0"/>
        <v>0</v>
      </c>
      <c r="R13" s="201">
        <f t="shared" si="0"/>
        <v>0</v>
      </c>
      <c r="S13" s="203">
        <f t="shared" si="0"/>
        <v>0</v>
      </c>
    </row>
    <row r="14" spans="1:19" ht="28.2" thickBot="1" x14ac:dyDescent="0.3">
      <c r="A14" s="125" t="s">
        <v>34</v>
      </c>
      <c r="B14" s="191" t="s">
        <v>154</v>
      </c>
      <c r="C14" s="119" t="s">
        <v>155</v>
      </c>
      <c r="D14" s="205"/>
      <c r="E14" s="204"/>
      <c r="F14" s="205"/>
      <c r="G14" s="62"/>
      <c r="H14" s="62"/>
      <c r="I14" s="62"/>
      <c r="J14" s="62"/>
      <c r="K14" s="62"/>
      <c r="L14" s="62"/>
      <c r="M14" s="139"/>
      <c r="N14" s="62"/>
      <c r="O14" s="62"/>
      <c r="P14" s="62"/>
      <c r="Q14" s="139"/>
      <c r="R14" s="139"/>
      <c r="S14" s="63"/>
    </row>
    <row r="15" spans="1:19" x14ac:dyDescent="0.25">
      <c r="A15" s="121" t="s">
        <v>247</v>
      </c>
      <c r="B15" s="196" t="s">
        <v>156</v>
      </c>
      <c r="C15" s="121" t="s">
        <v>156</v>
      </c>
      <c r="D15" s="52">
        <v>133.5</v>
      </c>
      <c r="E15" s="144">
        <v>30</v>
      </c>
      <c r="F15" s="52">
        <f>169.17+12.5</f>
        <v>181.67</v>
      </c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1" t="s">
        <v>248</v>
      </c>
      <c r="B16" s="196"/>
      <c r="C16" s="121"/>
      <c r="D16" s="52"/>
      <c r="E16" s="51"/>
      <c r="F16" s="52"/>
      <c r="G16" s="64"/>
      <c r="H16" s="64">
        <v>3556</v>
      </c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1" t="s">
        <v>189</v>
      </c>
      <c r="B17" s="196"/>
      <c r="C17" s="121"/>
      <c r="D17" s="52"/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1" t="s">
        <v>191</v>
      </c>
      <c r="B18" s="196"/>
      <c r="C18" s="121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1" t="s">
        <v>191</v>
      </c>
      <c r="B19" s="196"/>
      <c r="C19" s="121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1" t="s">
        <v>190</v>
      </c>
      <c r="B20" s="196"/>
      <c r="C20" s="121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1"/>
      <c r="B21" s="196"/>
      <c r="C21" s="121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1"/>
      <c r="B22" s="196"/>
      <c r="C22" s="121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3"/>
      <c r="B23" s="195"/>
      <c r="C23" s="123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6" t="s">
        <v>85</v>
      </c>
      <c r="B24" s="197"/>
      <c r="C24" s="126"/>
      <c r="D24" s="207">
        <f>SUM(D17:D23)</f>
        <v>0</v>
      </c>
      <c r="E24" s="118">
        <f>SUM(E17:E23)</f>
        <v>0</v>
      </c>
      <c r="F24" s="118">
        <f t="shared" ref="F24:S24" si="1">SUM(F15:F23)</f>
        <v>181.67</v>
      </c>
      <c r="G24" s="118">
        <f t="shared" si="1"/>
        <v>0</v>
      </c>
      <c r="H24" s="118">
        <f t="shared" si="1"/>
        <v>3556</v>
      </c>
      <c r="I24" s="118">
        <f t="shared" si="1"/>
        <v>0</v>
      </c>
      <c r="J24" s="118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0">
        <f t="shared" si="1"/>
        <v>0</v>
      </c>
      <c r="R24" s="140">
        <f t="shared" si="1"/>
        <v>0</v>
      </c>
      <c r="S24" s="138">
        <f t="shared" si="1"/>
        <v>0</v>
      </c>
    </row>
    <row r="25" spans="1:19" ht="14.4" thickBot="1" x14ac:dyDescent="0.3">
      <c r="A25" s="124" t="s">
        <v>35</v>
      </c>
      <c r="B25" s="198"/>
      <c r="C25" s="124"/>
      <c r="D25" s="141">
        <f t="shared" ref="D25:S25" si="2">D13-D24</f>
        <v>84</v>
      </c>
      <c r="E25" s="137">
        <f t="shared" si="2"/>
        <v>0</v>
      </c>
      <c r="F25" s="137">
        <f t="shared" si="2"/>
        <v>69.22999999999999</v>
      </c>
      <c r="G25" s="137">
        <f t="shared" si="2"/>
        <v>30</v>
      </c>
      <c r="H25" s="137">
        <f t="shared" si="2"/>
        <v>4</v>
      </c>
      <c r="I25" s="137">
        <f t="shared" si="2"/>
        <v>0</v>
      </c>
      <c r="J25" s="137">
        <f t="shared" si="2"/>
        <v>0</v>
      </c>
      <c r="K25" s="137">
        <f t="shared" si="2"/>
        <v>0</v>
      </c>
      <c r="L25" s="137">
        <f t="shared" si="2"/>
        <v>0</v>
      </c>
      <c r="M25" s="137">
        <f t="shared" si="2"/>
        <v>0</v>
      </c>
      <c r="N25" s="137">
        <f t="shared" si="2"/>
        <v>0</v>
      </c>
      <c r="O25" s="137">
        <f t="shared" si="2"/>
        <v>0</v>
      </c>
      <c r="P25" s="137">
        <f t="shared" si="2"/>
        <v>0</v>
      </c>
      <c r="Q25" s="142">
        <f t="shared" si="2"/>
        <v>0</v>
      </c>
      <c r="R25" s="141">
        <f t="shared" si="2"/>
        <v>0</v>
      </c>
      <c r="S25" s="145">
        <f t="shared" si="2"/>
        <v>0</v>
      </c>
    </row>
    <row r="26" spans="1:19" x14ac:dyDescent="0.25">
      <c r="D26" s="134"/>
      <c r="E26" s="73"/>
      <c r="F26" s="147"/>
      <c r="H26" s="73"/>
      <c r="I26" s="73"/>
      <c r="J26" s="73"/>
      <c r="K26" s="97"/>
      <c r="L26" s="147"/>
      <c r="M26" s="73"/>
    </row>
    <row r="27" spans="1:19" x14ac:dyDescent="0.25">
      <c r="A27" t="s">
        <v>83</v>
      </c>
      <c r="D27" s="135">
        <f>D8+D7</f>
        <v>0</v>
      </c>
      <c r="F27" s="73"/>
    </row>
    <row r="28" spans="1:19" x14ac:dyDescent="0.25">
      <c r="E28" s="91">
        <f>E3*9300*5%*7</f>
        <v>100905</v>
      </c>
      <c r="F28" s="66"/>
      <c r="G28" s="91"/>
      <c r="H28" s="91"/>
      <c r="K28" s="91"/>
    </row>
    <row r="29" spans="1:19" x14ac:dyDescent="0.25">
      <c r="E29" s="38">
        <f>375-E24-F24-I24</f>
        <v>193.33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36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-84</v>
      </c>
      <c r="G32" s="72"/>
      <c r="H32" s="72"/>
      <c r="L32" s="91"/>
    </row>
    <row r="33" spans="1:10" x14ac:dyDescent="0.25">
      <c r="A33" t="s">
        <v>15</v>
      </c>
      <c r="E33" s="17">
        <f>-E13</f>
        <v>0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-84</v>
      </c>
      <c r="J35" s="72"/>
    </row>
    <row r="36" spans="1:10" x14ac:dyDescent="0.25">
      <c r="A36" t="s">
        <v>37</v>
      </c>
      <c r="E36" s="38">
        <v>375</v>
      </c>
      <c r="H36" s="91"/>
    </row>
    <row r="37" spans="1:10" x14ac:dyDescent="0.25">
      <c r="A37" s="40" t="s">
        <v>38</v>
      </c>
      <c r="B37" s="40"/>
      <c r="C37" s="40"/>
      <c r="D37" s="40"/>
      <c r="E37" s="23">
        <f>SUM(E35:E36)</f>
        <v>291</v>
      </c>
    </row>
    <row r="38" spans="1:10" x14ac:dyDescent="0.25">
      <c r="A38" t="s">
        <v>39</v>
      </c>
      <c r="E38" s="17">
        <f>-E24-F24-I24</f>
        <v>-181.67</v>
      </c>
    </row>
    <row r="39" spans="1:10" x14ac:dyDescent="0.25">
      <c r="A39" s="40" t="s">
        <v>40</v>
      </c>
      <c r="B39" s="40"/>
      <c r="C39" s="40"/>
      <c r="D39" s="40"/>
      <c r="E39" s="70">
        <f>SUM(E37:E38)</f>
        <v>109.33000000000001</v>
      </c>
    </row>
    <row r="43" spans="1:10" x14ac:dyDescent="0.25">
      <c r="A43" s="129" t="s">
        <v>72</v>
      </c>
      <c r="B43" s="129"/>
      <c r="C43" s="129"/>
    </row>
    <row r="44" spans="1:10" ht="15.6" x14ac:dyDescent="0.4">
      <c r="A44" s="39" t="s">
        <v>73</v>
      </c>
      <c r="B44" s="39"/>
      <c r="C44" s="39"/>
      <c r="D44" s="39" t="s">
        <v>75</v>
      </c>
      <c r="E44" s="130" t="s">
        <v>76</v>
      </c>
      <c r="F44" s="39" t="s">
        <v>79</v>
      </c>
      <c r="G44" s="39"/>
      <c r="H44" s="17"/>
      <c r="I44" s="17"/>
    </row>
    <row r="45" spans="1:10" x14ac:dyDescent="0.25">
      <c r="A45" t="s">
        <v>41</v>
      </c>
      <c r="F45" s="91">
        <f>E45-D45</f>
        <v>0</v>
      </c>
    </row>
    <row r="46" spans="1:10" x14ac:dyDescent="0.25">
      <c r="A46" t="s">
        <v>74</v>
      </c>
      <c r="F46" s="91">
        <f>E46-D46</f>
        <v>0</v>
      </c>
    </row>
    <row r="47" spans="1:10" x14ac:dyDescent="0.25">
      <c r="A47" s="107" t="s">
        <v>77</v>
      </c>
      <c r="B47" s="107"/>
      <c r="C47" s="107"/>
      <c r="D47" s="107">
        <f>SUM(D45:D46)</f>
        <v>0</v>
      </c>
      <c r="E47" s="70">
        <f>SUM(E45:E46)</f>
        <v>0</v>
      </c>
      <c r="F47" s="131">
        <f>E47-D47</f>
        <v>0</v>
      </c>
    </row>
    <row r="49" spans="1:10" ht="15.6" x14ac:dyDescent="0.4">
      <c r="A49" s="39" t="s">
        <v>78</v>
      </c>
      <c r="B49" s="39"/>
      <c r="C49" s="39"/>
      <c r="D49" s="39" t="s">
        <v>75</v>
      </c>
      <c r="E49" s="130" t="s">
        <v>76</v>
      </c>
      <c r="F49" s="39" t="s">
        <v>79</v>
      </c>
    </row>
    <row r="50" spans="1:10" x14ac:dyDescent="0.25">
      <c r="A50" t="s">
        <v>41</v>
      </c>
      <c r="F50" s="91">
        <f>E50-D50</f>
        <v>0</v>
      </c>
      <c r="G50" s="39"/>
      <c r="J50" s="17"/>
    </row>
    <row r="51" spans="1:10" x14ac:dyDescent="0.25">
      <c r="A51" t="s">
        <v>74</v>
      </c>
      <c r="F51" s="91">
        <f>E51-D51</f>
        <v>0</v>
      </c>
    </row>
    <row r="52" spans="1:10" x14ac:dyDescent="0.25">
      <c r="A52" s="107" t="s">
        <v>77</v>
      </c>
      <c r="B52" s="107"/>
      <c r="C52" s="107"/>
      <c r="D52" s="107">
        <f>SUM(D50:D51)</f>
        <v>0</v>
      </c>
      <c r="E52" s="70">
        <f>SUM(E50:E51)</f>
        <v>0</v>
      </c>
      <c r="F52" s="131">
        <f>E52-D52</f>
        <v>0</v>
      </c>
      <c r="J52" s="146"/>
    </row>
    <row r="54" spans="1:10" x14ac:dyDescent="0.25">
      <c r="A54" s="132" t="s">
        <v>8</v>
      </c>
      <c r="B54" s="132"/>
      <c r="C54" s="132"/>
      <c r="D54" s="132">
        <f>D52+D47</f>
        <v>0</v>
      </c>
      <c r="E54" s="132">
        <f>E52+E47</f>
        <v>0</v>
      </c>
      <c r="F54" s="133">
        <f>F52+F47</f>
        <v>0</v>
      </c>
    </row>
    <row r="58" spans="1:10" x14ac:dyDescent="0.25">
      <c r="G58" s="39"/>
      <c r="J58" s="17"/>
    </row>
    <row r="60" spans="1:10" x14ac:dyDescent="0.25">
      <c r="J60" s="14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N6"/>
  <sheetViews>
    <sheetView rightToLeft="1" topLeftCell="B1" zoomScale="175" zoomScaleNormal="175" workbookViewId="0">
      <selection activeCell="L3" sqref="L3"/>
    </sheetView>
  </sheetViews>
  <sheetFormatPr defaultRowHeight="13.8" x14ac:dyDescent="0.25"/>
  <cols>
    <col min="1" max="1" width="12.8984375" customWidth="1"/>
    <col min="2" max="2" width="11.5" bestFit="1" customWidth="1"/>
    <col min="3" max="3" width="9.8984375" bestFit="1" customWidth="1"/>
    <col min="12" max="12" width="14.8984375" bestFit="1" customWidth="1"/>
    <col min="14" max="14" width="11.69921875" bestFit="1" customWidth="1"/>
  </cols>
  <sheetData>
    <row r="2" spans="1:14" x14ac:dyDescent="0.25">
      <c r="A2" s="255" t="s">
        <v>158</v>
      </c>
      <c r="B2" s="255" t="s">
        <v>159</v>
      </c>
      <c r="C2" s="255" t="s">
        <v>128</v>
      </c>
      <c r="D2" s="255" t="s">
        <v>160</v>
      </c>
      <c r="E2" s="255" t="s">
        <v>229</v>
      </c>
      <c r="F2" s="255" t="s">
        <v>52</v>
      </c>
      <c r="G2" s="255" t="s">
        <v>230</v>
      </c>
      <c r="H2" s="255" t="s">
        <v>231</v>
      </c>
      <c r="I2" s="255" t="s">
        <v>232</v>
      </c>
      <c r="J2" s="255" t="s">
        <v>236</v>
      </c>
      <c r="K2" s="255" t="s">
        <v>237</v>
      </c>
      <c r="L2" s="39" t="s">
        <v>239</v>
      </c>
      <c r="M2" s="255" t="s">
        <v>240</v>
      </c>
      <c r="N2" s="255" t="s">
        <v>241</v>
      </c>
    </row>
    <row r="3" spans="1:14" x14ac:dyDescent="0.25">
      <c r="A3" s="256" t="s">
        <v>227</v>
      </c>
      <c r="B3" s="256" t="s">
        <v>235</v>
      </c>
      <c r="C3" s="257">
        <v>43152</v>
      </c>
      <c r="D3" s="256">
        <v>2.5</v>
      </c>
      <c r="E3" s="256" t="s">
        <v>162</v>
      </c>
      <c r="F3" s="256">
        <f>F5+55</f>
        <v>405</v>
      </c>
      <c r="G3" s="256">
        <v>45</v>
      </c>
      <c r="H3" s="256" t="s">
        <v>238</v>
      </c>
      <c r="I3" s="256" t="s">
        <v>156</v>
      </c>
      <c r="J3" s="256" t="s">
        <v>156</v>
      </c>
      <c r="K3" s="256">
        <v>25</v>
      </c>
      <c r="L3" s="148">
        <v>4500</v>
      </c>
    </row>
    <row r="4" spans="1:14" x14ac:dyDescent="0.25">
      <c r="A4" s="256" t="s">
        <v>227</v>
      </c>
      <c r="B4" s="256" t="s">
        <v>234</v>
      </c>
      <c r="C4" s="257">
        <v>38684</v>
      </c>
      <c r="D4" s="256">
        <v>500</v>
      </c>
      <c r="E4" s="256" t="s">
        <v>161</v>
      </c>
      <c r="F4" s="256"/>
      <c r="G4" s="256"/>
      <c r="H4" s="256"/>
      <c r="I4" s="256"/>
      <c r="J4" s="256"/>
      <c r="K4" s="256"/>
      <c r="L4" s="148">
        <v>460</v>
      </c>
    </row>
    <row r="5" spans="1:14" x14ac:dyDescent="0.25">
      <c r="A5" s="256" t="s">
        <v>227</v>
      </c>
      <c r="B5" s="256" t="s">
        <v>233</v>
      </c>
      <c r="C5" s="257">
        <v>30343</v>
      </c>
      <c r="D5" s="256">
        <v>2</v>
      </c>
      <c r="E5" s="256" t="s">
        <v>162</v>
      </c>
      <c r="F5" s="256">
        <v>350</v>
      </c>
      <c r="G5" s="256">
        <v>45</v>
      </c>
      <c r="H5" s="256"/>
      <c r="I5" s="256"/>
      <c r="J5" s="256"/>
      <c r="K5" s="256"/>
      <c r="L5" s="148"/>
    </row>
    <row r="6" spans="1:14" x14ac:dyDescent="0.25">
      <c r="A6" s="256" t="s">
        <v>227</v>
      </c>
      <c r="B6" s="256" t="s">
        <v>228</v>
      </c>
      <c r="C6" s="257">
        <v>15426</v>
      </c>
      <c r="D6" s="258">
        <v>1</v>
      </c>
      <c r="E6" s="256" t="s">
        <v>162</v>
      </c>
      <c r="F6" s="256">
        <v>150</v>
      </c>
      <c r="G6" s="256">
        <v>25</v>
      </c>
      <c r="H6" s="256"/>
      <c r="I6" s="256"/>
      <c r="J6" s="256"/>
      <c r="K6" s="256"/>
      <c r="L6" s="148"/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47" t="s">
        <v>112</v>
      </c>
      <c r="C2" s="348"/>
      <c r="D2" s="348"/>
      <c r="E2" s="348"/>
      <c r="F2" s="349"/>
    </row>
    <row r="3" spans="2:10" ht="14.4" thickBot="1" x14ac:dyDescent="0.3">
      <c r="B3" s="151" t="s">
        <v>46</v>
      </c>
      <c r="C3" s="350" t="s">
        <v>41</v>
      </c>
      <c r="D3" s="351"/>
      <c r="E3" s="350" t="s">
        <v>94</v>
      </c>
      <c r="F3" s="352"/>
    </row>
    <row r="4" spans="2:10" x14ac:dyDescent="0.25">
      <c r="B4" s="166" t="s">
        <v>95</v>
      </c>
      <c r="C4" s="343">
        <v>0</v>
      </c>
      <c r="D4" s="369"/>
      <c r="E4" s="343">
        <v>0</v>
      </c>
      <c r="F4" s="344"/>
    </row>
    <row r="5" spans="2:10" x14ac:dyDescent="0.25">
      <c r="B5" s="171" t="s">
        <v>96</v>
      </c>
      <c r="C5" s="343">
        <v>140000</v>
      </c>
      <c r="D5" s="369"/>
      <c r="E5" s="343">
        <f>6000*2</f>
        <v>12000</v>
      </c>
      <c r="F5" s="344"/>
    </row>
    <row r="6" spans="2:10" ht="27.6" x14ac:dyDescent="0.25">
      <c r="B6" s="171" t="s">
        <v>108</v>
      </c>
      <c r="C6" s="343">
        <f>46500*7</f>
        <v>325500</v>
      </c>
      <c r="D6" s="369"/>
      <c r="E6" s="343">
        <v>0</v>
      </c>
      <c r="F6" s="344"/>
    </row>
    <row r="7" spans="2:10" x14ac:dyDescent="0.25">
      <c r="B7" s="171" t="s">
        <v>97</v>
      </c>
      <c r="C7" s="343">
        <f>13000*7</f>
        <v>91000</v>
      </c>
      <c r="D7" s="369"/>
      <c r="E7" s="343">
        <f>4000*7</f>
        <v>28000</v>
      </c>
      <c r="F7" s="344"/>
    </row>
    <row r="8" spans="2:10" ht="14.4" thickBot="1" x14ac:dyDescent="0.3">
      <c r="B8" s="157" t="s">
        <v>98</v>
      </c>
      <c r="C8" s="343">
        <f>65000*7</f>
        <v>455000</v>
      </c>
      <c r="D8" s="369"/>
      <c r="E8" s="343">
        <v>50000</v>
      </c>
      <c r="F8" s="344"/>
      <c r="J8" t="s">
        <v>156</v>
      </c>
    </row>
    <row r="9" spans="2:10" ht="14.4" thickBot="1" x14ac:dyDescent="0.3">
      <c r="B9" s="347" t="s">
        <v>111</v>
      </c>
      <c r="C9" s="348"/>
      <c r="D9" s="348"/>
      <c r="E9" s="348"/>
      <c r="F9" s="349"/>
      <c r="J9" t="s">
        <v>157</v>
      </c>
    </row>
    <row r="10" spans="2:10" ht="16.2" thickBot="1" x14ac:dyDescent="0.3">
      <c r="B10" s="152" t="s">
        <v>106</v>
      </c>
      <c r="C10" s="153" t="s">
        <v>104</v>
      </c>
      <c r="D10" s="154" t="s">
        <v>101</v>
      </c>
      <c r="E10" s="155" t="s">
        <v>102</v>
      </c>
      <c r="F10" s="156" t="s">
        <v>103</v>
      </c>
    </row>
    <row r="11" spans="2:10" x14ac:dyDescent="0.25">
      <c r="B11" s="166" t="s">
        <v>95</v>
      </c>
      <c r="C11" s="183">
        <f>197-160</f>
        <v>37</v>
      </c>
      <c r="D11" s="178">
        <f>C11*6605</f>
        <v>244385</v>
      </c>
      <c r="E11" s="183">
        <v>35</v>
      </c>
      <c r="F11" s="179">
        <f>E11*6605/2</f>
        <v>115587.5</v>
      </c>
    </row>
    <row r="12" spans="2:10" x14ac:dyDescent="0.25">
      <c r="B12" s="171" t="s">
        <v>96</v>
      </c>
      <c r="C12" s="184">
        <v>0</v>
      </c>
      <c r="D12" s="182">
        <v>0</v>
      </c>
      <c r="E12" s="184">
        <f>147+24-160</f>
        <v>11</v>
      </c>
      <c r="F12" s="177">
        <f>E12*6605/2</f>
        <v>36327.5</v>
      </c>
    </row>
    <row r="13" spans="2:10" x14ac:dyDescent="0.25">
      <c r="B13" s="180" t="s">
        <v>99</v>
      </c>
      <c r="C13" s="345" t="s">
        <v>105</v>
      </c>
      <c r="D13" s="345"/>
      <c r="E13" s="345"/>
      <c r="F13" s="346"/>
    </row>
    <row r="14" spans="2:10" x14ac:dyDescent="0.25">
      <c r="B14" s="181" t="s">
        <v>97</v>
      </c>
      <c r="C14" s="345" t="s">
        <v>107</v>
      </c>
      <c r="D14" s="345"/>
      <c r="E14" s="345"/>
      <c r="F14" s="346"/>
    </row>
    <row r="15" spans="2:10" ht="14.4" thickBot="1" x14ac:dyDescent="0.3">
      <c r="B15" s="157" t="s">
        <v>98</v>
      </c>
      <c r="C15" s="363" t="s">
        <v>109</v>
      </c>
      <c r="D15" s="364"/>
      <c r="E15" s="364"/>
      <c r="F15" s="365"/>
    </row>
    <row r="16" spans="2:10" ht="14.4" thickBot="1" x14ac:dyDescent="0.3"/>
    <row r="17" spans="2:6" ht="14.4" thickBot="1" x14ac:dyDescent="0.3">
      <c r="B17" s="347" t="s">
        <v>93</v>
      </c>
      <c r="C17" s="348"/>
      <c r="D17" s="348"/>
      <c r="E17" s="348"/>
      <c r="F17" s="349"/>
    </row>
    <row r="18" spans="2:6" ht="14.4" thickBot="1" x14ac:dyDescent="0.3">
      <c r="B18" s="151" t="s">
        <v>100</v>
      </c>
      <c r="C18" s="350" t="s">
        <v>41</v>
      </c>
      <c r="D18" s="351"/>
      <c r="E18" s="350" t="s">
        <v>94</v>
      </c>
      <c r="F18" s="352"/>
    </row>
    <row r="19" spans="2:6" x14ac:dyDescent="0.25">
      <c r="B19" s="166" t="s">
        <v>95</v>
      </c>
      <c r="C19" s="366">
        <v>0</v>
      </c>
      <c r="D19" s="367"/>
      <c r="E19" s="366">
        <v>0</v>
      </c>
      <c r="F19" s="368"/>
    </row>
    <row r="20" spans="2:6" x14ac:dyDescent="0.25">
      <c r="B20" s="171" t="s">
        <v>96</v>
      </c>
      <c r="C20" s="355">
        <v>70000</v>
      </c>
      <c r="D20" s="356"/>
      <c r="E20" s="357">
        <f>6000*7</f>
        <v>42000</v>
      </c>
      <c r="F20" s="358"/>
    </row>
    <row r="21" spans="2:6" x14ac:dyDescent="0.25">
      <c r="B21" s="175" t="s">
        <v>99</v>
      </c>
      <c r="C21" s="355">
        <f>46500*7</f>
        <v>325500</v>
      </c>
      <c r="D21" s="356"/>
      <c r="E21" s="355">
        <v>0</v>
      </c>
      <c r="F21" s="359"/>
    </row>
    <row r="22" spans="2:6" x14ac:dyDescent="0.25">
      <c r="B22" s="171" t="s">
        <v>97</v>
      </c>
      <c r="C22" s="355">
        <f>13000*7</f>
        <v>91000</v>
      </c>
      <c r="D22" s="356"/>
      <c r="E22" s="355">
        <f>4000*7</f>
        <v>28000</v>
      </c>
      <c r="F22" s="359"/>
    </row>
    <row r="23" spans="2:6" ht="14.4" thickBot="1" x14ac:dyDescent="0.3">
      <c r="B23" s="157" t="s">
        <v>98</v>
      </c>
      <c r="C23" s="360">
        <f>65000*7</f>
        <v>455000</v>
      </c>
      <c r="D23" s="361"/>
      <c r="E23" s="360">
        <f>7000*7</f>
        <v>49000</v>
      </c>
      <c r="F23" s="362"/>
    </row>
    <row r="24" spans="2:6" ht="14.4" thickBot="1" x14ac:dyDescent="0.3">
      <c r="B24" s="162"/>
      <c r="C24" s="163"/>
      <c r="D24" s="164"/>
      <c r="E24" s="164"/>
      <c r="F24" s="165"/>
    </row>
    <row r="25" spans="2:6" ht="16.2" thickBot="1" x14ac:dyDescent="0.3">
      <c r="B25" s="152" t="s">
        <v>106</v>
      </c>
      <c r="C25" s="153" t="s">
        <v>104</v>
      </c>
      <c r="D25" s="154" t="s">
        <v>101</v>
      </c>
      <c r="E25" s="155" t="s">
        <v>102</v>
      </c>
      <c r="F25" s="156" t="s">
        <v>103</v>
      </c>
    </row>
    <row r="26" spans="2:6" x14ac:dyDescent="0.25">
      <c r="B26" s="166" t="s">
        <v>95</v>
      </c>
      <c r="C26" s="167">
        <f>197-160</f>
        <v>37</v>
      </c>
      <c r="D26" s="168">
        <f>C26*6605</f>
        <v>244385</v>
      </c>
      <c r="E26" s="169">
        <v>35</v>
      </c>
      <c r="F26" s="170">
        <f>E26*6605/2</f>
        <v>115587.5</v>
      </c>
    </row>
    <row r="27" spans="2:6" x14ac:dyDescent="0.25">
      <c r="B27" s="171" t="s">
        <v>96</v>
      </c>
      <c r="C27" s="172">
        <v>0</v>
      </c>
      <c r="D27" s="173">
        <f>C27*6605</f>
        <v>0</v>
      </c>
      <c r="E27" s="176">
        <f>147+24-160</f>
        <v>11</v>
      </c>
      <c r="F27" s="174">
        <f>E27*6605/2</f>
        <v>36327.5</v>
      </c>
    </row>
    <row r="28" spans="2:6" x14ac:dyDescent="0.25">
      <c r="B28" s="175" t="s">
        <v>99</v>
      </c>
      <c r="C28" s="353" t="s">
        <v>105</v>
      </c>
      <c r="D28" s="353"/>
      <c r="E28" s="353"/>
      <c r="F28" s="354"/>
    </row>
    <row r="29" spans="2:6" x14ac:dyDescent="0.25">
      <c r="B29" s="171" t="s">
        <v>97</v>
      </c>
      <c r="C29" s="172">
        <v>0</v>
      </c>
      <c r="D29" s="173">
        <v>0</v>
      </c>
      <c r="E29" s="172">
        <v>0</v>
      </c>
      <c r="F29" s="174">
        <v>0</v>
      </c>
    </row>
    <row r="30" spans="2:6" ht="14.4" thickBot="1" x14ac:dyDescent="0.3">
      <c r="B30" s="157" t="s">
        <v>98</v>
      </c>
      <c r="C30" s="158">
        <v>0</v>
      </c>
      <c r="D30" s="159">
        <v>0</v>
      </c>
      <c r="E30" s="160">
        <f>139+31-160</f>
        <v>10</v>
      </c>
      <c r="F30" s="161">
        <f>E30*6605/2</f>
        <v>33025</v>
      </c>
    </row>
    <row r="34" spans="2:6" ht="14.4" thickBot="1" x14ac:dyDescent="0.3"/>
    <row r="35" spans="2:6" ht="14.4" thickBot="1" x14ac:dyDescent="0.3">
      <c r="B35" s="347" t="s">
        <v>110</v>
      </c>
      <c r="C35" s="348"/>
      <c r="D35" s="348"/>
      <c r="E35" s="348"/>
      <c r="F35" s="349"/>
    </row>
    <row r="36" spans="2:6" ht="14.4" thickBot="1" x14ac:dyDescent="0.3">
      <c r="B36" s="151" t="s">
        <v>113</v>
      </c>
      <c r="C36" s="350" t="s">
        <v>41</v>
      </c>
      <c r="D36" s="351"/>
      <c r="E36" s="350" t="s">
        <v>94</v>
      </c>
      <c r="F36" s="352"/>
    </row>
    <row r="37" spans="2:6" x14ac:dyDescent="0.25">
      <c r="B37" s="166" t="s">
        <v>114</v>
      </c>
      <c r="C37" s="334" t="s">
        <v>117</v>
      </c>
      <c r="D37" s="335"/>
      <c r="E37" s="335"/>
      <c r="F37" s="336"/>
    </row>
    <row r="38" spans="2:6" x14ac:dyDescent="0.25">
      <c r="B38" s="171" t="s">
        <v>115</v>
      </c>
      <c r="C38" s="337" t="s">
        <v>116</v>
      </c>
      <c r="D38" s="338"/>
      <c r="E38" s="338"/>
      <c r="F38" s="339"/>
    </row>
    <row r="39" spans="2:6" x14ac:dyDescent="0.25">
      <c r="B39" s="171" t="s">
        <v>118</v>
      </c>
      <c r="C39" s="337" t="s">
        <v>119</v>
      </c>
      <c r="D39" s="338"/>
      <c r="E39" s="338"/>
      <c r="F39" s="339"/>
    </row>
    <row r="40" spans="2:6" ht="14.4" thickBot="1" x14ac:dyDescent="0.3">
      <c r="B40" s="157" t="s">
        <v>120</v>
      </c>
      <c r="C40" s="340" t="s">
        <v>121</v>
      </c>
      <c r="D40" s="341"/>
      <c r="E40" s="341"/>
      <c r="F40" s="342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164</v>
      </c>
      <c r="B2" t="s">
        <v>165</v>
      </c>
    </row>
    <row r="3" spans="1:14" x14ac:dyDescent="0.25">
      <c r="B3" t="s">
        <v>41</v>
      </c>
    </row>
    <row r="7" spans="1:14" x14ac:dyDescent="0.25">
      <c r="N7" t="s">
        <v>166</v>
      </c>
    </row>
    <row r="8" spans="1:14" x14ac:dyDescent="0.25">
      <c r="A8" t="s">
        <v>167</v>
      </c>
      <c r="N8" t="s">
        <v>168</v>
      </c>
    </row>
    <row r="9" spans="1:14" x14ac:dyDescent="0.25">
      <c r="A9" t="s">
        <v>169</v>
      </c>
      <c r="D9" s="211" t="s">
        <v>170</v>
      </c>
      <c r="E9" s="211"/>
      <c r="N9" t="s">
        <v>171</v>
      </c>
    </row>
    <row r="10" spans="1:14" x14ac:dyDescent="0.25">
      <c r="N10" t="s">
        <v>172</v>
      </c>
    </row>
    <row r="15" spans="1:14" x14ac:dyDescent="0.25">
      <c r="A15" t="s">
        <v>173</v>
      </c>
      <c r="B15" t="s">
        <v>174</v>
      </c>
    </row>
    <row r="19" spans="1:12" x14ac:dyDescent="0.25">
      <c r="A19" s="39" t="s">
        <v>175</v>
      </c>
      <c r="B19" s="39" t="s">
        <v>166</v>
      </c>
      <c r="C19" s="39" t="s">
        <v>75</v>
      </c>
      <c r="D19" s="39" t="s">
        <v>176</v>
      </c>
      <c r="E19" s="39" t="s">
        <v>177</v>
      </c>
      <c r="F19" s="39" t="s">
        <v>178</v>
      </c>
      <c r="G19" s="39" t="s">
        <v>21</v>
      </c>
      <c r="H19" s="39" t="s">
        <v>179</v>
      </c>
      <c r="I19" s="39" t="s">
        <v>180</v>
      </c>
      <c r="J19" s="39" t="s">
        <v>181</v>
      </c>
      <c r="K19" s="39" t="s">
        <v>182</v>
      </c>
      <c r="L19" s="39" t="s">
        <v>183</v>
      </c>
    </row>
    <row r="20" spans="1:12" x14ac:dyDescent="0.25">
      <c r="A20" t="s">
        <v>184</v>
      </c>
      <c r="H20" s="148">
        <f>'תחשיב לפי שווי שומה (2)'!B8</f>
        <v>10500</v>
      </c>
      <c r="I20" s="189">
        <v>0</v>
      </c>
      <c r="J20" s="149">
        <f>D20*G20*H20*I20</f>
        <v>0</v>
      </c>
      <c r="K20" s="189">
        <v>0.51</v>
      </c>
      <c r="L20" s="148">
        <f>'[1]תחשיב לפי שווי שומה (2)'!$B$26*G20</f>
        <v>0</v>
      </c>
    </row>
    <row r="21" spans="1:12" x14ac:dyDescent="0.25">
      <c r="A21" t="s">
        <v>185</v>
      </c>
      <c r="H21" s="149">
        <f>H20</f>
        <v>10500</v>
      </c>
      <c r="I21" s="189">
        <v>0</v>
      </c>
      <c r="J21" s="149">
        <f>D21*G21*H21*I21</f>
        <v>0</v>
      </c>
      <c r="K21" s="189">
        <v>0.51</v>
      </c>
      <c r="L21" s="148">
        <f>'[1]תחשיב לפי שווי שומה (2)'!$B$26*G21</f>
        <v>0</v>
      </c>
    </row>
    <row r="22" spans="1:12" x14ac:dyDescent="0.25">
      <c r="A22" t="s">
        <v>186</v>
      </c>
      <c r="H22" s="149">
        <f>H21</f>
        <v>10500</v>
      </c>
      <c r="I22" s="189">
        <v>0.05</v>
      </c>
      <c r="J22" s="149">
        <f>D22*G22*H22*I22</f>
        <v>0</v>
      </c>
      <c r="K22" s="189">
        <v>0.51</v>
      </c>
      <c r="L22" s="148">
        <f>'[1]תחשיב לפי שווי שומה (2)'!$B$26*G22</f>
        <v>0</v>
      </c>
    </row>
    <row r="23" spans="1:12" x14ac:dyDescent="0.25">
      <c r="A23" t="s">
        <v>187</v>
      </c>
      <c r="H23" s="149">
        <f>H22</f>
        <v>10500</v>
      </c>
      <c r="I23" s="189">
        <v>0.05</v>
      </c>
      <c r="J23" s="149">
        <f>D23*G23*H23*I23</f>
        <v>0</v>
      </c>
      <c r="K23" s="189">
        <v>0.51</v>
      </c>
      <c r="L23" s="148">
        <f>'[1]תחשיב לפי שווי שומה (2)'!$B$26*G23</f>
        <v>0</v>
      </c>
    </row>
    <row r="24" spans="1:12" x14ac:dyDescent="0.25">
      <c r="A24" t="s">
        <v>188</v>
      </c>
      <c r="H24" s="149"/>
      <c r="I24" s="189">
        <v>0.05</v>
      </c>
      <c r="J24" s="149">
        <f>D24*G24*H24*I24</f>
        <v>0</v>
      </c>
      <c r="K24" s="189">
        <v>0.51</v>
      </c>
      <c r="L24" s="148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2026-02-17T12:20:21Z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