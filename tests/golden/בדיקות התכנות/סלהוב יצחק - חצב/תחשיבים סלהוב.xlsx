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סלהוב יצחק - חצב/פרוייקט בדיקת התכנות/בדיקת התכנות/"/>
    </mc:Choice>
  </mc:AlternateContent>
  <xr:revisionPtr revIDLastSave="378" documentId="8_{E9A5D54E-385F-4F6C-AF2C-D62B03C85759}" xr6:coauthVersionLast="47" xr6:coauthVersionMax="47" xr10:uidLastSave="{2B3F54FB-806C-4439-944C-0F7077B31510}"/>
  <bookViews>
    <workbookView xWindow="-110" yWindow="-110" windowWidth="19420" windowHeight="1030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תבעות!$A$2:$F$2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0" l="1"/>
  <c r="E35" i="10"/>
  <c r="D35" i="10"/>
  <c r="D30" i="10"/>
  <c r="D29" i="10"/>
  <c r="B56" i="3"/>
  <c r="D52" i="3"/>
  <c r="D53" i="3"/>
  <c r="D19" i="3"/>
  <c r="D20" i="3"/>
  <c r="B21" i="3"/>
  <c r="B24" i="3" s="1"/>
  <c r="D24" i="3" s="1"/>
  <c r="D21" i="3"/>
  <c r="D22" i="3"/>
  <c r="D26" i="3"/>
  <c r="D40" i="3"/>
  <c r="D25" i="3" l="1"/>
  <c r="D27" i="3" s="1"/>
  <c r="B4" i="6" s="1"/>
  <c r="E17" i="4" l="1"/>
  <c r="E21" i="4"/>
  <c r="E13" i="4"/>
  <c r="C7" i="5"/>
  <c r="E23" i="5"/>
  <c r="E22" i="5"/>
  <c r="E21" i="5"/>
  <c r="E20" i="5"/>
  <c r="F19" i="5"/>
  <c r="C24" i="5" s="1"/>
  <c r="E24" i="5" s="1"/>
  <c r="N14" i="5"/>
  <c r="L14" i="5"/>
  <c r="E14" i="5"/>
  <c r="D10" i="3"/>
  <c r="B6" i="3"/>
  <c r="B8" i="3" s="1"/>
  <c r="B9" i="3" s="1"/>
  <c r="B11" i="3" s="1"/>
  <c r="D11" i="3" s="1"/>
  <c r="D5" i="3"/>
  <c r="D4" i="3"/>
  <c r="M14" i="5" l="1"/>
  <c r="O14" i="5"/>
  <c r="E27" i="5" s="1"/>
  <c r="C25" i="5"/>
  <c r="E25" i="5" s="1"/>
  <c r="E26" i="5" s="1"/>
  <c r="D6" i="3"/>
  <c r="D13" i="3" s="1"/>
  <c r="D14" i="3" s="1"/>
  <c r="E28" i="5" l="1"/>
  <c r="E29" i="5" s="1"/>
  <c r="E31" i="5" l="1"/>
  <c r="J52" i="3"/>
  <c r="S58" i="3"/>
  <c r="W56" i="3"/>
  <c r="U56" i="3"/>
  <c r="Y56" i="3" s="1"/>
  <c r="U54" i="3"/>
  <c r="Y54" i="3" s="1"/>
  <c r="S52" i="3"/>
  <c r="U52" i="3" s="1"/>
  <c r="S51" i="3"/>
  <c r="U51" i="3" s="1"/>
  <c r="S50" i="3"/>
  <c r="U50" i="3" s="1"/>
  <c r="S49" i="3"/>
  <c r="W49" i="3" s="1"/>
  <c r="W60" i="3" s="1"/>
  <c r="G51" i="3"/>
  <c r="O16" i="10"/>
  <c r="O20" i="10" s="1"/>
  <c r="K14" i="10"/>
  <c r="M12" i="10"/>
  <c r="K12" i="10"/>
  <c r="L24" i="9"/>
  <c r="J24" i="9"/>
  <c r="L23" i="9"/>
  <c r="L22" i="9"/>
  <c r="L21" i="9"/>
  <c r="L20" i="9"/>
  <c r="C42" i="6"/>
  <c r="B8" i="6"/>
  <c r="H20" i="9" s="1"/>
  <c r="H21" i="9" s="1"/>
  <c r="S53" i="3" l="1"/>
  <c r="S55" i="3" s="1"/>
  <c r="S57" i="3" s="1"/>
  <c r="S59" i="3" s="1"/>
  <c r="Y60" i="3"/>
  <c r="U49" i="3"/>
  <c r="U53" i="3" s="1"/>
  <c r="U60" i="3" s="1"/>
  <c r="K16" i="10"/>
  <c r="K20" i="10" s="1"/>
  <c r="M16" i="10"/>
  <c r="M20" i="10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G13" i="4"/>
  <c r="F13" i="4"/>
  <c r="H13" i="4"/>
  <c r="D21" i="4"/>
  <c r="F21" i="4"/>
  <c r="G21" i="4"/>
  <c r="H21" i="4"/>
  <c r="I13" i="4"/>
  <c r="I21" i="4"/>
  <c r="E25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B5" i="6" l="1"/>
  <c r="D43" i="3"/>
  <c r="H23" i="9"/>
  <c r="J23" i="9" s="1"/>
  <c r="J22" i="9"/>
  <c r="D42" i="6"/>
  <c r="C35" i="6"/>
  <c r="D35" i="6" s="1"/>
  <c r="G22" i="4"/>
  <c r="I22" i="4"/>
  <c r="H22" i="4"/>
  <c r="D22" i="4"/>
  <c r="F22" i="4"/>
  <c r="E22" i="4"/>
  <c r="C15" i="6" l="1"/>
  <c r="D24" i="4"/>
  <c r="D9" i="6" l="1"/>
  <c r="S21" i="4" l="1"/>
  <c r="R21" i="4"/>
  <c r="Q21" i="4"/>
  <c r="P21" i="4"/>
  <c r="O21" i="4"/>
  <c r="N21" i="4"/>
  <c r="M21" i="4"/>
  <c r="L21" i="4"/>
  <c r="K21" i="4"/>
  <c r="J21" i="4"/>
  <c r="S13" i="4" l="1"/>
  <c r="R13" i="4"/>
  <c r="Q13" i="4"/>
  <c r="O13" i="4"/>
  <c r="M13" i="4"/>
  <c r="L13" i="4"/>
  <c r="K13" i="4"/>
  <c r="J13" i="4"/>
  <c r="P13" i="4"/>
  <c r="N13" i="4"/>
  <c r="S22" i="4" l="1"/>
  <c r="R22" i="4"/>
  <c r="O22" i="4"/>
  <c r="P22" i="4"/>
  <c r="N22" i="4"/>
  <c r="Q22" i="4"/>
  <c r="M22" i="4"/>
  <c r="L22" i="4"/>
  <c r="K22" i="4"/>
  <c r="J22" i="4"/>
  <c r="E49" i="4"/>
  <c r="F48" i="4"/>
  <c r="F47" i="4"/>
  <c r="F43" i="4"/>
  <c r="E44" i="4"/>
  <c r="D44" i="4"/>
  <c r="F44" i="4" l="1"/>
  <c r="E51" i="4"/>
  <c r="F42" i="4"/>
  <c r="D49" i="4"/>
  <c r="F49" i="4" s="1"/>
  <c r="G12" i="6"/>
  <c r="G13" i="6" s="1"/>
  <c r="F51" i="4" l="1"/>
  <c r="D51" i="4"/>
  <c r="G16" i="6"/>
  <c r="I70" i="3"/>
  <c r="F62" i="3"/>
  <c r="I68" i="3"/>
  <c r="G67" i="3"/>
  <c r="I69" i="3" s="1"/>
  <c r="I66" i="3"/>
  <c r="I65" i="3"/>
  <c r="I64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G11" i="6"/>
  <c r="I50" i="3"/>
  <c r="I51" i="3"/>
  <c r="F50" i="3"/>
  <c r="B57" i="3"/>
  <c r="D51" i="3"/>
  <c r="F18" i="6"/>
  <c r="B58" i="3" l="1"/>
  <c r="D58" i="3" s="1"/>
  <c r="I7" i="3"/>
  <c r="I4" i="3"/>
  <c r="G8" i="3"/>
  <c r="G9" i="3" s="1"/>
  <c r="I6" i="3"/>
  <c r="J53" i="3"/>
  <c r="D90" i="3" s="1"/>
  <c r="I71" i="3"/>
  <c r="I72" i="3" s="1"/>
  <c r="G71" i="3"/>
  <c r="I52" i="3"/>
  <c r="I5" i="3"/>
  <c r="D50" i="3"/>
  <c r="D59" i="3" l="1"/>
  <c r="D7" i="6"/>
  <c r="B12" i="6" s="1"/>
  <c r="B15" i="6"/>
  <c r="D15" i="6" s="1"/>
  <c r="F15" i="6" s="1"/>
  <c r="K52" i="3"/>
  <c r="M52" i="3" s="1"/>
  <c r="D24" i="6"/>
  <c r="D23" i="6"/>
  <c r="F23" i="6" s="1"/>
  <c r="D22" i="6"/>
  <c r="D21" i="6"/>
  <c r="F21" i="6" s="1"/>
  <c r="D20" i="6"/>
  <c r="D19" i="6"/>
  <c r="D18" i="6"/>
  <c r="D17" i="6"/>
  <c r="B39" i="6" l="1"/>
  <c r="B40" i="6" s="1"/>
  <c r="B42" i="6" s="1"/>
  <c r="B43" i="6" s="1"/>
  <c r="D86" i="3"/>
  <c r="D81" i="3"/>
  <c r="D83" i="3" s="1"/>
  <c r="B31" i="6"/>
  <c r="B34" i="6" s="1"/>
  <c r="B35" i="6" s="1"/>
  <c r="I53" i="3"/>
  <c r="K53" i="3" s="1"/>
  <c r="M53" i="3" s="1"/>
  <c r="M54" i="3" s="1"/>
  <c r="B7" i="6"/>
  <c r="B13" i="6" s="1"/>
  <c r="B14" i="6" s="1"/>
  <c r="D12" i="6"/>
  <c r="F12" i="6" s="1"/>
  <c r="H12" i="6" s="1"/>
  <c r="F20" i="6"/>
  <c r="F24" i="6"/>
  <c r="F19" i="6"/>
  <c r="F22" i="6"/>
  <c r="D88" i="3" l="1"/>
  <c r="D89" i="3" s="1"/>
  <c r="D91" i="3" s="1"/>
  <c r="D13" i="6"/>
  <c r="F13" i="6" s="1"/>
  <c r="F14" i="6" l="1"/>
  <c r="H13" i="6"/>
  <c r="H14" i="6" s="1"/>
  <c r="E31" i="4" l="1"/>
  <c r="D68" i="3"/>
  <c r="B67" i="3"/>
  <c r="B69" i="3" s="1"/>
  <c r="D69" i="3" s="1"/>
  <c r="D66" i="3"/>
  <c r="D65" i="3"/>
  <c r="D64" i="3"/>
  <c r="E29" i="4" l="1"/>
  <c r="D71" i="3"/>
  <c r="D72" i="3" s="1"/>
  <c r="E26" i="4"/>
  <c r="B71" i="3"/>
  <c r="E35" i="4"/>
  <c r="G18" i="6" l="1"/>
  <c r="E30" i="4"/>
  <c r="E32" i="4" s="1"/>
  <c r="E34" i="4" s="1"/>
  <c r="E36" i="4" s="1"/>
  <c r="B6" i="6"/>
  <c r="B11" i="6" s="1"/>
  <c r="D11" i="6" l="1"/>
  <c r="F11" i="6" s="1"/>
  <c r="H11" i="6" s="1"/>
  <c r="G11" i="3" l="1"/>
  <c r="I11" i="3" l="1"/>
  <c r="G13" i="3"/>
  <c r="B3" i="6" l="1"/>
  <c r="B16" i="6" s="1"/>
  <c r="I13" i="3"/>
  <c r="I14" i="3" s="1"/>
  <c r="B2" i="6" s="1"/>
  <c r="D16" i="6" l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<sst xmlns="http://schemas.openxmlformats.org/spreadsheetml/2006/main" count="436" uniqueCount="303">
  <si>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</si>
  <si>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</si>
  <si>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</si>
  <si>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</si>
  <si>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</si>
  <si>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</si>
  <si>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</si>
  <si>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</si>
  <si>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</si>
  <si>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</si>
  <si>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</si>
  <si>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</si>
  <si>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</si>
  <si>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</si>
  <si>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</si>
  <si>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</si>
  <si>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</si>
  <si>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</si>
  <si>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</si>
  <si>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</si>
  <si>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</si>
  <si>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</si>
  <si>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</si>
  <si>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</si>
  <si>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</si>
  <si>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</si>
  <si>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</si>
  <si>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</si>
  <si>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</si>
  <si>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</si>
  <si>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</si>
  <si>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</si>
  <si>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</si>
  <si>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</si>
  <si>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</si>
  <si>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</si>
  <si>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</si>
  <si>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</si>
  <si>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</si>
  <si>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</si>
  <si>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</si>
  <si>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</si>
  <si>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</si>
  <si>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</si>
  <si>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</si>
  <si>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</si>
  <si>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</si>
  <si>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</si>
  <si>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</si>
  <si>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</si>
  <si>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</si>
  <si>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</si>
  <si>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</si>
  <si>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</si>
  <si>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</si>
  <si>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</si>
  <si>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</si>
  <si>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</si>
  <si>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</si>
  <si>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</si>
  <si>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</si>
  <si>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</si>
  <si>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</si>
  <si>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</si>
  <si>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</si>
  <si>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</si>
  <si>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</si>
  <si>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</si>
  <si>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</si>
  <si>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</si>
  <si>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</si>
  <si>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</si>
  <si>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</si>
  <si>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</si>
  <si>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</si>
  <si>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</si>
  <si>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</si>
  <si>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</si>
  <si>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</si>
  <si>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</si>
  <si>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</si>
  <si>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</si>
  <si>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</si>
  <si>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</si>
  <si>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</si>
  <si>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</si>
  <si>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</si>
  <si>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</si>
  <si>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</si>
  <si>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</si>
  <si>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</si>
  <si>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</si>
  <si>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</si>
  <si>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</si>
  <si>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</si>
  <si>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</si>
  <si>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</si>
  <si>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</si>
  <si>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</si>
  <si>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</si>
  <si>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</si>
  <si>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</si>
  <si>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</si>
  <si>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</si>
  <si>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</si>
  <si>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</si>
  <si>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</si>
  <si>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</si>
  <si>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</si>
  <si>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</si>
  <si>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</si>
  <si>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</si>
  <si>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</si>
  <si>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</si>
  <si>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</si>
  <si>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</si>
  <si>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</si>
  <si>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</si>
  <si>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</si>
  <si>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</si>
  <si>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</si>
  <si>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</si>
  <si>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</si>
  <si>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</si>
  <si>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</si>
  <si>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</si>
  <si>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</si>
  <si>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</si>
  <si>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</si>
  <si>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</si>
  <si>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</si>
  <si>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</si>
  <si>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</si>
  <si>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</si>
  <si>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</si>
  <si>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</si>
  <si>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</si>
  <si>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</si>
  <si>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</si>
  <si>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</si>
  <si>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</si>
  <si>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</si>
  <si>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</si>
  <si>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</si>
  <si>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</si>
  <si>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</si>
  <si>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</si>
  <si>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</si>
  <si>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</si>
  <si>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</si>
  <si>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</si>
  <si>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</si>
  <si>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</si>
  <si>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</si>
  <si>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</si>
  <si>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</si>
  <si>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</si>
  <si>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</si>
  <si>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</si>
  <si>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</si>
  <si>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</si>
  <si>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</si>
  <si>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</si>
  <si>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</si>
  <si>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</si>
  <si>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</si>
  <si>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</si>
  <si>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גובמאפ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</si>
  <si>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</si>
  <si>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</si>
  <si>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</si>
  <si>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</si>
  <si>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</si>
  <si>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</si>
  <si>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</si>
  <si>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</si>
  <si>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</si>
  <si>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</si>
  <si>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</si>
  <si>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</si>
  <si>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</si>
  <si>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</si>
  <si>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</si>
  <si>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</si>
  <si>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</si>
  <si>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</si>
  <si>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</si>
  <si>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</si>
  <si>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</si>
  <si>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</si>
  <si>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</si>
  <si>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</si>
  <si>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</si>
  <si>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</si>
  <si>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</si>
  <si>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</si>
  <si>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</si>
  <si>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</si>
  <si>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</si>
  <si>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</si>
  <si>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</si>
  <si>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</si>
  <si>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</si>
  <si>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</si>
  <si>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</si>
  <si>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</si>
  <si>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</si>
  <si>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</si>
  <si>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</si>
  <si>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</si>
  <si>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</si>
  <si>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</si>
  <si>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</si>
  <si>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</si>
  <si>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</si>
  <si>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</si>
  <si>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</si>
  <si>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</si>
  <si>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</si>
  <si>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</si>
  <si>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</si>
  <si>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</si>
  <si>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</si>
  <si>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</si>
  <si>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</si>
  <si>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</si>
  <si>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</si>
  <si>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</si>
  <si>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</si>
  <si>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</si>
  <si>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</si>
  <si>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</si>
  <si>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</si>
  <si>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גוש חלקה</t>
  </si>
  <si>
    <t>יום מכירה</t>
  </si>
  <si>
    <t>תמורה מוצהרת בש"ח</t>
  </si>
  <si>
    <t>בניכוי יזמות 5%</t>
  </si>
  <si>
    <t>מהות</t>
  </si>
  <si>
    <t>ישוב</t>
  </si>
  <si>
    <t>שטח</t>
  </si>
  <si>
    <t>שטח מגרש</t>
  </si>
  <si>
    <t>תרומת הבנוי למ"ר</t>
  </si>
  <si>
    <t>יתרת המגרש</t>
  </si>
  <si>
    <t>מקדם התאמה לזמן</t>
  </si>
  <si>
    <t>שווי מתואם</t>
  </si>
  <si>
    <t>002242-0037</t>
  </si>
  <si>
    <t>קוטג' חד משפחתי</t>
  </si>
  <si>
    <t>חצב</t>
  </si>
  <si>
    <t>ניתוח שטח אקו'</t>
  </si>
  <si>
    <t>מרתף</t>
  </si>
  <si>
    <t>תכסית</t>
  </si>
  <si>
    <t>סה"כ שטח אקו'</t>
  </si>
  <si>
    <t>שווי מגרש מתואם</t>
  </si>
  <si>
    <t>שווי מ"ר</t>
  </si>
  <si>
    <t>בהתאמה לבעלות /0.97</t>
  </si>
  <si>
    <t>מקדם התאמה לנחלה</t>
  </si>
  <si>
    <t>שווי מ"ר בנחלה</t>
  </si>
  <si>
    <t>לשומה</t>
  </si>
  <si>
    <t>מבנה 1 - בית מגורים ראשון</t>
  </si>
  <si>
    <t>מבנה 2  - בית מגורים שני</t>
  </si>
  <si>
    <t>מרפסת מקורה</t>
  </si>
  <si>
    <t>מבנה 2.1 - מקלט</t>
  </si>
  <si>
    <t>מבנה 3 - בית מגורים שלישי</t>
  </si>
  <si>
    <t>מבנה 4 - מחסן חקלאי</t>
  </si>
  <si>
    <t>מבנה 5 - בית מגורים רביעי</t>
  </si>
  <si>
    <t>מבנה 6 - מחסן אלומיניום</t>
  </si>
  <si>
    <t>היתר שנת 86</t>
  </si>
  <si>
    <t>היתר שנת 70</t>
  </si>
  <si>
    <t>היתר שנת 83</t>
  </si>
  <si>
    <t>ד/693</t>
  </si>
  <si>
    <t>450+150</t>
  </si>
  <si>
    <t>2 בתים</t>
  </si>
  <si>
    <t>59/101/02/8</t>
  </si>
  <si>
    <t>אתר וועדה</t>
  </si>
  <si>
    <t>בריכה</t>
  </si>
  <si>
    <t>616-0770735</t>
  </si>
  <si>
    <t>היטל השבחה פיצול בית שני</t>
  </si>
  <si>
    <t>מקדם אי סחירות</t>
  </si>
  <si>
    <t>סה"כ מצב קודם</t>
  </si>
  <si>
    <t>מצב חדש</t>
  </si>
  <si>
    <t>סה"כ היטל</t>
  </si>
  <si>
    <t>מבנה 1</t>
  </si>
  <si>
    <t>בית של יוסי</t>
  </si>
  <si>
    <t>מבנה 2</t>
  </si>
  <si>
    <t>בית של יצחק</t>
  </si>
  <si>
    <t>להקטין להיתר או לשלם 6,700 למ"ר</t>
  </si>
  <si>
    <t>מבנה 3</t>
  </si>
  <si>
    <t>קלינקיה</t>
  </si>
  <si>
    <t>פל"ח קליניקה</t>
  </si>
  <si>
    <t>מבנה 5</t>
  </si>
  <si>
    <t>מושכר</t>
  </si>
  <si>
    <t>פינוי</t>
  </si>
  <si>
    <t>לפנות בכדי להימנע מקנס</t>
  </si>
  <si>
    <t>מבנה 6</t>
  </si>
  <si>
    <t>חניה עם סנטף</t>
  </si>
  <si>
    <t>לפנות שוכר ולהחליף לסנטף</t>
  </si>
  <si>
    <t>מבנה 4</t>
  </si>
  <si>
    <t>לול</t>
  </si>
  <si>
    <t>להגיש כקיים בהיתר</t>
  </si>
  <si>
    <t>מס' מבנה</t>
  </si>
  <si>
    <t>קנס לכל שנה</t>
  </si>
  <si>
    <t xml:space="preserve">קיים 120 להרחיב ל-140 </t>
  </si>
  <si>
    <t>20 מחסן ביתי 40 פל"ח ולקיניקה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</si>
</sst>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0.000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1"/>
      <color theme="8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6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19" fillId="13" borderId="79" xfId="0" applyFont="1" applyFill="1" applyBorder="1" applyAlignment="1">
      <alignment horizontal="center" vertical="center" wrapText="1"/>
    </xf>
    <xf numFmtId="0" fontId="19" fillId="13" borderId="80" xfId="0" applyFont="1" applyFill="1" applyBorder="1" applyAlignment="1">
      <alignment horizontal="center" vertical="center" wrapText="1"/>
    </xf>
    <xf numFmtId="0" fontId="19" fillId="13" borderId="81" xfId="0" applyFont="1" applyFill="1" applyBorder="1" applyAlignment="1">
      <alignment horizontal="center" vertical="center" wrapText="1"/>
    </xf>
    <xf numFmtId="0" fontId="19" fillId="13" borderId="82" xfId="0" applyFont="1" applyFill="1" applyBorder="1" applyAlignment="1">
      <alignment horizontal="center" vertical="center" wrapText="1"/>
    </xf>
    <xf numFmtId="0" fontId="19" fillId="13" borderId="83" xfId="0" applyFont="1" applyFill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0" fillId="0" borderId="7" xfId="0" applyFont="1" applyBorder="1"/>
    <xf numFmtId="164" fontId="0" fillId="0" borderId="34" xfId="0" applyNumberFormat="1" applyBorder="1"/>
    <xf numFmtId="0" fontId="0" fillId="0" borderId="35" xfId="0" applyBorder="1"/>
    <xf numFmtId="0" fontId="20" fillId="0" borderId="79" xfId="0" applyFont="1" applyBorder="1" applyAlignment="1">
      <alignment horizontal="center" wrapText="1"/>
    </xf>
    <xf numFmtId="14" fontId="20" fillId="0" borderId="79" xfId="0" applyNumberFormat="1" applyFont="1" applyBorder="1" applyAlignment="1">
      <alignment horizontal="center" wrapText="1"/>
    </xf>
    <xf numFmtId="164" fontId="20" fillId="0" borderId="79" xfId="2" applyNumberFormat="1" applyFont="1" applyFill="1" applyBorder="1" applyAlignment="1">
      <alignment horizontal="center" wrapText="1"/>
    </xf>
    <xf numFmtId="3" fontId="20" fillId="0" borderId="79" xfId="0" applyNumberFormat="1" applyFont="1" applyBorder="1" applyAlignment="1">
      <alignment horizontal="center" wrapText="1"/>
    </xf>
    <xf numFmtId="0" fontId="20" fillId="0" borderId="80" xfId="0" applyFont="1" applyBorder="1" applyAlignment="1">
      <alignment horizontal="center" wrapText="1"/>
    </xf>
    <xf numFmtId="164" fontId="20" fillId="0" borderId="36" xfId="2" applyNumberFormat="1" applyFont="1" applyFill="1" applyBorder="1" applyAlignment="1">
      <alignment horizontal="center" wrapText="1"/>
    </xf>
    <xf numFmtId="164" fontId="0" fillId="0" borderId="36" xfId="2" applyNumberFormat="1" applyFon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167" fontId="0" fillId="0" borderId="36" xfId="0" applyNumberFormat="1" applyBorder="1" applyAlignment="1">
      <alignment horizontal="center"/>
    </xf>
    <xf numFmtId="0" fontId="21" fillId="3" borderId="17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43" fontId="6" fillId="0" borderId="13" xfId="1" applyFont="1" applyBorder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164" fontId="0" fillId="0" borderId="22" xfId="2" applyNumberFormat="1" applyFont="1" applyBorder="1"/>
    <xf numFmtId="0" fontId="5" fillId="0" borderId="4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0" fillId="0" borderId="46" xfId="0" applyBorder="1"/>
    <xf numFmtId="0" fontId="0" fillId="0" borderId="70" xfId="0" applyBorder="1"/>
    <xf numFmtId="164" fontId="0" fillId="0" borderId="30" xfId="2" applyNumberFormat="1" applyFont="1" applyBorder="1"/>
    <xf numFmtId="164" fontId="6" fillId="0" borderId="34" xfId="0" applyNumberFormat="1" applyFont="1" applyBorder="1"/>
    <xf numFmtId="164" fontId="6" fillId="0" borderId="34" xfId="2" applyNumberFormat="1" applyFont="1" applyBorder="1"/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377190</xdr:colOff>
      <xdr:row>17</xdr:row>
      <xdr:rowOff>8945</xdr:rowOff>
    </xdr:from>
    <xdr:to>
      <xdr:col>12</xdr:col>
      <xdr:colOff>184122</xdr:colOff>
      <xdr:row>45</xdr:row>
      <xdr:rowOff>136332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42DC37A0-3A7B-43C3-8899-30184F2E3B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912" t="3438" r="9479" b="3955"/>
        <a:stretch>
          <a:fillRect/>
        </a:stretch>
      </xdr:blipFill>
      <xdr:spPr>
        <a:xfrm>
          <a:off x="10983985995" y="3694706"/>
          <a:ext cx="6020793" cy="50020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opLeftCell="A46" zoomScale="70" zoomScaleNormal="70" workbookViewId="0">
      <selection activeCell="B5" sqref="B5"/>
    </sheetView>
  </sheetViews>
  <sheetFormatPr defaultColWidth="8.6640625" defaultRowHeight="20" x14ac:dyDescent="0.4"/>
  <cols>
    <col min="1" max="1" width="35.83203125" style="1" bestFit="1" customWidth="1"/>
    <col min="2" max="2" width="21.83203125" style="1" bestFit="1" customWidth="1"/>
    <col min="3" max="3" width="21.6640625" style="1" bestFit="1" customWidth="1"/>
    <col min="4" max="4" width="23.4140625" style="1" customWidth="1"/>
    <col min="5" max="5" width="21.6640625" style="1" bestFit="1" customWidth="1"/>
    <col min="6" max="6" width="21.33203125" style="1" customWidth="1"/>
    <col min="7" max="7" width="19.33203125" style="1" bestFit="1" customWidth="1"/>
    <col min="8" max="8" width="23.08203125" style="1" customWidth="1"/>
    <col min="9" max="9" width="35.1640625" style="1" customWidth="1"/>
    <col min="10" max="10" width="21.83203125" style="1" bestFit="1" customWidth="1"/>
    <col min="11" max="11" width="21.6640625" style="75" bestFit="1" customWidth="1"/>
    <col min="12" max="12" width="20" style="1" bestFit="1" customWidth="1"/>
    <col min="13" max="13" width="18.5" style="1" bestFit="1" customWidth="1"/>
    <col min="14" max="14" width="10.83203125" style="1" bestFit="1" customWidth="1"/>
    <col min="15" max="16384" width="8.6640625" style="1"/>
  </cols>
  <sheetData>
    <row r="2" spans="1:11" x14ac:dyDescent="0.4">
      <c r="A2" s="1" t="s">
        <v>42</v>
      </c>
      <c r="B2" s="76">
        <f>'מ"ר אקו'' נחלה'!I14</f>
        <v>1015</v>
      </c>
      <c r="K2" s="1"/>
    </row>
    <row r="3" spans="1:11" x14ac:dyDescent="0.4">
      <c r="A3" s="1" t="s">
        <v>17</v>
      </c>
      <c r="B3" s="76">
        <f>'מ"ר אקו'' נחלה'!D14</f>
        <v>965</v>
      </c>
      <c r="K3" s="1"/>
    </row>
    <row r="4" spans="1:11" x14ac:dyDescent="0.4">
      <c r="A4" s="1" t="s">
        <v>88</v>
      </c>
      <c r="B4" s="76">
        <f>'מ"ר אקו'' נחלה'!D27</f>
        <v>166.84406188779369</v>
      </c>
      <c r="K4" s="1"/>
    </row>
    <row r="5" spans="1:11" x14ac:dyDescent="0.4">
      <c r="A5" s="1" t="s">
        <v>194</v>
      </c>
      <c r="B5" s="76">
        <f>'מ"ר אקו'' נחלה'!D40</f>
        <v>0</v>
      </c>
      <c r="K5" s="1"/>
    </row>
    <row r="6" spans="1:11" x14ac:dyDescent="0.4">
      <c r="A6" s="1" t="s">
        <v>3</v>
      </c>
      <c r="B6" s="1">
        <f>'מ"ר אקו'' נחלה'!D72</f>
        <v>806.25</v>
      </c>
      <c r="F6" s="7"/>
      <c r="K6" s="1"/>
    </row>
    <row r="7" spans="1:11" x14ac:dyDescent="0.4">
      <c r="A7" s="1" t="s">
        <v>53</v>
      </c>
      <c r="B7" s="1">
        <f>'מ"ר אקו'' נחלה'!D59</f>
        <v>341.3</v>
      </c>
      <c r="C7" s="1" t="s">
        <v>54</v>
      </c>
      <c r="D7" s="75">
        <f>'מ"ר אקו'' נחלה'!I52</f>
        <v>245</v>
      </c>
      <c r="F7" s="75"/>
      <c r="K7" s="1"/>
    </row>
    <row r="8" spans="1:11" x14ac:dyDescent="0.4">
      <c r="A8" s="1" t="s">
        <v>12</v>
      </c>
      <c r="B8" s="129">
        <f>'ניתוח איזור לעסקאות דמה'!C7</f>
        <v>8000</v>
      </c>
      <c r="C8" s="1" t="s">
        <v>81</v>
      </c>
      <c r="D8" s="5">
        <v>2500</v>
      </c>
      <c r="F8" s="75"/>
      <c r="K8" s="1"/>
    </row>
    <row r="9" spans="1:11" x14ac:dyDescent="0.4">
      <c r="A9" s="3"/>
      <c r="B9" s="5"/>
      <c r="C9" s="1" t="s">
        <v>89</v>
      </c>
      <c r="D9" s="1" t="e">
        <f>'ניתוח איזור לעסקאות דמה'!#REF!</f>
        <v>#REF!</v>
      </c>
      <c r="E9" s="8">
        <v>1.17</v>
      </c>
    </row>
    <row r="10" spans="1:11" x14ac:dyDescent="0.4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63</v>
      </c>
      <c r="J10" s="2"/>
    </row>
    <row r="11" spans="1:1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241875</v>
      </c>
      <c r="G11" s="75">
        <f>'מ"ר אקו'' נחלה'!D73*-3.75%</f>
        <v>-6562.5</v>
      </c>
      <c r="H11" s="88">
        <f>SUM(F11:G11)</f>
        <v>235312.5</v>
      </c>
      <c r="I11" s="9"/>
      <c r="J11" s="75"/>
    </row>
    <row r="12" spans="1:11" x14ac:dyDescent="0.4">
      <c r="A12" s="82" t="s">
        <v>59</v>
      </c>
      <c r="B12" s="114">
        <f>D7</f>
        <v>245</v>
      </c>
      <c r="C12" s="115">
        <v>0.29249999999999998</v>
      </c>
      <c r="D12" s="82">
        <f t="shared" si="0"/>
        <v>71.662499999999994</v>
      </c>
      <c r="E12" s="82">
        <v>1</v>
      </c>
      <c r="F12" s="84">
        <f>D12*$B$8*E12</f>
        <v>573300</v>
      </c>
      <c r="G12" s="75">
        <f>-'מ"ר אקו'' נחלה'!D60*C12</f>
        <v>-29250</v>
      </c>
      <c r="H12" s="6">
        <f>SUM(F12:G12)</f>
        <v>544050</v>
      </c>
      <c r="J12" s="87"/>
    </row>
    <row r="13" spans="1:11" x14ac:dyDescent="0.4">
      <c r="A13" s="82" t="s">
        <v>60</v>
      </c>
      <c r="B13" s="114">
        <f>B7-B12</f>
        <v>96.300000000000011</v>
      </c>
      <c r="C13" s="115">
        <v>0.33</v>
      </c>
      <c r="D13" s="82">
        <f t="shared" si="0"/>
        <v>31.779000000000007</v>
      </c>
      <c r="E13" s="82">
        <v>1</v>
      </c>
      <c r="F13" s="84">
        <f>D13*$B$8*E13</f>
        <v>254232.00000000006</v>
      </c>
      <c r="G13" s="87">
        <f>G12*53/245</f>
        <v>-6327.5510204081629</v>
      </c>
      <c r="H13" s="6">
        <f>SUM(F13:G13)</f>
        <v>247904.44897959189</v>
      </c>
      <c r="I13" s="9"/>
      <c r="J13" s="75"/>
    </row>
    <row r="14" spans="1:11" x14ac:dyDescent="0.4">
      <c r="A14" s="111" t="s">
        <v>61</v>
      </c>
      <c r="B14" s="112">
        <f>SUM(B12:B13)</f>
        <v>341.3</v>
      </c>
      <c r="C14" s="113"/>
      <c r="D14" s="113"/>
      <c r="E14" s="113"/>
      <c r="F14" s="113">
        <f>SUM(F12:F13)</f>
        <v>827532</v>
      </c>
      <c r="G14" s="116"/>
      <c r="H14" s="89">
        <f>SUM(H12:H13)</f>
        <v>791954.44897959195</v>
      </c>
      <c r="J14" s="75"/>
    </row>
    <row r="15" spans="1:11" x14ac:dyDescent="0.4">
      <c r="A15" s="77" t="s">
        <v>7</v>
      </c>
      <c r="B15" s="77">
        <f>'מ"ר אקו'' נחלה'!I52</f>
        <v>245</v>
      </c>
      <c r="C15" s="80">
        <f>C35</f>
        <v>0.42499999999999999</v>
      </c>
      <c r="D15" s="77">
        <f>B15*C15</f>
        <v>104.125</v>
      </c>
      <c r="E15" s="77">
        <v>1</v>
      </c>
      <c r="F15" s="79">
        <f>D15*$B$8</f>
        <v>833000</v>
      </c>
      <c r="G15" s="9"/>
      <c r="J15" s="86"/>
    </row>
    <row r="16" spans="1:11" x14ac:dyDescent="0.4">
      <c r="A16" s="77" t="s">
        <v>5</v>
      </c>
      <c r="B16" s="81">
        <f>B3+B4-B5</f>
        <v>1131.8440618877937</v>
      </c>
      <c r="C16" s="80">
        <v>0.33</v>
      </c>
      <c r="D16" s="77">
        <f t="shared" si="0"/>
        <v>373.50854042297192</v>
      </c>
      <c r="E16" s="77">
        <v>1</v>
      </c>
      <c r="F16" s="79">
        <f>D16*$B$8*E16</f>
        <v>2988068.3233837755</v>
      </c>
      <c r="G16" s="75">
        <f>-'מ"ר אקו'' נחלה'!D15*C16</f>
        <v>-81510</v>
      </c>
      <c r="H16" s="88">
        <f>SUM(F16:G16)</f>
        <v>2906558.3233837755</v>
      </c>
      <c r="J16" s="137"/>
    </row>
    <row r="17" spans="1:10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5096</v>
      </c>
      <c r="I19" s="75"/>
      <c r="J19" s="6"/>
    </row>
    <row r="20" spans="1:10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546</v>
      </c>
      <c r="G20" s="9"/>
      <c r="I20" s="6"/>
      <c r="J20" s="9"/>
    </row>
    <row r="21" spans="1:10" x14ac:dyDescent="0.4">
      <c r="A21" s="1" t="s">
        <v>67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x14ac:dyDescent="0.4">
      <c r="A22" s="1" t="s">
        <v>43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2184</v>
      </c>
    </row>
    <row r="23" spans="1:10" x14ac:dyDescent="0.4">
      <c r="A23" s="82" t="s">
        <v>82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x14ac:dyDescent="0.4">
      <c r="A24" s="1" t="s">
        <v>44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400</v>
      </c>
      <c r="I24" s="9"/>
    </row>
    <row r="25" spans="1:10" x14ac:dyDescent="0.4">
      <c r="C25" s="7"/>
      <c r="F25" s="5"/>
      <c r="J25" s="9"/>
    </row>
    <row r="26" spans="1:10" x14ac:dyDescent="0.4">
      <c r="C26" s="7"/>
      <c r="F26" s="5"/>
    </row>
    <row r="27" spans="1:10" x14ac:dyDescent="0.4">
      <c r="A27" s="1" t="s">
        <v>45</v>
      </c>
      <c r="B27" s="85"/>
      <c r="C27" s="8"/>
      <c r="D27" s="186"/>
      <c r="E27" s="186"/>
      <c r="F27" s="5"/>
      <c r="I27" s="75"/>
    </row>
    <row r="29" spans="1:10" x14ac:dyDescent="0.4">
      <c r="A29" s="2" t="s">
        <v>153</v>
      </c>
      <c r="C29" s="75"/>
    </row>
    <row r="30" spans="1:10" x14ac:dyDescent="0.4">
      <c r="A30" s="2"/>
      <c r="B30" s="2" t="s">
        <v>155</v>
      </c>
      <c r="C30" s="2" t="s">
        <v>21</v>
      </c>
      <c r="D30" s="2" t="s">
        <v>154</v>
      </c>
    </row>
    <row r="31" spans="1:10" x14ac:dyDescent="0.4">
      <c r="A31" s="1" t="s">
        <v>151</v>
      </c>
      <c r="B31" s="5">
        <f>'מ"ר אקו'' נחלה'!D59*'תחשיב לפי שווי שומה (2)'!$B$8</f>
        <v>2730400</v>
      </c>
      <c r="C31" s="191">
        <v>1</v>
      </c>
      <c r="D31" s="6">
        <f>C31*$B$8</f>
        <v>8000</v>
      </c>
    </row>
    <row r="32" spans="1:10" x14ac:dyDescent="0.4">
      <c r="A32" s="1" t="s">
        <v>150</v>
      </c>
      <c r="B32" s="6">
        <f>350*$B$8*C32</f>
        <v>420000</v>
      </c>
      <c r="C32" s="191">
        <v>0.15</v>
      </c>
      <c r="D32" s="6">
        <f>C32*$B$8</f>
        <v>1200</v>
      </c>
    </row>
    <row r="33" spans="1:6" x14ac:dyDescent="0.4">
      <c r="C33" s="75"/>
    </row>
    <row r="34" spans="1:6" x14ac:dyDescent="0.4">
      <c r="A34" s="1" t="s">
        <v>148</v>
      </c>
      <c r="B34" s="6">
        <f>B31-B32</f>
        <v>2310400</v>
      </c>
      <c r="C34" s="191">
        <f>C31-C32</f>
        <v>0.85</v>
      </c>
      <c r="D34" s="6">
        <f>C34*$B$8</f>
        <v>6800</v>
      </c>
    </row>
    <row r="35" spans="1:6" x14ac:dyDescent="0.4">
      <c r="A35" s="1" t="s">
        <v>149</v>
      </c>
      <c r="B35" s="6">
        <f>B34*50%</f>
        <v>1155200</v>
      </c>
      <c r="C35" s="191">
        <f>C34*50%</f>
        <v>0.42499999999999999</v>
      </c>
      <c r="D35" s="6">
        <f>C35*$B$8</f>
        <v>3400</v>
      </c>
    </row>
    <row r="37" spans="1:6" x14ac:dyDescent="0.4">
      <c r="A37" s="2" t="s">
        <v>157</v>
      </c>
      <c r="C37" s="75"/>
    </row>
    <row r="38" spans="1:6" x14ac:dyDescent="0.4">
      <c r="A38" s="2"/>
      <c r="B38" s="2" t="s">
        <v>155</v>
      </c>
      <c r="C38" s="2" t="s">
        <v>21</v>
      </c>
      <c r="D38" s="2" t="s">
        <v>154</v>
      </c>
    </row>
    <row r="39" spans="1:6" x14ac:dyDescent="0.4">
      <c r="A39" s="1" t="s">
        <v>151</v>
      </c>
      <c r="B39" s="5">
        <f>'מ"ר אקו'' נחלה'!D59*'תחשיב לפי שווי שומה (2)'!$B$8</f>
        <v>2730400</v>
      </c>
      <c r="C39" s="191">
        <v>1</v>
      </c>
      <c r="D39" s="6">
        <f>C39*$B$8</f>
        <v>8000</v>
      </c>
    </row>
    <row r="40" spans="1:6" x14ac:dyDescent="0.4">
      <c r="A40" s="1" t="s">
        <v>158</v>
      </c>
      <c r="B40" s="6">
        <f>B39*70%</f>
        <v>1911279.9999999998</v>
      </c>
      <c r="C40" s="191">
        <v>0.7</v>
      </c>
      <c r="D40" s="6">
        <f>C40*$B$8</f>
        <v>5600</v>
      </c>
    </row>
    <row r="41" spans="1:6" x14ac:dyDescent="0.4">
      <c r="C41" s="75"/>
    </row>
    <row r="42" spans="1:6" x14ac:dyDescent="0.4">
      <c r="A42" s="1" t="s">
        <v>148</v>
      </c>
      <c r="B42" s="6">
        <f>B39-B40</f>
        <v>819120.00000000023</v>
      </c>
      <c r="C42" s="191">
        <f>C39-C40</f>
        <v>0.30000000000000004</v>
      </c>
      <c r="D42" s="6">
        <f>C42*$B$8</f>
        <v>2400.0000000000005</v>
      </c>
      <c r="F42" s="6"/>
    </row>
    <row r="43" spans="1:6" x14ac:dyDescent="0.4">
      <c r="A43" s="1" t="s">
        <v>149</v>
      </c>
      <c r="B43" s="6">
        <f>B42*50%</f>
        <v>409560.00000000012</v>
      </c>
      <c r="C43" s="191">
        <f>C42*50%</f>
        <v>0.15000000000000002</v>
      </c>
      <c r="D43" s="6">
        <f>C43*$B$8</f>
        <v>1200.0000000000002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A8:P35"/>
  <sheetViews>
    <sheetView rightToLeft="1" tabSelected="1" topLeftCell="A23" zoomScale="130" zoomScaleNormal="130" workbookViewId="0">
      <selection activeCell="D34" sqref="D34"/>
    </sheetView>
  </sheetViews>
  <sheetFormatPr defaultRowHeight="14" x14ac:dyDescent="0.3"/>
  <cols>
    <col min="2" max="2" width="12.08203125" customWidth="1"/>
    <col min="4" max="4" width="13.08203125" bestFit="1" customWidth="1"/>
    <col min="5" max="5" width="13.08203125" customWidth="1"/>
    <col min="6" max="6" width="26.6640625" bestFit="1" customWidth="1"/>
  </cols>
  <sheetData>
    <row r="8" spans="9:16" ht="14.5" thickBot="1" x14ac:dyDescent="0.35"/>
    <row r="9" spans="9:16" ht="14.5" thickBot="1" x14ac:dyDescent="0.35">
      <c r="I9" s="287" t="s">
        <v>201</v>
      </c>
      <c r="J9" s="288"/>
      <c r="K9" s="288"/>
      <c r="L9" s="288"/>
      <c r="M9" s="288"/>
      <c r="N9" s="288"/>
      <c r="O9" s="288"/>
      <c r="P9" s="289"/>
    </row>
    <row r="10" spans="9:16" x14ac:dyDescent="0.3">
      <c r="I10" s="290" t="s">
        <v>202</v>
      </c>
      <c r="J10" s="291"/>
      <c r="K10" s="290" t="s">
        <v>203</v>
      </c>
      <c r="L10" s="291"/>
      <c r="M10" s="294" t="s">
        <v>204</v>
      </c>
      <c r="N10" s="295"/>
      <c r="O10" s="290" t="s">
        <v>5</v>
      </c>
      <c r="P10" s="291"/>
    </row>
    <row r="11" spans="9:16" ht="14.5" thickBot="1" x14ac:dyDescent="0.35">
      <c r="I11" s="292"/>
      <c r="J11" s="293"/>
      <c r="K11" s="292"/>
      <c r="L11" s="293"/>
      <c r="M11" s="296"/>
      <c r="N11" s="297"/>
      <c r="O11" s="292"/>
      <c r="P11" s="293"/>
    </row>
    <row r="12" spans="9:16" x14ac:dyDescent="0.3">
      <c r="I12" s="279" t="s">
        <v>205</v>
      </c>
      <c r="J12" s="280"/>
      <c r="K12" s="283">
        <f>240000</f>
        <v>240000</v>
      </c>
      <c r="L12" s="283"/>
      <c r="M12" s="283">
        <f>240000</f>
        <v>240000</v>
      </c>
      <c r="N12" s="283"/>
      <c r="O12" s="283">
        <v>2700000</v>
      </c>
      <c r="P12" s="285"/>
    </row>
    <row r="13" spans="9:16" x14ac:dyDescent="0.3">
      <c r="I13" s="281"/>
      <c r="J13" s="282"/>
      <c r="K13" s="284"/>
      <c r="L13" s="284"/>
      <c r="M13" s="284"/>
      <c r="N13" s="284"/>
      <c r="O13" s="284"/>
      <c r="P13" s="286"/>
    </row>
    <row r="14" spans="9:16" x14ac:dyDescent="0.3">
      <c r="I14" s="281" t="s">
        <v>206</v>
      </c>
      <c r="J14" s="282"/>
      <c r="K14" s="284">
        <f>1000000</f>
        <v>1000000</v>
      </c>
      <c r="L14" s="284"/>
      <c r="M14" s="284">
        <v>1730000</v>
      </c>
      <c r="N14" s="284"/>
      <c r="O14" s="282" t="s">
        <v>207</v>
      </c>
      <c r="P14" s="298"/>
    </row>
    <row r="15" spans="9:16" x14ac:dyDescent="0.3">
      <c r="I15" s="281"/>
      <c r="J15" s="282"/>
      <c r="K15" s="284"/>
      <c r="L15" s="284"/>
      <c r="M15" s="284"/>
      <c r="N15" s="284"/>
      <c r="O15" s="282"/>
      <c r="P15" s="298"/>
    </row>
    <row r="16" spans="9:16" x14ac:dyDescent="0.3">
      <c r="I16" s="281" t="s">
        <v>208</v>
      </c>
      <c r="J16" s="282"/>
      <c r="K16" s="299">
        <f>(K14+K12)*0.06</f>
        <v>74400</v>
      </c>
      <c r="L16" s="299"/>
      <c r="M16" s="299">
        <f>(M14+M12)*0.06</f>
        <v>118200</v>
      </c>
      <c r="N16" s="299"/>
      <c r="O16" s="299">
        <f>O12*0.06</f>
        <v>162000</v>
      </c>
      <c r="P16" s="300"/>
    </row>
    <row r="17" spans="1:16" x14ac:dyDescent="0.3">
      <c r="I17" s="281"/>
      <c r="J17" s="282"/>
      <c r="K17" s="299"/>
      <c r="L17" s="299"/>
      <c r="M17" s="299"/>
      <c r="N17" s="299"/>
      <c r="O17" s="299"/>
      <c r="P17" s="300"/>
    </row>
    <row r="18" spans="1:16" x14ac:dyDescent="0.3">
      <c r="I18" s="281" t="s">
        <v>209</v>
      </c>
      <c r="J18" s="282"/>
      <c r="K18" s="282" t="s">
        <v>207</v>
      </c>
      <c r="L18" s="282"/>
      <c r="M18" s="299">
        <v>144000</v>
      </c>
      <c r="N18" s="299"/>
      <c r="O18" s="282" t="s">
        <v>207</v>
      </c>
      <c r="P18" s="298"/>
    </row>
    <row r="19" spans="1:16" x14ac:dyDescent="0.3">
      <c r="I19" s="281"/>
      <c r="J19" s="282"/>
      <c r="K19" s="282"/>
      <c r="L19" s="282"/>
      <c r="M19" s="299"/>
      <c r="N19" s="299"/>
      <c r="O19" s="282"/>
      <c r="P19" s="298"/>
    </row>
    <row r="20" spans="1:16" x14ac:dyDescent="0.3">
      <c r="I20" s="304" t="s">
        <v>8</v>
      </c>
      <c r="J20" s="305"/>
      <c r="K20" s="306">
        <f>SUM(K12:L19)</f>
        <v>1314400</v>
      </c>
      <c r="L20" s="305"/>
      <c r="M20" s="306">
        <f>SUM(M12:N19)</f>
        <v>2232200</v>
      </c>
      <c r="N20" s="305"/>
      <c r="O20" s="306">
        <f>SUM(O12:P19)</f>
        <v>2862000</v>
      </c>
      <c r="P20" s="307"/>
    </row>
    <row r="21" spans="1:16" x14ac:dyDescent="0.3">
      <c r="I21" s="304"/>
      <c r="J21" s="305"/>
      <c r="K21" s="305"/>
      <c r="L21" s="305"/>
      <c r="M21" s="305"/>
      <c r="N21" s="305"/>
      <c r="O21" s="305"/>
      <c r="P21" s="307"/>
    </row>
    <row r="22" spans="1:16" x14ac:dyDescent="0.3">
      <c r="I22" s="281" t="s">
        <v>210</v>
      </c>
      <c r="J22" s="282"/>
      <c r="K22" s="299">
        <v>500000</v>
      </c>
      <c r="L22" s="282"/>
      <c r="M22" s="299">
        <v>1500000</v>
      </c>
      <c r="N22" s="282"/>
      <c r="O22" s="282" t="s">
        <v>211</v>
      </c>
      <c r="P22" s="298"/>
    </row>
    <row r="23" spans="1:16" ht="14.5" thickBot="1" x14ac:dyDescent="0.35">
      <c r="I23" s="301"/>
      <c r="J23" s="302"/>
      <c r="K23" s="302"/>
      <c r="L23" s="302"/>
      <c r="M23" s="302"/>
      <c r="N23" s="302"/>
      <c r="O23" s="302"/>
      <c r="P23" s="303"/>
    </row>
    <row r="26" spans="1:16" ht="14.5" thickBot="1" x14ac:dyDescent="0.35"/>
    <row r="27" spans="1:16" x14ac:dyDescent="0.3">
      <c r="A27" s="362" t="s">
        <v>299</v>
      </c>
      <c r="B27" s="363" t="s">
        <v>183</v>
      </c>
      <c r="C27" s="363" t="s">
        <v>20</v>
      </c>
      <c r="D27" s="363" t="s">
        <v>221</v>
      </c>
      <c r="E27" s="363" t="s">
        <v>300</v>
      </c>
      <c r="F27" s="225"/>
    </row>
    <row r="28" spans="1:16" x14ac:dyDescent="0.3">
      <c r="A28" s="364" t="s">
        <v>281</v>
      </c>
      <c r="B28" s="229" t="s">
        <v>282</v>
      </c>
      <c r="C28" s="229">
        <v>160</v>
      </c>
      <c r="D28" s="361">
        <v>0</v>
      </c>
      <c r="E28" s="229"/>
      <c r="F28" s="230" t="s">
        <v>301</v>
      </c>
    </row>
    <row r="29" spans="1:16" x14ac:dyDescent="0.3">
      <c r="A29" s="364" t="s">
        <v>283</v>
      </c>
      <c r="B29" s="229" t="s">
        <v>284</v>
      </c>
      <c r="C29" s="229">
        <v>266</v>
      </c>
      <c r="D29" s="361">
        <f>(266-175)*6700</f>
        <v>609700</v>
      </c>
      <c r="E29" s="361"/>
      <c r="F29" s="230" t="s">
        <v>285</v>
      </c>
    </row>
    <row r="30" spans="1:16" x14ac:dyDescent="0.3">
      <c r="A30" s="364" t="s">
        <v>286</v>
      </c>
      <c r="B30" s="229" t="s">
        <v>287</v>
      </c>
      <c r="C30" s="229">
        <v>60</v>
      </c>
      <c r="D30" s="361">
        <f>C30*2500</f>
        <v>150000</v>
      </c>
      <c r="E30" s="361">
        <v>24000</v>
      </c>
      <c r="F30" s="230" t="s">
        <v>288</v>
      </c>
    </row>
    <row r="31" spans="1:16" x14ac:dyDescent="0.3">
      <c r="A31" s="364" t="s">
        <v>289</v>
      </c>
      <c r="B31" s="229" t="s">
        <v>290</v>
      </c>
      <c r="C31" s="229" t="s">
        <v>291</v>
      </c>
      <c r="D31" s="361">
        <v>0</v>
      </c>
      <c r="E31" s="361"/>
      <c r="F31" s="230" t="s">
        <v>292</v>
      </c>
    </row>
    <row r="32" spans="1:16" x14ac:dyDescent="0.3">
      <c r="A32" s="364" t="s">
        <v>293</v>
      </c>
      <c r="B32" s="229" t="s">
        <v>294</v>
      </c>
      <c r="C32" s="229">
        <v>34</v>
      </c>
      <c r="D32" s="361">
        <v>0</v>
      </c>
      <c r="E32" s="361"/>
      <c r="F32" s="230" t="s">
        <v>295</v>
      </c>
    </row>
    <row r="33" spans="1:6" x14ac:dyDescent="0.3">
      <c r="A33" s="364" t="s">
        <v>296</v>
      </c>
      <c r="B33" s="229" t="s">
        <v>18</v>
      </c>
      <c r="C33" s="229">
        <v>60</v>
      </c>
      <c r="D33" s="361">
        <f>40*2500</f>
        <v>100000</v>
      </c>
      <c r="E33" s="361"/>
      <c r="F33" s="230" t="s">
        <v>302</v>
      </c>
    </row>
    <row r="34" spans="1:6" ht="14.5" thickBot="1" x14ac:dyDescent="0.35">
      <c r="A34" s="365" t="s">
        <v>293</v>
      </c>
      <c r="B34" s="248" t="s">
        <v>297</v>
      </c>
      <c r="C34" s="248">
        <v>766</v>
      </c>
      <c r="D34" s="366">
        <v>0</v>
      </c>
      <c r="E34" s="366">
        <v>20000</v>
      </c>
      <c r="F34" s="249" t="s">
        <v>298</v>
      </c>
    </row>
    <row r="35" spans="1:6" ht="14.5" thickBot="1" x14ac:dyDescent="0.35">
      <c r="A35" s="359"/>
      <c r="B35" s="360"/>
      <c r="C35" s="360"/>
      <c r="D35" s="367">
        <f>SUM(D28:D34)</f>
        <v>859700</v>
      </c>
      <c r="E35" s="368">
        <f>SUM(E28:E34)</f>
        <v>44000</v>
      </c>
      <c r="F35" s="266"/>
    </row>
  </sheetData>
  <mergeCells count="29">
    <mergeCell ref="I22:J23"/>
    <mergeCell ref="K22:L23"/>
    <mergeCell ref="M22:N23"/>
    <mergeCell ref="O22:P23"/>
    <mergeCell ref="I18:J19"/>
    <mergeCell ref="K18:L19"/>
    <mergeCell ref="M18:N19"/>
    <mergeCell ref="O18:P19"/>
    <mergeCell ref="I20:J21"/>
    <mergeCell ref="K20:L21"/>
    <mergeCell ref="M20:N21"/>
    <mergeCell ref="O20:P21"/>
    <mergeCell ref="I14:J15"/>
    <mergeCell ref="K14:L15"/>
    <mergeCell ref="M14:N15"/>
    <mergeCell ref="O14:P15"/>
    <mergeCell ref="I16:J17"/>
    <mergeCell ref="K16:L17"/>
    <mergeCell ref="M16:N17"/>
    <mergeCell ref="O16:P17"/>
    <mergeCell ref="I12:J13"/>
    <mergeCell ref="K12:L13"/>
    <mergeCell ref="M12:N13"/>
    <mergeCell ref="O12:P13"/>
    <mergeCell ref="I9:P9"/>
    <mergeCell ref="I10:J11"/>
    <mergeCell ref="K10:L11"/>
    <mergeCell ref="M10:N11"/>
    <mergeCell ref="O10:P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91"/>
  <sheetViews>
    <sheetView rightToLeft="1" topLeftCell="A77" workbookViewId="0">
      <selection activeCell="D90" sqref="D90"/>
    </sheetView>
  </sheetViews>
  <sheetFormatPr defaultRowHeight="14" x14ac:dyDescent="0.3"/>
  <cols>
    <col min="1" max="1" width="20.08203125" customWidth="1"/>
    <col min="2" max="2" width="9.83203125" bestFit="1" customWidth="1"/>
    <col min="3" max="3" width="6.58203125" customWidth="1"/>
    <col min="4" max="4" width="11.5" customWidth="1"/>
    <col min="6" max="6" width="19.4140625" bestFit="1" customWidth="1"/>
    <col min="7" max="7" width="12.4140625" bestFit="1" customWidth="1"/>
    <col min="10" max="10" width="9.83203125" bestFit="1" customWidth="1"/>
    <col min="11" max="11" width="12.1640625" bestFit="1" customWidth="1"/>
    <col min="13" max="13" width="10.6640625" bestFit="1" customWidth="1"/>
    <col min="14" max="14" width="8.83203125" customWidth="1"/>
    <col min="15" max="15" width="12.9140625" customWidth="1"/>
    <col min="18" max="18" width="8.83203125" customWidth="1"/>
    <col min="19" max="19" width="9.83203125" customWidth="1"/>
    <col min="20" max="20" width="13" bestFit="1" customWidth="1"/>
    <col min="21" max="21" width="12" customWidth="1"/>
    <col min="22" max="22" width="15.58203125" customWidth="1"/>
    <col min="23" max="23" width="11" customWidth="1"/>
    <col min="24" max="24" width="13.1640625" bestFit="1" customWidth="1"/>
    <col min="25" max="25" width="9.5" bestFit="1" customWidth="1"/>
  </cols>
  <sheetData>
    <row r="1" spans="1:10" ht="14.5" thickBot="1" x14ac:dyDescent="0.35"/>
    <row r="2" spans="1:10" x14ac:dyDescent="0.3">
      <c r="A2" s="10" t="s">
        <v>19</v>
      </c>
      <c r="B2" s="11">
        <v>2500</v>
      </c>
      <c r="C2" s="12" t="s">
        <v>126</v>
      </c>
      <c r="D2" s="13"/>
      <c r="F2" s="10" t="s">
        <v>19</v>
      </c>
      <c r="G2" s="11">
        <v>3000</v>
      </c>
      <c r="H2" s="12"/>
      <c r="I2" s="13"/>
    </row>
    <row r="3" spans="1:10" x14ac:dyDescent="0.3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3">
      <c r="A4" s="18" t="s">
        <v>52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3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3">
      <c r="A6" s="18" t="s">
        <v>93</v>
      </c>
      <c r="B6" s="19">
        <f>150-B5</f>
        <v>125</v>
      </c>
      <c r="C6" s="20">
        <v>0.5</v>
      </c>
      <c r="D6" s="21">
        <f>C6*B6</f>
        <v>62.5</v>
      </c>
      <c r="F6" s="18" t="str">
        <f t="shared" si="0"/>
        <v>יתרת ש"ש</v>
      </c>
      <c r="G6" s="19">
        <f t="shared" si="0"/>
        <v>125</v>
      </c>
      <c r="H6" s="20">
        <f t="shared" si="0"/>
        <v>0.5</v>
      </c>
      <c r="I6" s="21">
        <f>H6*G6</f>
        <v>62.5</v>
      </c>
    </row>
    <row r="7" spans="1:10" x14ac:dyDescent="0.3">
      <c r="A7" s="18"/>
      <c r="B7" s="19"/>
      <c r="C7" s="20"/>
      <c r="D7" s="21"/>
      <c r="F7" s="18">
        <f t="shared" si="0"/>
        <v>0</v>
      </c>
      <c r="G7" s="19">
        <f t="shared" si="0"/>
        <v>0</v>
      </c>
      <c r="H7" s="20">
        <f t="shared" si="0"/>
        <v>0</v>
      </c>
      <c r="I7" s="21">
        <f>H7*G7</f>
        <v>0</v>
      </c>
    </row>
    <row r="8" spans="1:10" x14ac:dyDescent="0.3">
      <c r="A8" s="22" t="s">
        <v>24</v>
      </c>
      <c r="B8" s="23">
        <f>SUM(B4:B6)</f>
        <v>600</v>
      </c>
      <c r="C8" s="24"/>
      <c r="D8" s="25"/>
      <c r="E8" s="91"/>
      <c r="F8" s="22" t="s">
        <v>24</v>
      </c>
      <c r="G8" s="23">
        <f>SUM(G4:G7)</f>
        <v>600</v>
      </c>
      <c r="H8" s="24"/>
      <c r="I8" s="25"/>
    </row>
    <row r="9" spans="1:10" x14ac:dyDescent="0.3">
      <c r="A9" s="26" t="s">
        <v>25</v>
      </c>
      <c r="B9" s="27">
        <f>B2-B8</f>
        <v>1900</v>
      </c>
      <c r="C9" s="28"/>
      <c r="D9" s="29"/>
      <c r="F9" s="26" t="s">
        <v>25</v>
      </c>
      <c r="G9" s="27">
        <f>G2-G8</f>
        <v>2400</v>
      </c>
      <c r="H9" s="28"/>
      <c r="I9" s="29"/>
    </row>
    <row r="10" spans="1:10" x14ac:dyDescent="0.3">
      <c r="A10" s="22" t="s">
        <v>26</v>
      </c>
      <c r="B10" s="23">
        <v>1000</v>
      </c>
      <c r="C10" s="24">
        <v>0.25</v>
      </c>
      <c r="D10" s="25">
        <f>C10*B10</f>
        <v>250</v>
      </c>
      <c r="F10" s="22" t="s">
        <v>26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3">
      <c r="A11" s="18" t="s">
        <v>27</v>
      </c>
      <c r="B11" s="19">
        <f>B9-B10</f>
        <v>900</v>
      </c>
      <c r="C11" s="20">
        <v>0.2</v>
      </c>
      <c r="D11" s="21">
        <f>C11*B11</f>
        <v>180</v>
      </c>
      <c r="F11" s="18" t="s">
        <v>27</v>
      </c>
      <c r="G11" s="19">
        <f>B11</f>
        <v>900</v>
      </c>
      <c r="H11" s="20">
        <v>0.2</v>
      </c>
      <c r="I11" s="21">
        <f>H11*G11</f>
        <v>180</v>
      </c>
    </row>
    <row r="12" spans="1:10" x14ac:dyDescent="0.3">
      <c r="A12" s="18"/>
      <c r="B12" s="19"/>
      <c r="C12" s="20"/>
      <c r="D12" s="21"/>
      <c r="F12" s="18" t="s">
        <v>68</v>
      </c>
      <c r="G12" s="19">
        <v>500</v>
      </c>
      <c r="H12" s="20">
        <v>0.1</v>
      </c>
      <c r="I12" s="21">
        <f>G12*H12</f>
        <v>50</v>
      </c>
    </row>
    <row r="13" spans="1:10" x14ac:dyDescent="0.3">
      <c r="A13" s="30" t="s">
        <v>28</v>
      </c>
      <c r="B13" s="31"/>
      <c r="C13" s="32"/>
      <c r="D13" s="33">
        <f>SUM(D4:D12)</f>
        <v>965</v>
      </c>
      <c r="F13" s="30" t="s">
        <v>28</v>
      </c>
      <c r="G13" s="31">
        <f>SUM(G4:G11)</f>
        <v>5500</v>
      </c>
      <c r="H13" s="32"/>
      <c r="I13" s="33">
        <f>SUM(I4:I12)</f>
        <v>1015</v>
      </c>
      <c r="J13" s="74"/>
    </row>
    <row r="14" spans="1:10" ht="14.5" thickBot="1" x14ac:dyDescent="0.35">
      <c r="A14" s="34" t="s">
        <v>29</v>
      </c>
      <c r="B14" s="35"/>
      <c r="C14" s="36"/>
      <c r="D14" s="37">
        <f>D13</f>
        <v>965</v>
      </c>
      <c r="E14" s="72"/>
      <c r="F14" s="34" t="s">
        <v>29</v>
      </c>
      <c r="G14" s="35"/>
      <c r="H14" s="36"/>
      <c r="I14" s="37">
        <f>I13</f>
        <v>1015</v>
      </c>
    </row>
    <row r="15" spans="1:10" x14ac:dyDescent="0.3">
      <c r="A15" t="s">
        <v>62</v>
      </c>
      <c r="D15" s="17">
        <v>247000</v>
      </c>
      <c r="F15" t="s">
        <v>62</v>
      </c>
      <c r="I15" s="17">
        <v>263000</v>
      </c>
    </row>
    <row r="16" spans="1:10" ht="14.5" thickBot="1" x14ac:dyDescent="0.35">
      <c r="D16" s="17"/>
      <c r="I16" s="17"/>
    </row>
    <row r="17" spans="1:9" x14ac:dyDescent="0.3">
      <c r="A17" s="10" t="s">
        <v>65</v>
      </c>
      <c r="B17" s="11">
        <v>2500</v>
      </c>
      <c r="C17" s="12" t="s">
        <v>94</v>
      </c>
      <c r="D17" s="13"/>
      <c r="I17" s="17"/>
    </row>
    <row r="18" spans="1:9" x14ac:dyDescent="0.3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3">
      <c r="A19" s="18" t="s">
        <v>52</v>
      </c>
      <c r="B19" s="19">
        <v>200</v>
      </c>
      <c r="C19" s="20">
        <v>1</v>
      </c>
      <c r="D19" s="21">
        <f>C19*B19</f>
        <v>200</v>
      </c>
      <c r="I19" s="17"/>
    </row>
    <row r="20" spans="1:9" x14ac:dyDescent="0.3">
      <c r="A20" s="18" t="s">
        <v>64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3">
      <c r="A21" s="18" t="s">
        <v>95</v>
      </c>
      <c r="B21" s="19">
        <f>60-B20</f>
        <v>48</v>
      </c>
      <c r="C21" s="20">
        <v>0.5</v>
      </c>
      <c r="D21" s="21">
        <f>C21*B21</f>
        <v>24</v>
      </c>
      <c r="I21" s="17"/>
    </row>
    <row r="22" spans="1:9" x14ac:dyDescent="0.3">
      <c r="A22" s="18" t="s">
        <v>96</v>
      </c>
      <c r="B22" s="19">
        <v>50</v>
      </c>
      <c r="C22" s="20">
        <v>0.4</v>
      </c>
      <c r="D22" s="21">
        <f>C22*B22</f>
        <v>20</v>
      </c>
      <c r="I22" s="17"/>
    </row>
    <row r="23" spans="1:9" x14ac:dyDescent="0.3">
      <c r="A23" s="18"/>
      <c r="B23" s="19"/>
      <c r="C23" s="20"/>
      <c r="D23" s="21"/>
      <c r="I23" s="17"/>
    </row>
    <row r="24" spans="1:9" x14ac:dyDescent="0.3">
      <c r="A24" s="22" t="s">
        <v>66</v>
      </c>
      <c r="B24" s="23">
        <f>-B19-B20-B21</f>
        <v>-260</v>
      </c>
      <c r="C24" s="24">
        <v>0.2</v>
      </c>
      <c r="D24" s="25">
        <f>B24*C24</f>
        <v>-52</v>
      </c>
      <c r="I24" s="17"/>
    </row>
    <row r="25" spans="1:9" x14ac:dyDescent="0.3">
      <c r="A25" s="18" t="s">
        <v>8</v>
      </c>
      <c r="B25" s="19"/>
      <c r="C25" s="20"/>
      <c r="D25" s="21">
        <f>SUM(D19:D24)</f>
        <v>202.8</v>
      </c>
      <c r="I25" s="17"/>
    </row>
    <row r="26" spans="1:9" x14ac:dyDescent="0.3">
      <c r="A26" s="30" t="s">
        <v>85</v>
      </c>
      <c r="B26" s="31"/>
      <c r="C26" s="32"/>
      <c r="D26" s="278">
        <f>1/1.05^4</f>
        <v>0.82270247479188197</v>
      </c>
      <c r="I26" s="17"/>
    </row>
    <row r="27" spans="1:9" ht="14.5" thickBot="1" x14ac:dyDescent="0.35">
      <c r="A27" s="34" t="s">
        <v>29</v>
      </c>
      <c r="B27" s="35"/>
      <c r="C27" s="36"/>
      <c r="D27" s="37">
        <f>D25*D26</f>
        <v>166.84406188779369</v>
      </c>
      <c r="I27" s="17"/>
    </row>
    <row r="28" spans="1:9" ht="14.5" thickBot="1" x14ac:dyDescent="0.35">
      <c r="D28" s="17"/>
      <c r="I28" s="17"/>
    </row>
    <row r="29" spans="1:9" ht="14.5" thickBot="1" x14ac:dyDescent="0.35">
      <c r="A29" s="309" t="s">
        <v>194</v>
      </c>
      <c r="B29" s="310"/>
      <c r="C29" s="310"/>
      <c r="D29" s="311"/>
      <c r="I29" s="17"/>
    </row>
    <row r="30" spans="1:9" x14ac:dyDescent="0.3">
      <c r="A30" s="213" t="s">
        <v>195</v>
      </c>
      <c r="B30" s="12"/>
      <c r="C30" s="12"/>
      <c r="D30" s="214">
        <v>186</v>
      </c>
      <c r="I30" s="17"/>
    </row>
    <row r="31" spans="1:9" x14ac:dyDescent="0.3">
      <c r="A31" s="18" t="s">
        <v>196</v>
      </c>
      <c r="D31" s="215">
        <v>160</v>
      </c>
      <c r="I31" s="17"/>
    </row>
    <row r="32" spans="1:9" ht="14.5" thickBot="1" x14ac:dyDescent="0.35">
      <c r="A32" s="101" t="s">
        <v>197</v>
      </c>
      <c r="B32" s="103"/>
      <c r="C32" s="103"/>
      <c r="D32" s="216"/>
      <c r="I32" s="17"/>
    </row>
    <row r="33" spans="1:25" x14ac:dyDescent="0.3">
      <c r="A33" s="10" t="s">
        <v>198</v>
      </c>
      <c r="B33" s="12"/>
      <c r="C33" s="12"/>
      <c r="D33" s="214">
        <v>240</v>
      </c>
      <c r="I33" s="17"/>
    </row>
    <row r="34" spans="1:25" x14ac:dyDescent="0.3">
      <c r="A34" s="18"/>
      <c r="D34" s="215"/>
      <c r="I34" s="17"/>
    </row>
    <row r="35" spans="1:25" x14ac:dyDescent="0.3">
      <c r="A35" s="18"/>
      <c r="D35" s="215"/>
      <c r="I35" s="17"/>
    </row>
    <row r="36" spans="1:25" x14ac:dyDescent="0.3">
      <c r="A36" s="18"/>
      <c r="D36" s="215"/>
      <c r="I36" s="17"/>
    </row>
    <row r="37" spans="1:25" x14ac:dyDescent="0.3">
      <c r="A37" s="18" t="s">
        <v>196</v>
      </c>
      <c r="D37" s="215">
        <v>160</v>
      </c>
      <c r="I37" s="17"/>
    </row>
    <row r="38" spans="1:25" ht="14.5" thickBot="1" x14ac:dyDescent="0.35">
      <c r="A38" s="101" t="s">
        <v>197</v>
      </c>
      <c r="B38" s="103"/>
      <c r="C38" s="103"/>
      <c r="D38" s="216"/>
      <c r="I38" s="17"/>
    </row>
    <row r="39" spans="1:25" ht="14.5" thickBot="1" x14ac:dyDescent="0.35">
      <c r="A39" s="18"/>
      <c r="D39" s="215"/>
      <c r="I39" s="17"/>
    </row>
    <row r="40" spans="1:25" ht="14.5" thickBot="1" x14ac:dyDescent="0.35">
      <c r="A40" s="217" t="s">
        <v>199</v>
      </c>
      <c r="B40" s="218"/>
      <c r="C40" s="218"/>
      <c r="D40" s="219">
        <f>D38+D32</f>
        <v>0</v>
      </c>
      <c r="I40" s="17"/>
    </row>
    <row r="41" spans="1:25" x14ac:dyDescent="0.3">
      <c r="D41" s="17"/>
      <c r="I41" s="17"/>
    </row>
    <row r="42" spans="1:25" x14ac:dyDescent="0.3">
      <c r="D42" s="17"/>
      <c r="I42" s="17"/>
    </row>
    <row r="43" spans="1:25" x14ac:dyDescent="0.3">
      <c r="A43" t="s">
        <v>200</v>
      </c>
      <c r="D43" s="17">
        <f>D14+D27-D40</f>
        <v>1131.8440618877937</v>
      </c>
      <c r="I43" s="17"/>
    </row>
    <row r="44" spans="1:25" x14ac:dyDescent="0.3">
      <c r="D44" s="17"/>
      <c r="I44" s="17"/>
    </row>
    <row r="45" spans="1:25" x14ac:dyDescent="0.3">
      <c r="D45" s="17"/>
      <c r="I45" s="17"/>
    </row>
    <row r="46" spans="1:25" x14ac:dyDescent="0.3">
      <c r="D46" s="17"/>
      <c r="I46" s="17"/>
    </row>
    <row r="47" spans="1:25" ht="14.5" thickBot="1" x14ac:dyDescent="0.35">
      <c r="D47" s="17"/>
      <c r="I47" s="17"/>
    </row>
    <row r="48" spans="1:25" ht="14.5" thickBot="1" x14ac:dyDescent="0.35">
      <c r="A48" s="39" t="s">
        <v>156</v>
      </c>
      <c r="O48" s="220" t="s">
        <v>212</v>
      </c>
      <c r="P48" s="221" t="s">
        <v>213</v>
      </c>
      <c r="Q48" s="221" t="s">
        <v>214</v>
      </c>
      <c r="R48" s="221" t="s">
        <v>215</v>
      </c>
      <c r="S48" s="222" t="s">
        <v>216</v>
      </c>
      <c r="T48" s="220" t="s">
        <v>217</v>
      </c>
      <c r="U48" s="223" t="s">
        <v>218</v>
      </c>
      <c r="V48" s="220" t="s">
        <v>219</v>
      </c>
      <c r="W48" s="223" t="s">
        <v>220</v>
      </c>
      <c r="X48" s="220" t="s">
        <v>219</v>
      </c>
      <c r="Y48" s="223" t="s">
        <v>208</v>
      </c>
    </row>
    <row r="49" spans="1:25" x14ac:dyDescent="0.3">
      <c r="A49" s="10" t="s">
        <v>48</v>
      </c>
      <c r="B49" s="99">
        <v>500</v>
      </c>
      <c r="C49" s="12" t="s">
        <v>70</v>
      </c>
      <c r="D49" s="13"/>
      <c r="F49" s="10" t="s">
        <v>55</v>
      </c>
      <c r="G49" s="12"/>
      <c r="H49" s="12"/>
      <c r="I49" s="13"/>
      <c r="J49" t="s">
        <v>58</v>
      </c>
      <c r="O49" s="312" t="s">
        <v>221</v>
      </c>
      <c r="P49" s="224" t="s">
        <v>14</v>
      </c>
      <c r="Q49" s="224">
        <v>300</v>
      </c>
      <c r="R49" s="224">
        <v>160</v>
      </c>
      <c r="S49" s="225">
        <f>Q49-R49</f>
        <v>140</v>
      </c>
      <c r="T49" s="226">
        <v>3000</v>
      </c>
      <c r="U49" s="227">
        <f>S49*T49</f>
        <v>420000</v>
      </c>
      <c r="V49" s="226">
        <v>0</v>
      </c>
      <c r="W49" s="227">
        <f>S49*V49</f>
        <v>0</v>
      </c>
      <c r="X49" s="228">
        <v>0</v>
      </c>
      <c r="Y49" s="227">
        <v>0</v>
      </c>
    </row>
    <row r="50" spans="1:25" x14ac:dyDescent="0.3">
      <c r="A50" s="22" t="s">
        <v>49</v>
      </c>
      <c r="B50" s="40">
        <v>200</v>
      </c>
      <c r="C50" s="24">
        <v>1</v>
      </c>
      <c r="D50" s="25">
        <f t="shared" ref="D50:D53" si="1">B50*C50</f>
        <v>200</v>
      </c>
      <c r="F50" s="18" t="str">
        <f>A50</f>
        <v>מגורים עיקרי בהרחבה</v>
      </c>
      <c r="G50">
        <v>160</v>
      </c>
      <c r="H50">
        <v>1</v>
      </c>
      <c r="I50" s="21">
        <f>G50*H50</f>
        <v>160</v>
      </c>
      <c r="J50" s="17"/>
      <c r="K50" s="17"/>
      <c r="O50" s="314"/>
      <c r="P50" s="229" t="s">
        <v>15</v>
      </c>
      <c r="Q50" s="229">
        <v>197</v>
      </c>
      <c r="R50" s="229">
        <v>160</v>
      </c>
      <c r="S50" s="230">
        <f>Q50-R50</f>
        <v>37</v>
      </c>
      <c r="T50" s="231">
        <v>3000</v>
      </c>
      <c r="U50" s="232">
        <f>S50*T50</f>
        <v>111000</v>
      </c>
      <c r="V50" s="231">
        <v>0</v>
      </c>
      <c r="W50" s="232">
        <v>0</v>
      </c>
      <c r="X50" s="233">
        <v>0</v>
      </c>
      <c r="Y50" s="232">
        <v>0</v>
      </c>
    </row>
    <row r="51" spans="1:25" x14ac:dyDescent="0.3">
      <c r="A51" s="18" t="s">
        <v>64</v>
      </c>
      <c r="B51" s="19">
        <v>12</v>
      </c>
      <c r="C51" s="20">
        <v>0.9</v>
      </c>
      <c r="D51" s="21">
        <f t="shared" si="1"/>
        <v>10.8</v>
      </c>
      <c r="F51" s="18" t="s">
        <v>50</v>
      </c>
      <c r="G51" s="91">
        <f>B49-G50</f>
        <v>340</v>
      </c>
      <c r="H51">
        <v>0.25</v>
      </c>
      <c r="I51" s="21">
        <f>G51*H51</f>
        <v>85</v>
      </c>
      <c r="J51" s="17"/>
      <c r="K51" s="17"/>
      <c r="O51" s="314"/>
      <c r="P51" s="229" t="s">
        <v>222</v>
      </c>
      <c r="Q51" s="229">
        <v>130</v>
      </c>
      <c r="R51" s="229">
        <v>0</v>
      </c>
      <c r="S51" s="230">
        <f>Q51-R51</f>
        <v>130</v>
      </c>
      <c r="T51" s="231">
        <v>3000</v>
      </c>
      <c r="U51" s="232">
        <f>S51*T51</f>
        <v>390000</v>
      </c>
      <c r="V51" s="231">
        <v>0</v>
      </c>
      <c r="W51" s="232">
        <v>0</v>
      </c>
      <c r="X51" s="233">
        <v>0</v>
      </c>
      <c r="Y51" s="232">
        <v>0</v>
      </c>
    </row>
    <row r="52" spans="1:25" ht="14.5" thickBot="1" x14ac:dyDescent="0.35">
      <c r="A52" s="18" t="s">
        <v>95</v>
      </c>
      <c r="B52" s="19">
        <v>48</v>
      </c>
      <c r="C52" s="20">
        <v>0.5</v>
      </c>
      <c r="D52" s="21">
        <f t="shared" si="1"/>
        <v>24</v>
      </c>
      <c r="F52" s="43" t="s">
        <v>56</v>
      </c>
      <c r="G52" s="108"/>
      <c r="H52" s="108"/>
      <c r="I52" s="109">
        <f>I50+I51</f>
        <v>245</v>
      </c>
      <c r="J52" s="17">
        <f>'ניתוח איזור לעסקאות דמה'!E29</f>
        <v>8773.4230820663142</v>
      </c>
      <c r="K52" s="17">
        <f>I52*J52</f>
        <v>2149488.6551062469</v>
      </c>
      <c r="L52" s="110">
        <v>0.29249999999999998</v>
      </c>
      <c r="M52" s="91">
        <f>K52*L52</f>
        <v>628725.43161857722</v>
      </c>
      <c r="O52" s="314"/>
      <c r="P52" s="234" t="s">
        <v>223</v>
      </c>
      <c r="Q52" s="234">
        <v>55</v>
      </c>
      <c r="R52" s="234">
        <v>0</v>
      </c>
      <c r="S52" s="235">
        <f>Q52-R52</f>
        <v>55</v>
      </c>
      <c r="T52" s="236">
        <v>3000</v>
      </c>
      <c r="U52" s="237">
        <f>S52*T52</f>
        <v>165000</v>
      </c>
      <c r="V52" s="236">
        <v>0</v>
      </c>
      <c r="W52" s="237">
        <v>0</v>
      </c>
      <c r="X52" s="238">
        <v>0</v>
      </c>
      <c r="Y52" s="237">
        <v>0</v>
      </c>
    </row>
    <row r="53" spans="1:25" ht="15" thickTop="1" thickBot="1" x14ac:dyDescent="0.35">
      <c r="A53" s="18" t="s">
        <v>96</v>
      </c>
      <c r="B53" s="19">
        <v>50</v>
      </c>
      <c r="C53" s="20">
        <v>0.4</v>
      </c>
      <c r="D53" s="21">
        <f t="shared" si="1"/>
        <v>20</v>
      </c>
      <c r="F53" s="101" t="s">
        <v>57</v>
      </c>
      <c r="G53" s="103"/>
      <c r="H53" s="103"/>
      <c r="I53" s="104">
        <f>D59-I52</f>
        <v>96.300000000000011</v>
      </c>
      <c r="J53" s="17">
        <f>J52</f>
        <v>8773.4230820663142</v>
      </c>
      <c r="K53" s="17">
        <f>I53*J53</f>
        <v>844880.6428029862</v>
      </c>
      <c r="L53" s="110">
        <v>0.33</v>
      </c>
      <c r="M53" s="91">
        <f>K53*L53</f>
        <v>278810.61212498543</v>
      </c>
      <c r="O53" s="313"/>
      <c r="P53" s="315" t="s">
        <v>8</v>
      </c>
      <c r="Q53" s="316"/>
      <c r="R53" s="317"/>
      <c r="S53" s="239">
        <f>SUM(S49:S52)</f>
        <v>362</v>
      </c>
      <c r="T53" s="240">
        <v>3000</v>
      </c>
      <c r="U53" s="241">
        <f>SUM(U49:U52)</f>
        <v>1086000</v>
      </c>
      <c r="V53" s="240">
        <v>0</v>
      </c>
      <c r="W53" s="241">
        <v>0</v>
      </c>
      <c r="X53" s="242">
        <v>0</v>
      </c>
      <c r="Y53" s="241">
        <v>0</v>
      </c>
    </row>
    <row r="54" spans="1:25" x14ac:dyDescent="0.3">
      <c r="A54" s="18"/>
      <c r="B54" s="19"/>
      <c r="C54" s="20"/>
      <c r="D54" s="21"/>
      <c r="M54" s="91">
        <f>SUM(M52:M53)</f>
        <v>907536.04374356265</v>
      </c>
      <c r="O54" s="279" t="s">
        <v>224</v>
      </c>
      <c r="P54" s="224" t="s">
        <v>224</v>
      </c>
      <c r="Q54" s="243">
        <v>3.7499999999999999E-2</v>
      </c>
      <c r="R54" s="244"/>
      <c r="S54" s="225">
        <v>375</v>
      </c>
      <c r="T54" s="245">
        <v>240000</v>
      </c>
      <c r="U54" s="246">
        <f>T54</f>
        <v>240000</v>
      </c>
      <c r="V54" s="245">
        <v>0</v>
      </c>
      <c r="W54" s="246">
        <v>0</v>
      </c>
      <c r="X54" s="247">
        <v>0.06</v>
      </c>
      <c r="Y54" s="246">
        <f>U54*6%</f>
        <v>14400</v>
      </c>
    </row>
    <row r="55" spans="1:25" ht="14.5" thickBot="1" x14ac:dyDescent="0.35">
      <c r="A55" s="100"/>
      <c r="B55" s="71"/>
      <c r="C55" s="28"/>
      <c r="D55" s="29"/>
      <c r="O55" s="301"/>
      <c r="P55" s="248" t="s">
        <v>225</v>
      </c>
      <c r="Q55" s="248"/>
      <c r="R55" s="248"/>
      <c r="S55" s="249">
        <f>SUM(S53:S54)</f>
        <v>737</v>
      </c>
      <c r="T55" s="250"/>
      <c r="U55" s="251"/>
      <c r="V55" s="250"/>
      <c r="W55" s="251"/>
      <c r="X55" s="252"/>
      <c r="Y55" s="251">
        <v>0</v>
      </c>
    </row>
    <row r="56" spans="1:25" x14ac:dyDescent="0.3">
      <c r="A56" s="22" t="s">
        <v>24</v>
      </c>
      <c r="B56" s="23">
        <f>(B50+B51)/2+B52</f>
        <v>154</v>
      </c>
      <c r="C56" s="24"/>
      <c r="D56" s="25"/>
      <c r="O56" s="312" t="s">
        <v>168</v>
      </c>
      <c r="P56" s="224" t="s">
        <v>226</v>
      </c>
      <c r="Q56" s="253"/>
      <c r="R56" s="244"/>
      <c r="S56" s="225">
        <v>-160</v>
      </c>
      <c r="T56" s="226">
        <v>950000</v>
      </c>
      <c r="U56" s="227">
        <f>T56</f>
        <v>950000</v>
      </c>
      <c r="V56" s="226">
        <v>450000</v>
      </c>
      <c r="W56" s="227">
        <f>V56</f>
        <v>450000</v>
      </c>
      <c r="X56" s="228">
        <v>0.06</v>
      </c>
      <c r="Y56" s="227">
        <f>U56*6%</f>
        <v>57000</v>
      </c>
    </row>
    <row r="57" spans="1:25" ht="14.5" thickBot="1" x14ac:dyDescent="0.35">
      <c r="A57" s="18" t="s">
        <v>25</v>
      </c>
      <c r="B57" s="19">
        <f>B49-B56</f>
        <v>346</v>
      </c>
      <c r="C57" s="20"/>
      <c r="D57" s="21"/>
      <c r="O57" s="313"/>
      <c r="P57" s="248" t="s">
        <v>227</v>
      </c>
      <c r="Q57" s="248"/>
      <c r="R57" s="248"/>
      <c r="S57" s="249">
        <f>SUM(S55:S56)</f>
        <v>577</v>
      </c>
      <c r="T57" s="250"/>
      <c r="U57" s="251"/>
      <c r="V57" s="250"/>
      <c r="W57" s="251"/>
      <c r="X57" s="252"/>
      <c r="Y57" s="251"/>
    </row>
    <row r="58" spans="1:25" x14ac:dyDescent="0.3">
      <c r="A58" s="26" t="s">
        <v>26</v>
      </c>
      <c r="B58" s="105">
        <f>B57</f>
        <v>346</v>
      </c>
      <c r="C58" s="106">
        <v>0.25</v>
      </c>
      <c r="D58" s="107">
        <f>B58*C58</f>
        <v>86.5</v>
      </c>
      <c r="O58" s="312" t="s">
        <v>228</v>
      </c>
      <c r="P58" s="224" t="s">
        <v>229</v>
      </c>
      <c r="Q58" s="224"/>
      <c r="R58" s="224"/>
      <c r="S58" s="225">
        <f>-Q50-Q51-Q52</f>
        <v>-382</v>
      </c>
      <c r="T58" s="226"/>
      <c r="U58" s="227"/>
      <c r="V58" s="226"/>
      <c r="W58" s="227">
        <v>0</v>
      </c>
      <c r="X58" s="228">
        <v>0</v>
      </c>
      <c r="Y58" s="227">
        <v>0</v>
      </c>
    </row>
    <row r="59" spans="1:25" ht="14.5" thickBot="1" x14ac:dyDescent="0.35">
      <c r="A59" s="101" t="s">
        <v>28</v>
      </c>
      <c r="B59" s="102"/>
      <c r="C59" s="103"/>
      <c r="D59" s="104">
        <f>SUM(D50:D58)</f>
        <v>341.3</v>
      </c>
      <c r="F59" s="91"/>
      <c r="O59" s="313"/>
      <c r="P59" s="248" t="s">
        <v>230</v>
      </c>
      <c r="Q59" s="248"/>
      <c r="R59" s="248"/>
      <c r="S59" s="249">
        <f>SUM(S57:S58)</f>
        <v>195</v>
      </c>
      <c r="T59" s="250">
        <v>0</v>
      </c>
      <c r="U59" s="251">
        <v>0</v>
      </c>
      <c r="V59" s="250"/>
      <c r="W59" s="251">
        <v>0</v>
      </c>
      <c r="X59" s="252">
        <v>0</v>
      </c>
      <c r="Y59" s="251">
        <v>0</v>
      </c>
    </row>
    <row r="60" spans="1:25" ht="14.5" thickBot="1" x14ac:dyDescent="0.35">
      <c r="A60" s="18" t="s">
        <v>71</v>
      </c>
      <c r="B60" s="19"/>
      <c r="D60" s="91">
        <v>100000</v>
      </c>
      <c r="T60" s="217" t="s">
        <v>218</v>
      </c>
      <c r="U60" s="254">
        <f>SUM(U53:U59)</f>
        <v>2276000</v>
      </c>
      <c r="V60" s="218" t="s">
        <v>231</v>
      </c>
      <c r="W60" s="254">
        <f>SUM(W49:W59)</f>
        <v>450000</v>
      </c>
      <c r="X60" s="218" t="s">
        <v>232</v>
      </c>
      <c r="Y60" s="255">
        <f>SUM(Y53:Y59)</f>
        <v>71400</v>
      </c>
    </row>
    <row r="62" spans="1:25" ht="14.5" thickBot="1" x14ac:dyDescent="0.35">
      <c r="A62" t="s">
        <v>92</v>
      </c>
      <c r="B62">
        <v>2500</v>
      </c>
      <c r="F62" t="str">
        <f>A62</f>
        <v>לפי שומת הררי 2021</v>
      </c>
      <c r="G62">
        <v>3000</v>
      </c>
    </row>
    <row r="63" spans="1:25" x14ac:dyDescent="0.3">
      <c r="A63" s="10" t="s">
        <v>16</v>
      </c>
      <c r="B63" s="41" t="s">
        <v>20</v>
      </c>
      <c r="C63" s="41" t="s">
        <v>21</v>
      </c>
      <c r="D63" s="42" t="s">
        <v>22</v>
      </c>
      <c r="F63" s="10" t="s">
        <v>16</v>
      </c>
      <c r="G63" s="41" t="s">
        <v>20</v>
      </c>
      <c r="H63" s="41" t="s">
        <v>21</v>
      </c>
      <c r="I63" s="42" t="s">
        <v>22</v>
      </c>
    </row>
    <row r="64" spans="1:25" x14ac:dyDescent="0.3">
      <c r="A64" s="18" t="s">
        <v>14</v>
      </c>
      <c r="B64">
        <v>160</v>
      </c>
      <c r="C64">
        <v>1</v>
      </c>
      <c r="D64" s="21">
        <f t="shared" ref="D64:D69" si="2">C64*B64</f>
        <v>160</v>
      </c>
      <c r="F64" s="18" t="s">
        <v>14</v>
      </c>
      <c r="G64">
        <v>160</v>
      </c>
      <c r="H64">
        <v>1</v>
      </c>
      <c r="I64" s="21">
        <f>H64*G64</f>
        <v>160</v>
      </c>
    </row>
    <row r="65" spans="1:9" x14ac:dyDescent="0.3">
      <c r="A65" s="18" t="s">
        <v>15</v>
      </c>
      <c r="B65">
        <v>160</v>
      </c>
      <c r="C65">
        <v>1</v>
      </c>
      <c r="D65" s="21">
        <f t="shared" si="2"/>
        <v>160</v>
      </c>
      <c r="F65" s="18" t="s">
        <v>15</v>
      </c>
      <c r="G65">
        <v>160</v>
      </c>
      <c r="H65">
        <v>1</v>
      </c>
      <c r="I65" s="21">
        <f>H65*G65</f>
        <v>160</v>
      </c>
    </row>
    <row r="66" spans="1:9" x14ac:dyDescent="0.3">
      <c r="A66" s="18" t="s">
        <v>30</v>
      </c>
      <c r="B66">
        <v>55</v>
      </c>
      <c r="C66">
        <v>1</v>
      </c>
      <c r="D66" s="21">
        <f t="shared" si="2"/>
        <v>55</v>
      </c>
      <c r="F66" s="18" t="s">
        <v>30</v>
      </c>
      <c r="G66">
        <v>55</v>
      </c>
      <c r="H66">
        <v>1</v>
      </c>
      <c r="I66" s="21">
        <f>H66*G66</f>
        <v>55</v>
      </c>
    </row>
    <row r="67" spans="1:9" x14ac:dyDescent="0.3">
      <c r="A67" s="18" t="s">
        <v>24</v>
      </c>
      <c r="B67" s="40">
        <f>SUM(B64:B66)</f>
        <v>375</v>
      </c>
      <c r="D67" s="21"/>
      <c r="F67" s="18" t="s">
        <v>24</v>
      </c>
      <c r="G67" s="40">
        <f>SUM(G64:G66)</f>
        <v>375</v>
      </c>
      <c r="I67" s="21"/>
    </row>
    <row r="68" spans="1:9" x14ac:dyDescent="0.3">
      <c r="A68" s="18" t="s">
        <v>31</v>
      </c>
      <c r="B68">
        <v>1125</v>
      </c>
      <c r="C68" s="20">
        <v>0.25</v>
      </c>
      <c r="D68" s="21">
        <f t="shared" si="2"/>
        <v>281.25</v>
      </c>
      <c r="F68" s="18" t="s">
        <v>31</v>
      </c>
      <c r="G68">
        <v>1125</v>
      </c>
      <c r="H68" s="20">
        <v>0.25</v>
      </c>
      <c r="I68" s="21">
        <f>H68*G68</f>
        <v>281.25</v>
      </c>
    </row>
    <row r="69" spans="1:9" x14ac:dyDescent="0.3">
      <c r="A69" s="18" t="s">
        <v>51</v>
      </c>
      <c r="B69">
        <f>B62-B67-B68</f>
        <v>1000</v>
      </c>
      <c r="C69" s="20">
        <v>0.15</v>
      </c>
      <c r="D69" s="21">
        <f t="shared" si="2"/>
        <v>150</v>
      </c>
      <c r="F69" s="18" t="s">
        <v>51</v>
      </c>
      <c r="G69">
        <v>1000</v>
      </c>
      <c r="H69" s="20">
        <v>0.15</v>
      </c>
      <c r="I69" s="21">
        <f>H69*G69</f>
        <v>150</v>
      </c>
    </row>
    <row r="70" spans="1:9" x14ac:dyDescent="0.3">
      <c r="A70" s="18"/>
      <c r="C70" s="20"/>
      <c r="D70" s="21"/>
      <c r="F70" s="18" t="s">
        <v>69</v>
      </c>
      <c r="G70">
        <v>500</v>
      </c>
      <c r="H70" s="20">
        <v>0.1</v>
      </c>
      <c r="I70" s="128">
        <f>G70*H70</f>
        <v>50</v>
      </c>
    </row>
    <row r="71" spans="1:9" x14ac:dyDescent="0.3">
      <c r="A71" s="43" t="s">
        <v>28</v>
      </c>
      <c r="B71" s="40">
        <f>SUM(B64:B69)</f>
        <v>2875</v>
      </c>
      <c r="C71" s="40"/>
      <c r="D71" s="44">
        <f>SUM(D64:D69)</f>
        <v>806.25</v>
      </c>
      <c r="F71" s="43" t="s">
        <v>28</v>
      </c>
      <c r="G71" s="40">
        <f>SUM(G64:G70)</f>
        <v>3375</v>
      </c>
      <c r="H71" s="40"/>
      <c r="I71" s="44">
        <f>SUM(I64:I70)</f>
        <v>856.25</v>
      </c>
    </row>
    <row r="72" spans="1:9" ht="14.5" thickBot="1" x14ac:dyDescent="0.35">
      <c r="A72" s="34" t="s">
        <v>29</v>
      </c>
      <c r="B72" s="45"/>
      <c r="C72" s="45"/>
      <c r="D72" s="46">
        <f>D71</f>
        <v>806.25</v>
      </c>
      <c r="E72" s="72"/>
      <c r="F72" s="34" t="s">
        <v>29</v>
      </c>
      <c r="G72" s="45"/>
      <c r="H72" s="45"/>
      <c r="I72" s="46">
        <f>I71</f>
        <v>856.25</v>
      </c>
    </row>
    <row r="73" spans="1:9" x14ac:dyDescent="0.3">
      <c r="A73" t="s">
        <v>62</v>
      </c>
      <c r="D73" s="17">
        <v>175000</v>
      </c>
      <c r="F73" t="s">
        <v>62</v>
      </c>
      <c r="I73" s="17">
        <v>190000</v>
      </c>
    </row>
    <row r="80" spans="1:9" x14ac:dyDescent="0.3">
      <c r="A80" s="308" t="s">
        <v>276</v>
      </c>
      <c r="B80" s="308"/>
      <c r="C80" s="308"/>
      <c r="D80" s="308"/>
    </row>
    <row r="81" spans="1:4" x14ac:dyDescent="0.3">
      <c r="A81" s="308" t="s">
        <v>251</v>
      </c>
      <c r="B81" s="308"/>
      <c r="C81" s="308"/>
      <c r="D81" s="91">
        <f>D59</f>
        <v>341.3</v>
      </c>
    </row>
    <row r="82" spans="1:4" x14ac:dyDescent="0.3">
      <c r="A82" t="s">
        <v>277</v>
      </c>
      <c r="D82">
        <v>0.7</v>
      </c>
    </row>
    <row r="83" spans="1:4" x14ac:dyDescent="0.3">
      <c r="A83" t="s">
        <v>278</v>
      </c>
      <c r="D83" s="72">
        <f>D82*D81</f>
        <v>238.91</v>
      </c>
    </row>
    <row r="86" spans="1:4" x14ac:dyDescent="0.3">
      <c r="A86" t="s">
        <v>279</v>
      </c>
      <c r="D86" s="91">
        <f>D59</f>
        <v>341.3</v>
      </c>
    </row>
    <row r="88" spans="1:4" x14ac:dyDescent="0.3">
      <c r="A88" t="s">
        <v>148</v>
      </c>
      <c r="D88" s="72">
        <f>D86-D83</f>
        <v>102.39000000000001</v>
      </c>
    </row>
    <row r="89" spans="1:4" x14ac:dyDescent="0.3">
      <c r="A89" t="s">
        <v>149</v>
      </c>
      <c r="D89" s="72">
        <f>D88/2</f>
        <v>51.195000000000007</v>
      </c>
    </row>
    <row r="90" spans="1:4" x14ac:dyDescent="0.3">
      <c r="A90" t="s">
        <v>253</v>
      </c>
      <c r="D90" s="91">
        <f>J53</f>
        <v>8773.4230820663142</v>
      </c>
    </row>
    <row r="91" spans="1:4" x14ac:dyDescent="0.3">
      <c r="A91" t="s">
        <v>280</v>
      </c>
      <c r="D91" s="149">
        <f>D90*D89</f>
        <v>449155.394686385</v>
      </c>
    </row>
  </sheetData>
  <mergeCells count="8">
    <mergeCell ref="P53:R53"/>
    <mergeCell ref="O54:O55"/>
    <mergeCell ref="A80:D80"/>
    <mergeCell ref="A81:C81"/>
    <mergeCell ref="A29:D29"/>
    <mergeCell ref="O58:O59"/>
    <mergeCell ref="O56:O57"/>
    <mergeCell ref="O49:O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O32"/>
  <sheetViews>
    <sheetView rightToLeft="1" topLeftCell="A9" zoomScale="115" zoomScaleNormal="115" workbookViewId="0">
      <selection activeCell="E29" sqref="B29:E29"/>
    </sheetView>
  </sheetViews>
  <sheetFormatPr defaultRowHeight="14" x14ac:dyDescent="0.3"/>
  <cols>
    <col min="1" max="1" width="5.33203125" customWidth="1"/>
    <col min="2" max="2" width="12.5" customWidth="1"/>
    <col min="3" max="3" width="11.33203125" customWidth="1"/>
    <col min="4" max="4" width="14.4140625" style="17" customWidth="1"/>
    <col min="5" max="5" width="12" style="17" bestFit="1" customWidth="1"/>
    <col min="6" max="6" width="10" style="17" bestFit="1" customWidth="1"/>
    <col min="7" max="7" width="14.58203125" bestFit="1" customWidth="1"/>
    <col min="8" max="8" width="12.08203125" bestFit="1" customWidth="1"/>
    <col min="9" max="9" width="14.58203125" bestFit="1" customWidth="1"/>
    <col min="12" max="12" width="22.4140625" bestFit="1" customWidth="1"/>
    <col min="14" max="14" width="8.83203125" customWidth="1"/>
    <col min="15" max="15" width="13.1640625" customWidth="1"/>
  </cols>
  <sheetData>
    <row r="2" spans="2:15" ht="17" x14ac:dyDescent="0.6">
      <c r="B2" s="39" t="s">
        <v>152</v>
      </c>
      <c r="C2" s="39"/>
      <c r="D2" s="131"/>
    </row>
    <row r="3" spans="2:15" x14ac:dyDescent="0.3">
      <c r="B3" t="s">
        <v>91</v>
      </c>
      <c r="C3" s="149"/>
      <c r="D3" s="149"/>
      <c r="G3" s="149"/>
      <c r="H3" s="150"/>
      <c r="I3" s="150"/>
    </row>
    <row r="4" spans="2:15" x14ac:dyDescent="0.3">
      <c r="B4" t="s">
        <v>127</v>
      </c>
      <c r="C4" s="187"/>
      <c r="D4" s="38"/>
      <c r="I4" s="150"/>
    </row>
    <row r="5" spans="2:15" x14ac:dyDescent="0.3">
      <c r="B5" t="s">
        <v>128</v>
      </c>
    </row>
    <row r="6" spans="2:15" x14ac:dyDescent="0.3">
      <c r="B6" t="s">
        <v>129</v>
      </c>
      <c r="C6" s="150"/>
      <c r="D6" s="149"/>
    </row>
    <row r="7" spans="2:15" x14ac:dyDescent="0.3">
      <c r="B7" t="s">
        <v>143</v>
      </c>
      <c r="C7" s="150">
        <f>E32</f>
        <v>8000</v>
      </c>
    </row>
    <row r="8" spans="2:15" x14ac:dyDescent="0.3">
      <c r="C8" s="150"/>
    </row>
    <row r="9" spans="2:15" x14ac:dyDescent="0.3">
      <c r="B9" s="39" t="s">
        <v>130</v>
      </c>
      <c r="C9" s="151"/>
    </row>
    <row r="10" spans="2:15" ht="28" x14ac:dyDescent="0.6">
      <c r="B10" s="39" t="s">
        <v>132</v>
      </c>
      <c r="C10" s="39" t="s">
        <v>131</v>
      </c>
      <c r="D10" s="131" t="s">
        <v>133</v>
      </c>
      <c r="E10" s="131" t="s">
        <v>134</v>
      </c>
      <c r="F10" s="131" t="s">
        <v>135</v>
      </c>
      <c r="G10" s="189" t="s">
        <v>137</v>
      </c>
      <c r="H10" s="131" t="s">
        <v>138</v>
      </c>
      <c r="I10" s="131" t="s">
        <v>139</v>
      </c>
      <c r="J10" s="131" t="s">
        <v>140</v>
      </c>
      <c r="K10" s="131" t="s">
        <v>141</v>
      </c>
      <c r="L10" s="131" t="s">
        <v>142</v>
      </c>
    </row>
    <row r="11" spans="2:15" x14ac:dyDescent="0.3">
      <c r="B11" s="188"/>
    </row>
    <row r="12" spans="2:15" ht="14.5" thickBot="1" x14ac:dyDescent="0.35"/>
    <row r="13" spans="2:15" ht="39.5" thickBot="1" x14ac:dyDescent="0.35">
      <c r="B13" s="256" t="s">
        <v>233</v>
      </c>
      <c r="C13" s="256" t="s">
        <v>234</v>
      </c>
      <c r="D13" s="256" t="s">
        <v>235</v>
      </c>
      <c r="E13" s="256" t="s">
        <v>236</v>
      </c>
      <c r="F13" s="256" t="s">
        <v>237</v>
      </c>
      <c r="G13" s="256" t="s">
        <v>238</v>
      </c>
      <c r="H13" s="256" t="s">
        <v>136</v>
      </c>
      <c r="I13" s="256" t="s">
        <v>239</v>
      </c>
      <c r="J13" s="257" t="s">
        <v>240</v>
      </c>
      <c r="K13" s="258" t="s">
        <v>241</v>
      </c>
      <c r="L13" s="259" t="s">
        <v>8</v>
      </c>
      <c r="M13" s="260" t="s">
        <v>242</v>
      </c>
      <c r="N13" s="261" t="s">
        <v>243</v>
      </c>
      <c r="O13" s="261" t="s">
        <v>244</v>
      </c>
    </row>
    <row r="14" spans="2:15" ht="26" thickBot="1" x14ac:dyDescent="0.35">
      <c r="B14" s="267" t="s">
        <v>245</v>
      </c>
      <c r="C14" s="268">
        <v>45074</v>
      </c>
      <c r="D14" s="269">
        <v>4000000</v>
      </c>
      <c r="E14" s="270">
        <f>D14/1.05</f>
        <v>3809523.8095238092</v>
      </c>
      <c r="F14" s="267" t="s">
        <v>246</v>
      </c>
      <c r="G14" s="267" t="s">
        <v>247</v>
      </c>
      <c r="H14" s="267">
        <v>2005</v>
      </c>
      <c r="I14" s="267">
        <v>220</v>
      </c>
      <c r="J14" s="271">
        <v>514</v>
      </c>
      <c r="K14" s="272">
        <v>7000</v>
      </c>
      <c r="L14" s="273">
        <f>K14*I14</f>
        <v>1540000</v>
      </c>
      <c r="M14" s="274">
        <f>E14-L14</f>
        <v>2269523.8095238092</v>
      </c>
      <c r="N14" s="275">
        <f>1.07^2.5</f>
        <v>1.1842937687499671</v>
      </c>
      <c r="O14" s="273">
        <f>N14*M14</f>
        <v>2687782.9056487344</v>
      </c>
    </row>
    <row r="15" spans="2:15" x14ac:dyDescent="0.3">
      <c r="D15"/>
      <c r="E15"/>
      <c r="F15"/>
    </row>
    <row r="16" spans="2:15" x14ac:dyDescent="0.3">
      <c r="B16" s="262"/>
      <c r="D16"/>
      <c r="E16"/>
      <c r="F16"/>
    </row>
    <row r="17" spans="2:6" ht="14.5" thickBot="1" x14ac:dyDescent="0.35">
      <c r="B17" s="263"/>
      <c r="D17"/>
      <c r="E17"/>
      <c r="F17"/>
    </row>
    <row r="18" spans="2:6" x14ac:dyDescent="0.3">
      <c r="B18" s="321" t="s">
        <v>248</v>
      </c>
      <c r="C18" s="322"/>
      <c r="D18" s="322"/>
      <c r="E18" s="322"/>
      <c r="F18" s="13" t="s">
        <v>134</v>
      </c>
    </row>
    <row r="19" spans="2:6" x14ac:dyDescent="0.3">
      <c r="B19" s="264" t="s">
        <v>237</v>
      </c>
      <c r="C19" t="s">
        <v>239</v>
      </c>
      <c r="D19" t="s">
        <v>21</v>
      </c>
      <c r="E19" t="s">
        <v>8</v>
      </c>
      <c r="F19" s="21">
        <f>J14</f>
        <v>514</v>
      </c>
    </row>
    <row r="20" spans="2:6" x14ac:dyDescent="0.3">
      <c r="B20" s="18" t="s">
        <v>52</v>
      </c>
      <c r="C20">
        <v>200</v>
      </c>
      <c r="D20">
        <v>1</v>
      </c>
      <c r="E20">
        <f>C20*D20</f>
        <v>200</v>
      </c>
      <c r="F20" s="21"/>
    </row>
    <row r="21" spans="2:6" x14ac:dyDescent="0.3">
      <c r="B21" s="18" t="s">
        <v>64</v>
      </c>
      <c r="C21">
        <v>7</v>
      </c>
      <c r="D21">
        <v>0.9</v>
      </c>
      <c r="E21">
        <f t="shared" ref="E21:E25" si="0">C21*D21</f>
        <v>6.3</v>
      </c>
      <c r="F21" s="21"/>
    </row>
    <row r="22" spans="2:6" x14ac:dyDescent="0.3">
      <c r="B22" s="18" t="s">
        <v>93</v>
      </c>
      <c r="C22">
        <v>30</v>
      </c>
      <c r="D22">
        <v>0.5</v>
      </c>
      <c r="E22">
        <f t="shared" si="0"/>
        <v>15</v>
      </c>
      <c r="F22" s="21"/>
    </row>
    <row r="23" spans="2:6" x14ac:dyDescent="0.3">
      <c r="B23" s="18" t="s">
        <v>249</v>
      </c>
      <c r="C23">
        <v>50</v>
      </c>
      <c r="D23">
        <v>0.4</v>
      </c>
      <c r="E23">
        <f t="shared" si="0"/>
        <v>20</v>
      </c>
      <c r="F23" s="21"/>
    </row>
    <row r="24" spans="2:6" x14ac:dyDescent="0.3">
      <c r="B24" s="18" t="s">
        <v>250</v>
      </c>
      <c r="C24">
        <f>F19*42%</f>
        <v>215.88</v>
      </c>
      <c r="D24"/>
      <c r="E24">
        <f t="shared" si="0"/>
        <v>0</v>
      </c>
      <c r="F24" s="21"/>
    </row>
    <row r="25" spans="2:6" x14ac:dyDescent="0.3">
      <c r="B25" s="18" t="s">
        <v>50</v>
      </c>
      <c r="C25">
        <f>F19-C24</f>
        <v>298.12</v>
      </c>
      <c r="D25">
        <v>0.25</v>
      </c>
      <c r="E25">
        <f t="shared" si="0"/>
        <v>74.53</v>
      </c>
      <c r="F25" s="21"/>
    </row>
    <row r="26" spans="2:6" x14ac:dyDescent="0.3">
      <c r="B26" s="318" t="s">
        <v>251</v>
      </c>
      <c r="C26" s="308"/>
      <c r="D26" s="308"/>
      <c r="E26">
        <f>SUM(E20:E25)</f>
        <v>315.83000000000004</v>
      </c>
      <c r="F26" s="21"/>
    </row>
    <row r="27" spans="2:6" x14ac:dyDescent="0.3">
      <c r="B27" s="318" t="s">
        <v>252</v>
      </c>
      <c r="C27" s="308"/>
      <c r="D27" s="308"/>
      <c r="E27" s="150">
        <f>O14</f>
        <v>2687782.9056487344</v>
      </c>
      <c r="F27" s="21"/>
    </row>
    <row r="28" spans="2:6" x14ac:dyDescent="0.3">
      <c r="B28" s="318" t="s">
        <v>253</v>
      </c>
      <c r="C28" s="308"/>
      <c r="D28" s="308"/>
      <c r="E28" s="151">
        <f>E27/E26</f>
        <v>8510.2203896043247</v>
      </c>
      <c r="F28" s="21"/>
    </row>
    <row r="29" spans="2:6" x14ac:dyDescent="0.3">
      <c r="B29" s="318" t="s">
        <v>254</v>
      </c>
      <c r="C29" s="308"/>
      <c r="D29" s="308"/>
      <c r="E29" s="151">
        <f>E28/0.97</f>
        <v>8773.4230820663142</v>
      </c>
      <c r="F29" s="21"/>
    </row>
    <row r="30" spans="2:6" x14ac:dyDescent="0.3">
      <c r="B30" s="318" t="s">
        <v>255</v>
      </c>
      <c r="C30" s="308"/>
      <c r="D30" s="308"/>
      <c r="E30">
        <v>0.9</v>
      </c>
      <c r="F30" s="21"/>
    </row>
    <row r="31" spans="2:6" x14ac:dyDescent="0.3">
      <c r="B31" s="318" t="s">
        <v>256</v>
      </c>
      <c r="C31" s="308"/>
      <c r="D31" s="308"/>
      <c r="E31" s="150">
        <f>E30*E29</f>
        <v>7896.0807738596832</v>
      </c>
      <c r="F31" s="21"/>
    </row>
    <row r="32" spans="2:6" ht="14.5" thickBot="1" x14ac:dyDescent="0.35">
      <c r="B32" s="319" t="s">
        <v>257</v>
      </c>
      <c r="C32" s="320"/>
      <c r="D32" s="320"/>
      <c r="E32" s="265">
        <v>8000</v>
      </c>
      <c r="F32" s="266"/>
    </row>
  </sheetData>
  <mergeCells count="8">
    <mergeCell ref="B30:D30"/>
    <mergeCell ref="B31:D31"/>
    <mergeCell ref="B32:D32"/>
    <mergeCell ref="B18:E18"/>
    <mergeCell ref="B26:D26"/>
    <mergeCell ref="B27:D27"/>
    <mergeCell ref="B28:D28"/>
    <mergeCell ref="B29:D2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57"/>
  <sheetViews>
    <sheetView rightToLeft="1" zoomScale="130" zoomScaleNormal="130" workbookViewId="0">
      <selection activeCell="J16" sqref="J16"/>
    </sheetView>
  </sheetViews>
  <sheetFormatPr defaultRowHeight="14" x14ac:dyDescent="0.3"/>
  <cols>
    <col min="1" max="1" width="19.83203125" customWidth="1"/>
    <col min="2" max="3" width="6" customWidth="1"/>
    <col min="4" max="4" width="17.5" customWidth="1"/>
    <col min="5" max="5" width="14.08203125" style="17" customWidth="1"/>
    <col min="6" max="6" width="14.6640625" customWidth="1"/>
    <col min="7" max="7" width="12.6640625" customWidth="1"/>
    <col min="8" max="8" width="13.4140625" customWidth="1"/>
    <col min="9" max="9" width="11.1640625" customWidth="1"/>
    <col min="10" max="10" width="11.58203125" customWidth="1"/>
    <col min="11" max="11" width="11.1640625" customWidth="1"/>
    <col min="12" max="12" width="10.33203125" customWidth="1"/>
    <col min="13" max="13" width="9.1640625" customWidth="1"/>
    <col min="14" max="20" width="9.58203125" customWidth="1"/>
  </cols>
  <sheetData>
    <row r="1" spans="1:19" ht="16.5" customHeight="1" thickBot="1" x14ac:dyDescent="0.35">
      <c r="D1" s="66"/>
      <c r="E1"/>
    </row>
    <row r="2" spans="1:19" ht="42.5" thickBot="1" x14ac:dyDescent="0.35">
      <c r="A2" s="120" t="s">
        <v>32</v>
      </c>
      <c r="B2" s="192" t="s">
        <v>159</v>
      </c>
      <c r="C2" s="120" t="s">
        <v>160</v>
      </c>
      <c r="D2" s="92" t="s">
        <v>258</v>
      </c>
      <c r="E2" s="97" t="s">
        <v>259</v>
      </c>
      <c r="F2" s="92" t="s">
        <v>261</v>
      </c>
      <c r="G2" s="92" t="s">
        <v>262</v>
      </c>
      <c r="H2" s="276" t="s">
        <v>263</v>
      </c>
      <c r="I2" s="47" t="s">
        <v>264</v>
      </c>
      <c r="J2" s="277" t="s">
        <v>265</v>
      </c>
      <c r="K2" s="117"/>
      <c r="L2" s="117"/>
      <c r="M2" s="117"/>
      <c r="N2" s="47"/>
      <c r="O2" s="47"/>
      <c r="P2" s="47"/>
      <c r="Q2" s="117"/>
      <c r="R2" s="117"/>
      <c r="S2" s="118"/>
    </row>
    <row r="3" spans="1:19" x14ac:dyDescent="0.3">
      <c r="A3" s="121" t="s">
        <v>147</v>
      </c>
      <c r="B3" s="193"/>
      <c r="C3" s="121"/>
      <c r="D3" s="93">
        <v>93</v>
      </c>
      <c r="E3" s="144">
        <v>267</v>
      </c>
      <c r="F3" s="93">
        <v>11.8</v>
      </c>
      <c r="G3" s="64">
        <v>60</v>
      </c>
      <c r="H3" s="64">
        <v>137</v>
      </c>
      <c r="I3" s="64">
        <v>29</v>
      </c>
      <c r="J3" s="49">
        <v>786</v>
      </c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3">
      <c r="A4" s="121" t="s">
        <v>90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3">
      <c r="A5" s="121" t="s">
        <v>72</v>
      </c>
      <c r="B5" s="193"/>
      <c r="C5" s="121"/>
      <c r="D5" s="93">
        <v>93</v>
      </c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3">
      <c r="A6" s="121" t="s">
        <v>144</v>
      </c>
      <c r="B6" s="193"/>
      <c r="C6" s="121"/>
      <c r="D6" s="93"/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3">
      <c r="A7" s="121" t="s">
        <v>145</v>
      </c>
      <c r="B7" s="193"/>
      <c r="C7" s="121"/>
      <c r="D7" s="93">
        <v>26</v>
      </c>
      <c r="E7" s="64">
        <v>60</v>
      </c>
      <c r="F7" s="93"/>
      <c r="G7" s="64">
        <v>12</v>
      </c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3">
      <c r="A8" s="121" t="s">
        <v>260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3">
      <c r="A9" s="121" t="s">
        <v>146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3">
      <c r="A10" s="122" t="s">
        <v>47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3">
      <c r="A11" s="123" t="s">
        <v>87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5" thickBot="1" x14ac:dyDescent="0.35">
      <c r="A12" s="124" t="s">
        <v>83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5">
      <c r="A13" s="200" t="s">
        <v>33</v>
      </c>
      <c r="B13" s="211"/>
      <c r="C13" s="210"/>
      <c r="D13" s="207">
        <f>SUM(D4:D12)</f>
        <v>119</v>
      </c>
      <c r="E13" s="201">
        <f>SUM(E3:E12)</f>
        <v>327</v>
      </c>
      <c r="F13" s="201">
        <f>SUM(F3:F12)</f>
        <v>11.8</v>
      </c>
      <c r="G13" s="201">
        <f>SUM(G3:G12)</f>
        <v>72</v>
      </c>
      <c r="H13" s="201">
        <f>SUM(H3:H12)</f>
        <v>137</v>
      </c>
      <c r="I13" s="202">
        <f t="shared" ref="I13:S13" si="0">SUM(I3:I12)</f>
        <v>29</v>
      </c>
      <c r="J13" s="202">
        <f t="shared" si="0"/>
        <v>786</v>
      </c>
      <c r="K13" s="202">
        <f t="shared" si="0"/>
        <v>0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5" thickBot="1" x14ac:dyDescent="0.35">
      <c r="A14" s="126" t="s">
        <v>34</v>
      </c>
      <c r="B14" s="192" t="s">
        <v>159</v>
      </c>
      <c r="C14" s="120" t="s">
        <v>160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3">
      <c r="A15" s="122" t="s">
        <v>267</v>
      </c>
      <c r="B15" s="197" t="s">
        <v>161</v>
      </c>
      <c r="C15" s="122" t="s">
        <v>161</v>
      </c>
      <c r="D15" s="52">
        <v>88.99</v>
      </c>
      <c r="E15" s="145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3">
      <c r="A16" s="122" t="s">
        <v>268</v>
      </c>
      <c r="B16" s="197" t="s">
        <v>161</v>
      </c>
      <c r="C16" s="122" t="s">
        <v>161</v>
      </c>
      <c r="D16" s="52"/>
      <c r="E16" s="52"/>
      <c r="F16" s="52"/>
      <c r="G16" s="64"/>
      <c r="H16" s="64"/>
      <c r="I16" s="48"/>
      <c r="J16" s="64">
        <v>720</v>
      </c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3">
      <c r="A17" s="122" t="s">
        <v>266</v>
      </c>
      <c r="B17" s="197" t="s">
        <v>161</v>
      </c>
      <c r="C17" s="122" t="s">
        <v>161</v>
      </c>
      <c r="D17" s="52"/>
      <c r="E17" s="51">
        <f>158.39+9.84+7</f>
        <v>175.23</v>
      </c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3">
      <c r="A18" s="122"/>
      <c r="B18" s="197"/>
      <c r="C18" s="122"/>
      <c r="D18" s="49"/>
      <c r="E18" s="51"/>
      <c r="F18" s="52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52"/>
      <c r="S18" s="53"/>
    </row>
    <row r="19" spans="1:19" x14ac:dyDescent="0.3">
      <c r="A19" s="122"/>
      <c r="B19" s="197"/>
      <c r="C19" s="122"/>
      <c r="D19" s="52"/>
      <c r="E19" s="51"/>
      <c r="F19" s="52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52"/>
      <c r="S19" s="53"/>
    </row>
    <row r="20" spans="1:19" ht="14.5" thickBot="1" x14ac:dyDescent="0.35">
      <c r="A20" s="124"/>
      <c r="B20" s="196"/>
      <c r="C20" s="124"/>
      <c r="D20" s="60"/>
      <c r="E20" s="59"/>
      <c r="F20" s="60"/>
      <c r="G20" s="59"/>
      <c r="H20" s="59"/>
      <c r="I20" s="59"/>
      <c r="J20" s="51"/>
      <c r="K20" s="51"/>
      <c r="L20" s="51"/>
      <c r="M20" s="51"/>
      <c r="N20" s="51"/>
      <c r="O20" s="59"/>
      <c r="P20" s="59"/>
      <c r="Q20" s="60"/>
      <c r="R20" s="60"/>
      <c r="S20" s="61"/>
    </row>
    <row r="21" spans="1:19" ht="14.5" thickTop="1" x14ac:dyDescent="0.3">
      <c r="A21" s="127" t="s">
        <v>86</v>
      </c>
      <c r="B21" s="198"/>
      <c r="C21" s="127"/>
      <c r="D21" s="208">
        <f>SUM(D18:D20)</f>
        <v>0</v>
      </c>
      <c r="E21" s="119">
        <f t="shared" ref="E21:S21" si="1">SUM(E15:E20)</f>
        <v>175.23</v>
      </c>
      <c r="F21" s="119">
        <f t="shared" si="1"/>
        <v>0</v>
      </c>
      <c r="G21" s="119">
        <f t="shared" si="1"/>
        <v>0</v>
      </c>
      <c r="H21" s="119">
        <f t="shared" si="1"/>
        <v>0</v>
      </c>
      <c r="I21" s="119">
        <f t="shared" si="1"/>
        <v>0</v>
      </c>
      <c r="J21" s="119">
        <f t="shared" si="1"/>
        <v>720</v>
      </c>
      <c r="K21" s="65">
        <f t="shared" si="1"/>
        <v>0</v>
      </c>
      <c r="L21" s="65">
        <f t="shared" si="1"/>
        <v>0</v>
      </c>
      <c r="M21" s="65">
        <f t="shared" si="1"/>
        <v>0</v>
      </c>
      <c r="N21" s="65">
        <f t="shared" si="1"/>
        <v>0</v>
      </c>
      <c r="O21" s="65">
        <f t="shared" si="1"/>
        <v>0</v>
      </c>
      <c r="P21" s="65">
        <f t="shared" si="1"/>
        <v>0</v>
      </c>
      <c r="Q21" s="141">
        <f t="shared" si="1"/>
        <v>0</v>
      </c>
      <c r="R21" s="141">
        <f t="shared" si="1"/>
        <v>0</v>
      </c>
      <c r="S21" s="139">
        <f t="shared" si="1"/>
        <v>0</v>
      </c>
    </row>
    <row r="22" spans="1:19" ht="14.5" thickBot="1" x14ac:dyDescent="0.35">
      <c r="A22" s="125" t="s">
        <v>35</v>
      </c>
      <c r="B22" s="199"/>
      <c r="C22" s="125"/>
      <c r="D22" s="142">
        <f t="shared" ref="D22:S22" si="2">D13-D21</f>
        <v>119</v>
      </c>
      <c r="E22" s="138">
        <f t="shared" si="2"/>
        <v>151.77000000000001</v>
      </c>
      <c r="F22" s="138">
        <f t="shared" si="2"/>
        <v>11.8</v>
      </c>
      <c r="G22" s="138">
        <f t="shared" si="2"/>
        <v>72</v>
      </c>
      <c r="H22" s="138">
        <f t="shared" si="2"/>
        <v>137</v>
      </c>
      <c r="I22" s="138">
        <f t="shared" si="2"/>
        <v>29</v>
      </c>
      <c r="J22" s="138">
        <f t="shared" si="2"/>
        <v>66</v>
      </c>
      <c r="K22" s="138">
        <f t="shared" si="2"/>
        <v>0</v>
      </c>
      <c r="L22" s="138">
        <f t="shared" si="2"/>
        <v>0</v>
      </c>
      <c r="M22" s="138">
        <f t="shared" si="2"/>
        <v>0</v>
      </c>
      <c r="N22" s="138">
        <f t="shared" si="2"/>
        <v>0</v>
      </c>
      <c r="O22" s="138">
        <f t="shared" si="2"/>
        <v>0</v>
      </c>
      <c r="P22" s="138">
        <f t="shared" si="2"/>
        <v>0</v>
      </c>
      <c r="Q22" s="143">
        <f t="shared" si="2"/>
        <v>0</v>
      </c>
      <c r="R22" s="142">
        <f t="shared" si="2"/>
        <v>0</v>
      </c>
      <c r="S22" s="146">
        <f t="shared" si="2"/>
        <v>0</v>
      </c>
    </row>
    <row r="23" spans="1:19" x14ac:dyDescent="0.3">
      <c r="D23" s="135"/>
      <c r="E23" s="73"/>
      <c r="F23" s="148"/>
      <c r="H23" s="73"/>
      <c r="I23" s="73"/>
      <c r="J23" s="73"/>
      <c r="K23" s="98"/>
      <c r="L23" s="148"/>
      <c r="M23" s="73"/>
    </row>
    <row r="24" spans="1:19" x14ac:dyDescent="0.3">
      <c r="A24" t="s">
        <v>84</v>
      </c>
      <c r="D24" s="136">
        <f>D8+D7</f>
        <v>26</v>
      </c>
      <c r="F24" s="73"/>
    </row>
    <row r="25" spans="1:19" x14ac:dyDescent="0.3">
      <c r="E25" s="91">
        <f>E3*9300*5%*7</f>
        <v>869085</v>
      </c>
      <c r="F25" s="66"/>
      <c r="G25" s="91"/>
      <c r="H25" s="91"/>
      <c r="K25" s="91"/>
    </row>
    <row r="26" spans="1:19" x14ac:dyDescent="0.3">
      <c r="E26" s="38">
        <f>375-E21-F21-I21</f>
        <v>199.77</v>
      </c>
      <c r="F26" s="66"/>
      <c r="G26" s="91"/>
      <c r="H26" s="91"/>
    </row>
    <row r="27" spans="1:19" x14ac:dyDescent="0.3">
      <c r="N27" s="91"/>
      <c r="O27" s="91"/>
    </row>
    <row r="28" spans="1:19" x14ac:dyDescent="0.3">
      <c r="A28" s="67" t="s">
        <v>36</v>
      </c>
      <c r="B28" s="67"/>
      <c r="C28" s="67"/>
      <c r="D28" s="68"/>
      <c r="L28" s="91"/>
      <c r="N28" s="17"/>
    </row>
    <row r="29" spans="1:19" x14ac:dyDescent="0.3">
      <c r="A29" t="s">
        <v>14</v>
      </c>
      <c r="E29" s="69">
        <f>-D13</f>
        <v>-119</v>
      </c>
      <c r="G29" s="72"/>
      <c r="H29" s="72"/>
      <c r="L29" s="91"/>
    </row>
    <row r="30" spans="1:19" x14ac:dyDescent="0.3">
      <c r="A30" t="s">
        <v>15</v>
      </c>
      <c r="E30" s="17">
        <f>-E13</f>
        <v>-327</v>
      </c>
      <c r="G30" s="72"/>
    </row>
    <row r="31" spans="1:19" x14ac:dyDescent="0.3">
      <c r="A31" t="s">
        <v>18</v>
      </c>
      <c r="E31" s="17">
        <f>I21</f>
        <v>0</v>
      </c>
    </row>
    <row r="32" spans="1:19" x14ac:dyDescent="0.3">
      <c r="A32" s="40" t="s">
        <v>8</v>
      </c>
      <c r="B32" s="40"/>
      <c r="C32" s="40"/>
      <c r="D32" s="40"/>
      <c r="E32" s="23">
        <f>SUM(E28:E31)</f>
        <v>-446</v>
      </c>
      <c r="J32" s="72"/>
    </row>
    <row r="33" spans="1:10" x14ac:dyDescent="0.3">
      <c r="A33" t="s">
        <v>37</v>
      </c>
      <c r="E33" s="38">
        <v>375</v>
      </c>
      <c r="H33" s="91"/>
    </row>
    <row r="34" spans="1:10" x14ac:dyDescent="0.3">
      <c r="A34" s="40" t="s">
        <v>38</v>
      </c>
      <c r="B34" s="40"/>
      <c r="C34" s="40"/>
      <c r="D34" s="40"/>
      <c r="E34" s="23">
        <f>SUM(E32:E33)</f>
        <v>-71</v>
      </c>
    </row>
    <row r="35" spans="1:10" x14ac:dyDescent="0.3">
      <c r="A35" t="s">
        <v>39</v>
      </c>
      <c r="E35" s="17">
        <f>-E21-F21-I21</f>
        <v>-175.23</v>
      </c>
    </row>
    <row r="36" spans="1:10" x14ac:dyDescent="0.3">
      <c r="A36" s="40" t="s">
        <v>40</v>
      </c>
      <c r="B36" s="40"/>
      <c r="C36" s="40"/>
      <c r="D36" s="40"/>
      <c r="E36" s="70">
        <f>SUM(E34:E35)</f>
        <v>-246.23</v>
      </c>
    </row>
    <row r="40" spans="1:10" x14ac:dyDescent="0.3">
      <c r="A40" s="130" t="s">
        <v>73</v>
      </c>
      <c r="B40" s="130"/>
      <c r="C40" s="130"/>
    </row>
    <row r="41" spans="1:10" ht="17" x14ac:dyDescent="0.6">
      <c r="A41" s="39" t="s">
        <v>74</v>
      </c>
      <c r="B41" s="39"/>
      <c r="C41" s="39"/>
      <c r="D41" s="39" t="s">
        <v>76</v>
      </c>
      <c r="E41" s="131" t="s">
        <v>77</v>
      </c>
      <c r="F41" s="39" t="s">
        <v>80</v>
      </c>
      <c r="G41" s="39"/>
      <c r="H41" s="17"/>
      <c r="I41" s="17"/>
    </row>
    <row r="42" spans="1:10" x14ac:dyDescent="0.3">
      <c r="A42" t="s">
        <v>41</v>
      </c>
      <c r="F42" s="91">
        <f>E42-D42</f>
        <v>0</v>
      </c>
    </row>
    <row r="43" spans="1:10" x14ac:dyDescent="0.3">
      <c r="A43" t="s">
        <v>75</v>
      </c>
      <c r="F43" s="91">
        <f>E43-D43</f>
        <v>0</v>
      </c>
    </row>
    <row r="44" spans="1:10" x14ac:dyDescent="0.3">
      <c r="A44" s="108" t="s">
        <v>78</v>
      </c>
      <c r="B44" s="108"/>
      <c r="C44" s="108"/>
      <c r="D44" s="108">
        <f>SUM(D42:D43)</f>
        <v>0</v>
      </c>
      <c r="E44" s="70">
        <f>SUM(E42:E43)</f>
        <v>0</v>
      </c>
      <c r="F44" s="132">
        <f>E44-D44</f>
        <v>0</v>
      </c>
    </row>
    <row r="46" spans="1:10" ht="17" x14ac:dyDescent="0.6">
      <c r="A46" s="39" t="s">
        <v>79</v>
      </c>
      <c r="B46" s="39"/>
      <c r="C46" s="39"/>
      <c r="D46" s="39" t="s">
        <v>76</v>
      </c>
      <c r="E46" s="131" t="s">
        <v>77</v>
      </c>
      <c r="F46" s="39" t="s">
        <v>80</v>
      </c>
    </row>
    <row r="47" spans="1:10" x14ac:dyDescent="0.3">
      <c r="A47" t="s">
        <v>41</v>
      </c>
      <c r="F47" s="91">
        <f>E47-D47</f>
        <v>0</v>
      </c>
      <c r="G47" s="39"/>
      <c r="J47" s="17"/>
    </row>
    <row r="48" spans="1:10" x14ac:dyDescent="0.3">
      <c r="A48" t="s">
        <v>75</v>
      </c>
      <c r="F48" s="91">
        <f>E48-D48</f>
        <v>0</v>
      </c>
    </row>
    <row r="49" spans="1:10" x14ac:dyDescent="0.3">
      <c r="A49" s="108" t="s">
        <v>78</v>
      </c>
      <c r="B49" s="108"/>
      <c r="C49" s="108"/>
      <c r="D49" s="108">
        <f>SUM(D47:D48)</f>
        <v>0</v>
      </c>
      <c r="E49" s="70">
        <f>SUM(E47:E48)</f>
        <v>0</v>
      </c>
      <c r="F49" s="132">
        <f>E49-D49</f>
        <v>0</v>
      </c>
      <c r="J49" s="147"/>
    </row>
    <row r="51" spans="1:10" x14ac:dyDescent="0.3">
      <c r="A51" s="133" t="s">
        <v>8</v>
      </c>
      <c r="B51" s="133"/>
      <c r="C51" s="133"/>
      <c r="D51" s="133">
        <f>D49+D44</f>
        <v>0</v>
      </c>
      <c r="E51" s="133">
        <f>E49+E44</f>
        <v>0</v>
      </c>
      <c r="F51" s="134">
        <f>F49+F44</f>
        <v>0</v>
      </c>
    </row>
    <row r="55" spans="1:10" x14ac:dyDescent="0.3">
      <c r="G55" s="39"/>
      <c r="J55" s="17"/>
    </row>
    <row r="57" spans="1:10" x14ac:dyDescent="0.3">
      <c r="J57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E5"/>
  <sheetViews>
    <sheetView rightToLeft="1" zoomScale="175" zoomScaleNormal="175" workbookViewId="0">
      <selection activeCell="B3" sqref="B3"/>
    </sheetView>
  </sheetViews>
  <sheetFormatPr defaultRowHeight="14" x14ac:dyDescent="0.3"/>
  <cols>
    <col min="2" max="2" width="11.5" bestFit="1" customWidth="1"/>
    <col min="3" max="3" width="9.9140625" bestFit="1" customWidth="1"/>
  </cols>
  <sheetData>
    <row r="2" spans="1:5" x14ac:dyDescent="0.3">
      <c r="A2" s="39" t="s">
        <v>163</v>
      </c>
      <c r="B2" s="39" t="s">
        <v>164</v>
      </c>
      <c r="C2" s="39" t="s">
        <v>132</v>
      </c>
      <c r="D2" s="39" t="s">
        <v>165</v>
      </c>
    </row>
    <row r="3" spans="1:5" x14ac:dyDescent="0.3">
      <c r="A3" t="s">
        <v>166</v>
      </c>
      <c r="B3" t="s">
        <v>275</v>
      </c>
      <c r="C3" s="188">
        <v>45111</v>
      </c>
      <c r="D3">
        <v>500</v>
      </c>
      <c r="E3" t="s">
        <v>170</v>
      </c>
    </row>
    <row r="4" spans="1:5" x14ac:dyDescent="0.3">
      <c r="A4" t="s">
        <v>273</v>
      </c>
      <c r="B4" t="s">
        <v>272</v>
      </c>
      <c r="C4" s="188">
        <v>38165</v>
      </c>
      <c r="D4">
        <v>150</v>
      </c>
      <c r="E4" t="s">
        <v>274</v>
      </c>
    </row>
    <row r="5" spans="1:5" x14ac:dyDescent="0.3">
      <c r="A5" t="s">
        <v>167</v>
      </c>
      <c r="B5" t="s">
        <v>269</v>
      </c>
      <c r="C5" s="188">
        <v>25807</v>
      </c>
      <c r="D5" t="s">
        <v>270</v>
      </c>
      <c r="E5" t="s">
        <v>271</v>
      </c>
    </row>
  </sheetData>
  <autoFilter ref="A2:F2" xr:uid="{3056B9E0-6524-4EBC-9BE5-F818961ABBE2}">
    <sortState xmlns:xlrd2="http://schemas.microsoft.com/office/spreadsheetml/2017/richdata2" ref="A2:F3">
      <sortCondition descending="1" ref="C2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4" x14ac:dyDescent="0.3"/>
  <cols>
    <col min="1" max="1" width="1.6640625" customWidth="1"/>
    <col min="2" max="2" width="18.1640625" customWidth="1"/>
    <col min="3" max="3" width="13" bestFit="1" customWidth="1"/>
    <col min="4" max="4" width="10.58203125" bestFit="1" customWidth="1"/>
    <col min="5" max="5" width="9.5" bestFit="1" customWidth="1"/>
    <col min="6" max="6" width="11.6640625" bestFit="1" customWidth="1"/>
  </cols>
  <sheetData>
    <row r="1" spans="2:10" ht="4.5" customHeight="1" thickBot="1" x14ac:dyDescent="0.35"/>
    <row r="2" spans="2:10" ht="14.5" thickBot="1" x14ac:dyDescent="0.35">
      <c r="B2" s="336" t="s">
        <v>116</v>
      </c>
      <c r="C2" s="337"/>
      <c r="D2" s="337"/>
      <c r="E2" s="337"/>
      <c r="F2" s="338"/>
    </row>
    <row r="3" spans="2:10" ht="14.5" thickBot="1" x14ac:dyDescent="0.35">
      <c r="B3" s="152" t="s">
        <v>46</v>
      </c>
      <c r="C3" s="339" t="s">
        <v>41</v>
      </c>
      <c r="D3" s="340"/>
      <c r="E3" s="339" t="s">
        <v>98</v>
      </c>
      <c r="F3" s="341"/>
    </row>
    <row r="4" spans="2:10" x14ac:dyDescent="0.3">
      <c r="B4" s="167" t="s">
        <v>99</v>
      </c>
      <c r="C4" s="332">
        <v>0</v>
      </c>
      <c r="D4" s="358"/>
      <c r="E4" s="332">
        <v>0</v>
      </c>
      <c r="F4" s="333"/>
    </row>
    <row r="5" spans="2:10" x14ac:dyDescent="0.3">
      <c r="B5" s="172" t="s">
        <v>100</v>
      </c>
      <c r="C5" s="332">
        <v>140000</v>
      </c>
      <c r="D5" s="358"/>
      <c r="E5" s="332">
        <f>6000*2</f>
        <v>12000</v>
      </c>
      <c r="F5" s="333"/>
    </row>
    <row r="6" spans="2:10" ht="28" x14ac:dyDescent="0.3">
      <c r="B6" s="172" t="s">
        <v>112</v>
      </c>
      <c r="C6" s="332">
        <f>46500*7</f>
        <v>325500</v>
      </c>
      <c r="D6" s="358"/>
      <c r="E6" s="332">
        <v>0</v>
      </c>
      <c r="F6" s="333"/>
    </row>
    <row r="7" spans="2:10" x14ac:dyDescent="0.3">
      <c r="B7" s="172" t="s">
        <v>101</v>
      </c>
      <c r="C7" s="332">
        <f>13000*7</f>
        <v>91000</v>
      </c>
      <c r="D7" s="358"/>
      <c r="E7" s="332">
        <f>4000*7</f>
        <v>28000</v>
      </c>
      <c r="F7" s="333"/>
    </row>
    <row r="8" spans="2:10" ht="14.5" thickBot="1" x14ac:dyDescent="0.35">
      <c r="B8" s="158" t="s">
        <v>102</v>
      </c>
      <c r="C8" s="332">
        <f>65000*7</f>
        <v>455000</v>
      </c>
      <c r="D8" s="358"/>
      <c r="E8" s="332">
        <v>50000</v>
      </c>
      <c r="F8" s="333"/>
      <c r="J8" t="s">
        <v>161</v>
      </c>
    </row>
    <row r="9" spans="2:10" ht="14.5" thickBot="1" x14ac:dyDescent="0.35">
      <c r="B9" s="336" t="s">
        <v>115</v>
      </c>
      <c r="C9" s="337"/>
      <c r="D9" s="337"/>
      <c r="E9" s="337"/>
      <c r="F9" s="338"/>
      <c r="J9" t="s">
        <v>162</v>
      </c>
    </row>
    <row r="10" spans="2:10" ht="17.5" thickBot="1" x14ac:dyDescent="0.35">
      <c r="B10" s="153" t="s">
        <v>110</v>
      </c>
      <c r="C10" s="154" t="s">
        <v>108</v>
      </c>
      <c r="D10" s="155" t="s">
        <v>105</v>
      </c>
      <c r="E10" s="156" t="s">
        <v>106</v>
      </c>
      <c r="F10" s="157" t="s">
        <v>107</v>
      </c>
    </row>
    <row r="11" spans="2:10" x14ac:dyDescent="0.3">
      <c r="B11" s="167" t="s">
        <v>99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3">
      <c r="B12" s="172" t="s">
        <v>100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3">
      <c r="B13" s="181" t="s">
        <v>103</v>
      </c>
      <c r="C13" s="334" t="s">
        <v>109</v>
      </c>
      <c r="D13" s="334"/>
      <c r="E13" s="334"/>
      <c r="F13" s="335"/>
    </row>
    <row r="14" spans="2:10" x14ac:dyDescent="0.3">
      <c r="B14" s="182" t="s">
        <v>101</v>
      </c>
      <c r="C14" s="334" t="s">
        <v>111</v>
      </c>
      <c r="D14" s="334"/>
      <c r="E14" s="334"/>
      <c r="F14" s="335"/>
    </row>
    <row r="15" spans="2:10" ht="14.5" thickBot="1" x14ac:dyDescent="0.35">
      <c r="B15" s="158" t="s">
        <v>102</v>
      </c>
      <c r="C15" s="352" t="s">
        <v>113</v>
      </c>
      <c r="D15" s="353"/>
      <c r="E15" s="353"/>
      <c r="F15" s="354"/>
    </row>
    <row r="16" spans="2:10" ht="14.5" thickBot="1" x14ac:dyDescent="0.35"/>
    <row r="17" spans="2:6" ht="14.5" thickBot="1" x14ac:dyDescent="0.35">
      <c r="B17" s="336" t="s">
        <v>97</v>
      </c>
      <c r="C17" s="337"/>
      <c r="D17" s="337"/>
      <c r="E17" s="337"/>
      <c r="F17" s="338"/>
    </row>
    <row r="18" spans="2:6" ht="14.5" thickBot="1" x14ac:dyDescent="0.35">
      <c r="B18" s="152" t="s">
        <v>104</v>
      </c>
      <c r="C18" s="339" t="s">
        <v>41</v>
      </c>
      <c r="D18" s="340"/>
      <c r="E18" s="339" t="s">
        <v>98</v>
      </c>
      <c r="F18" s="341"/>
    </row>
    <row r="19" spans="2:6" x14ac:dyDescent="0.3">
      <c r="B19" s="167" t="s">
        <v>99</v>
      </c>
      <c r="C19" s="355">
        <v>0</v>
      </c>
      <c r="D19" s="356"/>
      <c r="E19" s="355">
        <v>0</v>
      </c>
      <c r="F19" s="357"/>
    </row>
    <row r="20" spans="2:6" x14ac:dyDescent="0.3">
      <c r="B20" s="172" t="s">
        <v>100</v>
      </c>
      <c r="C20" s="344">
        <v>70000</v>
      </c>
      <c r="D20" s="345"/>
      <c r="E20" s="346">
        <f>6000*7</f>
        <v>42000</v>
      </c>
      <c r="F20" s="347"/>
    </row>
    <row r="21" spans="2:6" x14ac:dyDescent="0.3">
      <c r="B21" s="176" t="s">
        <v>103</v>
      </c>
      <c r="C21" s="344">
        <f>46500*7</f>
        <v>325500</v>
      </c>
      <c r="D21" s="345"/>
      <c r="E21" s="344">
        <v>0</v>
      </c>
      <c r="F21" s="348"/>
    </row>
    <row r="22" spans="2:6" x14ac:dyDescent="0.3">
      <c r="B22" s="172" t="s">
        <v>101</v>
      </c>
      <c r="C22" s="344">
        <f>13000*7</f>
        <v>91000</v>
      </c>
      <c r="D22" s="345"/>
      <c r="E22" s="344">
        <f>4000*7</f>
        <v>28000</v>
      </c>
      <c r="F22" s="348"/>
    </row>
    <row r="23" spans="2:6" ht="14.5" thickBot="1" x14ac:dyDescent="0.35">
      <c r="B23" s="158" t="s">
        <v>102</v>
      </c>
      <c r="C23" s="349">
        <f>65000*7</f>
        <v>455000</v>
      </c>
      <c r="D23" s="350"/>
      <c r="E23" s="349">
        <f>7000*7</f>
        <v>49000</v>
      </c>
      <c r="F23" s="351"/>
    </row>
    <row r="24" spans="2:6" ht="14.5" thickBot="1" x14ac:dyDescent="0.35">
      <c r="B24" s="163"/>
      <c r="C24" s="164"/>
      <c r="D24" s="165"/>
      <c r="E24" s="165"/>
      <c r="F24" s="166"/>
    </row>
    <row r="25" spans="2:6" ht="17.5" thickBot="1" x14ac:dyDescent="0.35">
      <c r="B25" s="153" t="s">
        <v>110</v>
      </c>
      <c r="C25" s="154" t="s">
        <v>108</v>
      </c>
      <c r="D25" s="155" t="s">
        <v>105</v>
      </c>
      <c r="E25" s="156" t="s">
        <v>106</v>
      </c>
      <c r="F25" s="157" t="s">
        <v>107</v>
      </c>
    </row>
    <row r="26" spans="2:6" x14ac:dyDescent="0.3">
      <c r="B26" s="167" t="s">
        <v>99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3">
      <c r="B27" s="172" t="s">
        <v>100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3">
      <c r="B28" s="176" t="s">
        <v>103</v>
      </c>
      <c r="C28" s="342" t="s">
        <v>109</v>
      </c>
      <c r="D28" s="342"/>
      <c r="E28" s="342"/>
      <c r="F28" s="343"/>
    </row>
    <row r="29" spans="2:6" x14ac:dyDescent="0.3">
      <c r="B29" s="172" t="s">
        <v>101</v>
      </c>
      <c r="C29" s="173">
        <v>0</v>
      </c>
      <c r="D29" s="174">
        <v>0</v>
      </c>
      <c r="E29" s="173">
        <v>0</v>
      </c>
      <c r="F29" s="175">
        <v>0</v>
      </c>
    </row>
    <row r="30" spans="2:6" ht="14.5" thickBot="1" x14ac:dyDescent="0.35">
      <c r="B30" s="158" t="s">
        <v>102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5" thickBot="1" x14ac:dyDescent="0.35"/>
    <row r="35" spans="2:6" ht="14.5" thickBot="1" x14ac:dyDescent="0.35">
      <c r="B35" s="336" t="s">
        <v>114</v>
      </c>
      <c r="C35" s="337"/>
      <c r="D35" s="337"/>
      <c r="E35" s="337"/>
      <c r="F35" s="338"/>
    </row>
    <row r="36" spans="2:6" ht="14.5" thickBot="1" x14ac:dyDescent="0.35">
      <c r="B36" s="152" t="s">
        <v>117</v>
      </c>
      <c r="C36" s="339" t="s">
        <v>41</v>
      </c>
      <c r="D36" s="340"/>
      <c r="E36" s="339" t="s">
        <v>98</v>
      </c>
      <c r="F36" s="341"/>
    </row>
    <row r="37" spans="2:6" x14ac:dyDescent="0.3">
      <c r="B37" s="167" t="s">
        <v>118</v>
      </c>
      <c r="C37" s="323" t="s">
        <v>121</v>
      </c>
      <c r="D37" s="324"/>
      <c r="E37" s="324"/>
      <c r="F37" s="325"/>
    </row>
    <row r="38" spans="2:6" x14ac:dyDescent="0.3">
      <c r="B38" s="172" t="s">
        <v>119</v>
      </c>
      <c r="C38" s="326" t="s">
        <v>120</v>
      </c>
      <c r="D38" s="327"/>
      <c r="E38" s="327"/>
      <c r="F38" s="328"/>
    </row>
    <row r="39" spans="2:6" x14ac:dyDescent="0.3">
      <c r="B39" s="172" t="s">
        <v>122</v>
      </c>
      <c r="C39" s="326" t="s">
        <v>123</v>
      </c>
      <c r="D39" s="327"/>
      <c r="E39" s="327"/>
      <c r="F39" s="328"/>
    </row>
    <row r="40" spans="2:6" ht="14.5" thickBot="1" x14ac:dyDescent="0.35">
      <c r="B40" s="158" t="s">
        <v>124</v>
      </c>
      <c r="C40" s="329" t="s">
        <v>125</v>
      </c>
      <c r="D40" s="330"/>
      <c r="E40" s="330"/>
      <c r="F40" s="331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4" x14ac:dyDescent="0.3"/>
  <cols>
    <col min="1" max="1" width="20.58203125" customWidth="1"/>
    <col min="2" max="2" width="10.5" bestFit="1" customWidth="1"/>
    <col min="3" max="3" width="14.58203125" customWidth="1"/>
    <col min="6" max="7" width="14.1640625" customWidth="1"/>
    <col min="8" max="8" width="11.08203125" bestFit="1" customWidth="1"/>
    <col min="9" max="9" width="13.5" bestFit="1" customWidth="1"/>
    <col min="10" max="10" width="13" bestFit="1" customWidth="1"/>
    <col min="11" max="11" width="12.5" bestFit="1" customWidth="1"/>
    <col min="12" max="12" width="11.08203125" bestFit="1" customWidth="1"/>
    <col min="14" max="14" width="9.4140625" customWidth="1"/>
  </cols>
  <sheetData>
    <row r="2" spans="1:14" x14ac:dyDescent="0.3">
      <c r="A2" t="s">
        <v>169</v>
      </c>
      <c r="B2" t="s">
        <v>170</v>
      </c>
    </row>
    <row r="3" spans="1:14" x14ac:dyDescent="0.3">
      <c r="B3" t="s">
        <v>41</v>
      </c>
    </row>
    <row r="7" spans="1:14" x14ac:dyDescent="0.3">
      <c r="N7" t="s">
        <v>171</v>
      </c>
    </row>
    <row r="8" spans="1:14" x14ac:dyDescent="0.3">
      <c r="A8" t="s">
        <v>172</v>
      </c>
      <c r="N8" t="s">
        <v>173</v>
      </c>
    </row>
    <row r="9" spans="1:14" x14ac:dyDescent="0.3">
      <c r="A9" t="s">
        <v>174</v>
      </c>
      <c r="D9" s="212" t="s">
        <v>175</v>
      </c>
      <c r="E9" s="212"/>
      <c r="N9" t="s">
        <v>176</v>
      </c>
    </row>
    <row r="10" spans="1:14" x14ac:dyDescent="0.3">
      <c r="N10" t="s">
        <v>177</v>
      </c>
    </row>
    <row r="15" spans="1:14" x14ac:dyDescent="0.3">
      <c r="A15" t="s">
        <v>178</v>
      </c>
      <c r="B15" t="s">
        <v>179</v>
      </c>
    </row>
    <row r="19" spans="1:12" x14ac:dyDescent="0.3">
      <c r="A19" s="39" t="s">
        <v>180</v>
      </c>
      <c r="B19" s="39" t="s">
        <v>171</v>
      </c>
      <c r="C19" s="39" t="s">
        <v>76</v>
      </c>
      <c r="D19" s="39" t="s">
        <v>181</v>
      </c>
      <c r="E19" s="39" t="s">
        <v>182</v>
      </c>
      <c r="F19" s="39" t="s">
        <v>183</v>
      </c>
      <c r="G19" s="39" t="s">
        <v>21</v>
      </c>
      <c r="H19" s="39" t="s">
        <v>184</v>
      </c>
      <c r="I19" s="39" t="s">
        <v>185</v>
      </c>
      <c r="J19" s="39" t="s">
        <v>186</v>
      </c>
      <c r="K19" s="39" t="s">
        <v>187</v>
      </c>
      <c r="L19" s="39" t="s">
        <v>188</v>
      </c>
    </row>
    <row r="20" spans="1:12" x14ac:dyDescent="0.3">
      <c r="A20" t="s">
        <v>189</v>
      </c>
      <c r="H20" s="149">
        <f>'תחשיב לפי שווי שומה (2)'!B8</f>
        <v>8000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3">
      <c r="A21" t="s">
        <v>190</v>
      </c>
      <c r="H21" s="150">
        <f>H20</f>
        <v>8000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3">
      <c r="A22" t="s">
        <v>191</v>
      </c>
      <c r="H22" s="150">
        <f>H21</f>
        <v>8000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3">
      <c r="A23" t="s">
        <v>192</v>
      </c>
      <c r="H23" s="150">
        <f>H22</f>
        <v>8000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3">
      <c r="A24" t="s">
        <v>193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Ofir Avioz</cp:lastModifiedBy>
  <cp:lastPrinted>2021-12-23T08:27:36Z</cp:lastPrinted>
  <dcterms:created xsi:type="dcterms:W3CDTF">2021-03-08T14:46:48Z</dcterms:created>
  <dcterms:modified xsi:type="dcterms:W3CDTF">2025-11-17T16:10:58Z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