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מחלקה מקצועית/אא בדיקות התכנות/בדיקת התכנות/פרוייקט בדיקת התכנות/בדיקת התכנות/"/>
    </mc:Choice>
  </mc:AlternateContent>
  <xr:revisionPtr revIDLastSave="163" documentId="8_{E9A5D54E-385F-4F6C-AF2C-D62B03C85759}" xr6:coauthVersionLast="47" xr6:coauthVersionMax="47" xr10:uidLastSave="{F92B2F90-517F-43B9-80BA-8DCA357F8AFB}"/>
  <bookViews>
    <workbookView xWindow="-28920" yWindow="855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L11" i="11"/>
  <c r="L14" i="11" s="1"/>
  <c r="J11" i="11"/>
  <c r="I11" i="11"/>
  <c r="K10" i="11"/>
  <c r="K9" i="11"/>
  <c r="K8" i="11"/>
  <c r="K7" i="11"/>
  <c r="K6" i="11"/>
  <c r="K5" i="11"/>
  <c r="S56" i="3"/>
  <c r="W54" i="3"/>
  <c r="U54" i="3"/>
  <c r="Y54" i="3" s="1"/>
  <c r="U52" i="3"/>
  <c r="Y52" i="3" s="1"/>
  <c r="S50" i="3"/>
  <c r="U50" i="3" s="1"/>
  <c r="S49" i="3"/>
  <c r="U49" i="3" s="1"/>
  <c r="S48" i="3"/>
  <c r="U48" i="3" s="1"/>
  <c r="S47" i="3"/>
  <c r="W47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K11" i="11" l="1"/>
  <c r="S51" i="3"/>
  <c r="S53" i="3" s="1"/>
  <c r="S55" i="3" s="1"/>
  <c r="S57" i="3" s="1"/>
  <c r="W58" i="3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<sst xmlns="http://schemas.openxmlformats.org/spreadsheetml/2006/main" count="374" uniqueCount="258">
  <si>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</si>
  <si>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</si>
  <si>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</si>
  <si>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</si>
  <si>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</si>
  <si>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</si>
  <si>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</si>
  <si>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</si>
  <si>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</si>
  <si>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</si>
  <si>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</si>
  <si>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</si>
  <si>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</si>
  <si>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</si>
  <si>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</si>
  <si>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</si>
  <si>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</si>
  <si>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</si>
  <si>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</si>
  <si>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</si>
  <si>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</si>
  <si>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</si>
  <si>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</si>
  <si>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</si>
  <si>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</si>
  <si>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</si>
  <si>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</si>
  <si>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</si>
  <si>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</si>
  <si>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</si>
  <si>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</si>
  <si>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</si>
  <si>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</si>
  <si>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</si>
  <si>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</si>
  <si>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</si>
  <si>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</si>
  <si>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</si>
  <si>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</si>
  <si>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</si>
  <si>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</si>
  <si>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</si>
  <si>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</si>
  <si>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</si>
  <si>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</si>
  <si>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</si>
  <si>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</si>
  <si>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</si>
  <si>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</si>
  <si>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</si>
  <si>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</si>
  <si>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</si>
  <si>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</si>
  <si>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</si>
  <si>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</si>
  <si>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</si>
  <si>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</si>
  <si>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</si>
  <si>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</si>
  <si>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</si>
  <si>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</si>
  <si>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</si>
  <si>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</si>
  <si>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</si>
  <si>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</si>
  <si>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</si>
  <si>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</si>
  <si>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</si>
  <si>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</si>
  <si>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</si>
  <si>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</si>
  <si>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</si>
  <si>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</si>
  <si>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</si>
  <si>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</si>
  <si>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</si>
  <si>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</si>
  <si>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</si>
  <si>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</si>
  <si>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</si>
  <si>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</si>
  <si>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</si>
  <si>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</si>
  <si>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</si>
  <si>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</si>
  <si>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</si>
  <si>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</si>
  <si>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</si>
  <si>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</si>
  <si>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</si>
  <si>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</si>
  <si>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</si>
  <si>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</si>
  <si>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</si>
  <si>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</si>
  <si>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</si>
  <si>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</si>
  <si>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</si>
  <si>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</si>
  <si>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</si>
  <si>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</si>
  <si>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</si>
  <si>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</si>
  <si>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</si>
  <si>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</si>
  <si>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</si>
  <si>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</si>
  <si>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</si>
  <si>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</si>
  <si>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</si>
  <si>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</si>
  <si>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</si>
  <si>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</si>
  <si>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</si>
  <si>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</si>
  <si>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</si>
  <si>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</si>
  <si>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</si>
  <si>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</si>
  <si>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</si>
  <si>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</si>
  <si>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</si>
  <si>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</si>
  <si>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</si>
  <si>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</si>
  <si>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</si>
  <si>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</si>
  <si>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</si>
  <si>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</si>
  <si>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</si>
  <si>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</si>
  <si>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</si>
  <si>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</si>
  <si>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</si>
  <si>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</si>
  <si>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</si>
  <si>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</si>
  <si>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</si>
  <si>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</si>
  <si>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</si>
  <si>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</si>
  <si>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</si>
  <si>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</si>
  <si>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</si>
  <si>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</si>
  <si>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</si>
  <si>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</si>
  <si>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</si>
  <si>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</si>
  <si>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</si>
  <si>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</si>
  <si>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</si>
  <si>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</si>
  <si>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</si>
  <si>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</si>
  <si>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</si>
  <si>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</si>
  <si>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</si>
  <si>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</si>
  <si>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</si>
  <si>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</si>
  <si>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</si>
  <si>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</si>
  <si>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</si>
  <si>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</si>
  <si>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</si>
  <si>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</si>
  <si>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</si>
  <si>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</si>
  <si>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</si>
  <si>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</si>
  <si>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</si>
  <si>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</si>
  <si>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</si>
  <si>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</si>
  <si>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634-0454967</t>
  </si>
  <si>
    <t>בתים</t>
  </si>
  <si>
    <t>פיצול</t>
  </si>
  <si>
    <t>3/222/06/6</t>
  </si>
  <si>
    <t>222/03/6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</si>
  <si>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</si>
  <si>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</si>
  <si>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</si>
  <si>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</si>
  <si>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</si>
  <si>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</si>
  <si>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</si>
  <si>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</si>
  <si>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</si>
  <si>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</si>
  <si>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</si>
  <si>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</si>
  <si>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</si>
  <si>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</si>
  <si>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</si>
  <si>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</si>
  <si>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</si>
  <si>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</si>
  <si>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</si>
  <si>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</si>
  <si>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</si>
  <si>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</si>
  <si>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</si>
  <si>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</si>
  <si>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</si>
  <si>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מבנה 1 - בית מגורים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</si>
  <si>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</si>
  <si>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</si>
  <si>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</si>
  <si>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</si>
  <si>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</si>
  <si>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</si>
  <si>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</si>
  <si>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</si>
  <si>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</si>
  <si>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</si>
  <si>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</si>
  <si>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</si>
  <si>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</si>
  <si>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</si>
  <si>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</si>
  <si>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</si>
  <si>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</si>
  <si>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</si>
  <si>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</si>
  <si>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</si>
  <si>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</si>
  <si>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</si>
  <si>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</si>
  <si>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</si>
  <si>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</si>
  <si>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</si>
  <si>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</si>
  <si>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</si>
  <si>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</si>
  <si>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</si>
  <si>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</si>
  <si>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</si>
  <si>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</si>
  <si>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</si>
  <si>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</si>
  <si>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</si>
  <si>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</si>
  <si>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</si>
  <si>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</si>
  <si>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</si>
  <si>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</si>
  <si>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</si>
  <si>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</si>
  <si>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</si>
  <si>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</si>
  <si>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 xml:space="preserve">אפשרות 1 </t>
  </si>
  <si>
    <t>שם מבנה</t>
  </si>
  <si>
    <t>פעולה</t>
  </si>
  <si>
    <t>גודל</t>
  </si>
  <si>
    <t>סה"כ למבנה</t>
  </si>
  <si>
    <t>סה"כ הסדרה</t>
  </si>
  <si>
    <t>סה"כ פרויקט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</si>
</sst>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7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46" xfId="0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9" fillId="0" borderId="22" xfId="0" applyFont="1" applyBorder="1"/>
    <xf numFmtId="0" fontId="0" fillId="0" borderId="53" xfId="0" applyBorder="1" applyAlignment="1">
      <alignment horizontal="center"/>
    </xf>
    <xf numFmtId="164" fontId="0" fillId="0" borderId="22" xfId="2" applyNumberFormat="1" applyFont="1" applyBorder="1"/>
    <xf numFmtId="164" fontId="0" fillId="0" borderId="69" xfId="2" applyNumberFormat="1" applyFont="1" applyBorder="1"/>
    <xf numFmtId="0" fontId="19" fillId="0" borderId="53" xfId="0" applyFont="1" applyBorder="1" applyAlignment="1">
      <alignment horizontal="center"/>
    </xf>
    <xf numFmtId="0" fontId="19" fillId="0" borderId="30" xfId="0" applyFont="1" applyBorder="1"/>
    <xf numFmtId="0" fontId="19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30" xfId="2" applyNumberFormat="1" applyFont="1" applyBorder="1"/>
    <xf numFmtId="164" fontId="0" fillId="0" borderId="30" xfId="2" applyNumberFormat="1" applyFont="1" applyBorder="1" applyAlignment="1">
      <alignment horizontal="center" vertical="center"/>
    </xf>
    <xf numFmtId="164" fontId="0" fillId="0" borderId="71" xfId="2" applyNumberFormat="1" applyFont="1" applyBorder="1"/>
    <xf numFmtId="164" fontId="6" fillId="0" borderId="79" xfId="2" applyNumberFormat="1" applyFont="1" applyBorder="1"/>
    <xf numFmtId="164" fontId="6" fillId="0" borderId="17" xfId="2" applyNumberFormat="1" applyFont="1" applyBorder="1"/>
    <xf numFmtId="164" fontId="6" fillId="0" borderId="17" xfId="2" applyNumberFormat="1" applyFont="1" applyBorder="1" applyAlignment="1">
      <alignment horizontal="center" vertical="center"/>
    </xf>
    <xf numFmtId="164" fontId="6" fillId="0" borderId="80" xfId="2" applyNumberFormat="1" applyFont="1" applyBorder="1"/>
    <xf numFmtId="0" fontId="19" fillId="0" borderId="0" xfId="0" applyFont="1"/>
    <xf numFmtId="0" fontId="8" fillId="0" borderId="49" xfId="0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164" fontId="8" fillId="0" borderId="56" xfId="2" applyNumberFormat="1" applyFont="1" applyBorder="1"/>
    <xf numFmtId="164" fontId="0" fillId="0" borderId="0" xfId="2" applyNumberFormat="1" applyFont="1" applyBorder="1"/>
    <xf numFmtId="164" fontId="8" fillId="0" borderId="70" xfId="0" applyNumberFormat="1" applyFont="1" applyBorder="1" applyAlignment="1">
      <alignment horizontal="center" vertical="center"/>
    </xf>
    <xf numFmtId="0" fontId="8" fillId="0" borderId="30" xfId="0" applyFont="1" applyBorder="1"/>
    <xf numFmtId="0" fontId="8" fillId="0" borderId="71" xfId="0" applyFont="1" applyBorder="1"/>
    <xf numFmtId="0" fontId="6" fillId="0" borderId="44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80" xfId="0" applyNumberFormat="1" applyFont="1" applyBorder="1"/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740330</xdr:colOff>
      <xdr:row>11</xdr:row>
      <xdr:rowOff>7998</xdr:rowOff>
    </xdr:from>
    <xdr:to>
      <xdr:col>13</xdr:col>
      <xdr:colOff>448250</xdr:colOff>
      <xdr:row>36</xdr:row>
      <xdr:rowOff>140067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C9C3658-A9DD-642C-6220-8615EEDE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4916000" y="2115404"/>
          <a:ext cx="4857373" cy="44480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92</v>
      </c>
      <c r="B4" s="76">
        <f>'מ"ר אקו'' נחלה'!D28</f>
        <v>144.55000000000001</v>
      </c>
      <c r="K4" s="1"/>
    </row>
    <row r="5" spans="1:11" x14ac:dyDescent="0.35">
      <c r="A5" s="1" t="s">
        <v>211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0</v>
      </c>
      <c r="G11" s="75">
        <f>'מ"ר אקו'' נחלה'!D71*-3.75%</f>
        <v>-6562.5</v>
      </c>
      <c r="H11" s="88">
        <f>SUM(F11:G11)</f>
        <v>-6562.5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0</v>
      </c>
      <c r="G12" s="75">
        <f>-'מ"ר אקו'' נחלה'!D58*C12</f>
        <v>-29250</v>
      </c>
      <c r="H12" s="6">
        <f>SUM(F12:G12)</f>
        <v>-29250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0</v>
      </c>
      <c r="G13" s="87">
        <f>G12*53/245</f>
        <v>-6327.5510204081629</v>
      </c>
      <c r="H13" s="6">
        <f>SUM(F13:G13)</f>
        <v>-6327.5510204081629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0</v>
      </c>
      <c r="G14" s="116"/>
      <c r="H14" s="89">
        <f>SUM(H12:H13)</f>
        <v>-35577.551020408166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0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0</v>
      </c>
      <c r="G16" s="75">
        <f>-'מ"ר אקו'' נחלה'!D15*C16</f>
        <v>-81510</v>
      </c>
      <c r="H16" s="88">
        <f>SUM(F16:G16)</f>
        <v>-81510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0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0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0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158</v>
      </c>
      <c r="C29" s="75"/>
    </row>
    <row r="30" spans="1:10" x14ac:dyDescent="0.35">
      <c r="A30" s="2"/>
      <c r="B30" s="2" t="s">
        <v>160</v>
      </c>
      <c r="C30" s="2" t="s">
        <v>21</v>
      </c>
      <c r="D30" s="2" t="s">
        <v>159</v>
      </c>
    </row>
    <row r="31" spans="1:10" x14ac:dyDescent="0.35">
      <c r="A31" s="1" t="s">
        <v>156</v>
      </c>
      <c r="B31" s="5">
        <f>'מ"ר אקו'' נחלה'!D57*'תחשיב לפי שווי שומה (2)'!$B$8</f>
        <v>0</v>
      </c>
      <c r="C31" s="191">
        <v>1</v>
      </c>
      <c r="D31" s="6">
        <f>C31*$B$8</f>
        <v>0</v>
      </c>
    </row>
    <row r="32" spans="1:10" x14ac:dyDescent="0.35">
      <c r="A32" s="1" t="s">
        <v>155</v>
      </c>
      <c r="B32" s="6">
        <f>350*$B$8*C32</f>
        <v>0</v>
      </c>
      <c r="C32" s="191">
        <v>0.15</v>
      </c>
      <c r="D32" s="6">
        <f>C32*$B$8</f>
        <v>0</v>
      </c>
    </row>
    <row r="33" spans="1:6" x14ac:dyDescent="0.35">
      <c r="C33" s="75"/>
    </row>
    <row r="34" spans="1:6" x14ac:dyDescent="0.35">
      <c r="A34" s="1" t="s">
        <v>153</v>
      </c>
      <c r="B34" s="6">
        <f>B31-B32</f>
        <v>0</v>
      </c>
      <c r="C34" s="191">
        <f>C31-C32</f>
        <v>0.85</v>
      </c>
      <c r="D34" s="6">
        <f>C34*$B$8</f>
        <v>0</v>
      </c>
    </row>
    <row r="35" spans="1:6" x14ac:dyDescent="0.35">
      <c r="A35" s="1" t="s">
        <v>154</v>
      </c>
      <c r="B35" s="6">
        <f>B34*50%</f>
        <v>0</v>
      </c>
      <c r="C35" s="191">
        <f>C34*50%</f>
        <v>0.42499999999999999</v>
      </c>
      <c r="D35" s="6">
        <f>C35*$B$8</f>
        <v>0</v>
      </c>
    </row>
    <row r="37" spans="1:6" x14ac:dyDescent="0.35">
      <c r="A37" s="2" t="s">
        <v>162</v>
      </c>
      <c r="C37" s="75"/>
    </row>
    <row r="38" spans="1:6" x14ac:dyDescent="0.35">
      <c r="A38" s="2"/>
      <c r="B38" s="2" t="s">
        <v>160</v>
      </c>
      <c r="C38" s="2" t="s">
        <v>21</v>
      </c>
      <c r="D38" s="2" t="s">
        <v>159</v>
      </c>
    </row>
    <row r="39" spans="1:6" x14ac:dyDescent="0.35">
      <c r="A39" s="1" t="s">
        <v>156</v>
      </c>
      <c r="B39" s="5">
        <f>'מ"ר אקו'' נחלה'!D57*'תחשיב לפי שווי שומה (2)'!$B$8</f>
        <v>0</v>
      </c>
      <c r="C39" s="191">
        <v>1</v>
      </c>
      <c r="D39" s="6">
        <f>C39*$B$8</f>
        <v>0</v>
      </c>
    </row>
    <row r="40" spans="1:6" x14ac:dyDescent="0.35">
      <c r="A40" s="1" t="s">
        <v>163</v>
      </c>
      <c r="B40" s="6">
        <f>B39*70%</f>
        <v>0</v>
      </c>
      <c r="C40" s="191">
        <v>0.7</v>
      </c>
      <c r="D40" s="6">
        <f>C40*$B$8</f>
        <v>0</v>
      </c>
    </row>
    <row r="41" spans="1:6" x14ac:dyDescent="0.35">
      <c r="C41" s="75"/>
    </row>
    <row r="42" spans="1:6" x14ac:dyDescent="0.35">
      <c r="A42" s="1" t="s">
        <v>153</v>
      </c>
      <c r="B42" s="6">
        <f>B39-B40</f>
        <v>0</v>
      </c>
      <c r="C42" s="191">
        <f>C39-C40</f>
        <v>0.30000000000000004</v>
      </c>
      <c r="D42" s="6">
        <f>C42*$B$8</f>
        <v>0</v>
      </c>
      <c r="F42" s="6"/>
    </row>
    <row r="43" spans="1:6" x14ac:dyDescent="0.35">
      <c r="A43" s="1" t="s">
        <v>154</v>
      </c>
      <c r="B43" s="6">
        <f>B42*50%</f>
        <v>0</v>
      </c>
      <c r="C43" s="191">
        <f>C42*50%</f>
        <v>0.15000000000000002</v>
      </c>
      <c r="D43" s="6">
        <f>C43*$B$8</f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308" t="s">
        <v>218</v>
      </c>
      <c r="I9" s="309"/>
      <c r="J9" s="309"/>
      <c r="K9" s="309"/>
      <c r="L9" s="309"/>
      <c r="M9" s="309"/>
      <c r="N9" s="309"/>
      <c r="O9" s="310"/>
    </row>
    <row r="10" spans="8:15" x14ac:dyDescent="0.25">
      <c r="H10" s="311" t="s">
        <v>219</v>
      </c>
      <c r="I10" s="312"/>
      <c r="J10" s="311" t="s">
        <v>220</v>
      </c>
      <c r="K10" s="312"/>
      <c r="L10" s="315" t="s">
        <v>221</v>
      </c>
      <c r="M10" s="316"/>
      <c r="N10" s="311" t="s">
        <v>5</v>
      </c>
      <c r="O10" s="312"/>
    </row>
    <row r="11" spans="8:15" ht="14.4" thickBot="1" x14ac:dyDescent="0.3">
      <c r="H11" s="313"/>
      <c r="I11" s="314"/>
      <c r="J11" s="313"/>
      <c r="K11" s="314"/>
      <c r="L11" s="317"/>
      <c r="M11" s="318"/>
      <c r="N11" s="313"/>
      <c r="O11" s="314"/>
    </row>
    <row r="12" spans="8:15" x14ac:dyDescent="0.25">
      <c r="H12" s="300" t="s">
        <v>222</v>
      </c>
      <c r="I12" s="301"/>
      <c r="J12" s="304">
        <f>240000</f>
        <v>240000</v>
      </c>
      <c r="K12" s="304"/>
      <c r="L12" s="304">
        <f>240000</f>
        <v>240000</v>
      </c>
      <c r="M12" s="304"/>
      <c r="N12" s="304">
        <v>2700000</v>
      </c>
      <c r="O12" s="306"/>
    </row>
    <row r="13" spans="8:15" x14ac:dyDescent="0.25">
      <c r="H13" s="302"/>
      <c r="I13" s="303"/>
      <c r="J13" s="305"/>
      <c r="K13" s="305"/>
      <c r="L13" s="305"/>
      <c r="M13" s="305"/>
      <c r="N13" s="305"/>
      <c r="O13" s="307"/>
    </row>
    <row r="14" spans="8:15" x14ac:dyDescent="0.25">
      <c r="H14" s="302" t="s">
        <v>223</v>
      </c>
      <c r="I14" s="303"/>
      <c r="J14" s="305">
        <f>1000000</f>
        <v>1000000</v>
      </c>
      <c r="K14" s="305"/>
      <c r="L14" s="305">
        <v>1730000</v>
      </c>
      <c r="M14" s="305"/>
      <c r="N14" s="303" t="s">
        <v>224</v>
      </c>
      <c r="O14" s="319"/>
    </row>
    <row r="15" spans="8:15" x14ac:dyDescent="0.25">
      <c r="H15" s="302"/>
      <c r="I15" s="303"/>
      <c r="J15" s="305"/>
      <c r="K15" s="305"/>
      <c r="L15" s="305"/>
      <c r="M15" s="305"/>
      <c r="N15" s="303"/>
      <c r="O15" s="319"/>
    </row>
    <row r="16" spans="8:15" x14ac:dyDescent="0.25">
      <c r="H16" s="302" t="s">
        <v>225</v>
      </c>
      <c r="I16" s="303"/>
      <c r="J16" s="320">
        <f>(J14+J12)*0.06</f>
        <v>74400</v>
      </c>
      <c r="K16" s="320"/>
      <c r="L16" s="320">
        <f>(L14+L12)*0.06</f>
        <v>118200</v>
      </c>
      <c r="M16" s="320"/>
      <c r="N16" s="320">
        <f>N12*0.06</f>
        <v>162000</v>
      </c>
      <c r="O16" s="321"/>
    </row>
    <row r="17" spans="8:15" x14ac:dyDescent="0.25">
      <c r="H17" s="302"/>
      <c r="I17" s="303"/>
      <c r="J17" s="320"/>
      <c r="K17" s="320"/>
      <c r="L17" s="320"/>
      <c r="M17" s="320"/>
      <c r="N17" s="320"/>
      <c r="O17" s="321"/>
    </row>
    <row r="18" spans="8:15" x14ac:dyDescent="0.25">
      <c r="H18" s="302" t="s">
        <v>226</v>
      </c>
      <c r="I18" s="303"/>
      <c r="J18" s="303" t="s">
        <v>224</v>
      </c>
      <c r="K18" s="303"/>
      <c r="L18" s="320">
        <v>144000</v>
      </c>
      <c r="M18" s="320"/>
      <c r="N18" s="303" t="s">
        <v>224</v>
      </c>
      <c r="O18" s="319"/>
    </row>
    <row r="19" spans="8:15" x14ac:dyDescent="0.25">
      <c r="H19" s="302"/>
      <c r="I19" s="303"/>
      <c r="J19" s="303"/>
      <c r="K19" s="303"/>
      <c r="L19" s="320"/>
      <c r="M19" s="320"/>
      <c r="N19" s="303"/>
      <c r="O19" s="319"/>
    </row>
    <row r="20" spans="8:15" x14ac:dyDescent="0.25">
      <c r="H20" s="325" t="s">
        <v>8</v>
      </c>
      <c r="I20" s="326"/>
      <c r="J20" s="327">
        <f>SUM(J12:K19)</f>
        <v>1314400</v>
      </c>
      <c r="K20" s="326"/>
      <c r="L20" s="327">
        <f>SUM(L12:M19)</f>
        <v>2232200</v>
      </c>
      <c r="M20" s="326"/>
      <c r="N20" s="327">
        <f>SUM(N12:O19)</f>
        <v>2862000</v>
      </c>
      <c r="O20" s="328"/>
    </row>
    <row r="21" spans="8:15" x14ac:dyDescent="0.25">
      <c r="H21" s="325"/>
      <c r="I21" s="326"/>
      <c r="J21" s="326"/>
      <c r="K21" s="326"/>
      <c r="L21" s="326"/>
      <c r="M21" s="326"/>
      <c r="N21" s="326"/>
      <c r="O21" s="328"/>
    </row>
    <row r="22" spans="8:15" x14ac:dyDescent="0.25">
      <c r="H22" s="302" t="s">
        <v>227</v>
      </c>
      <c r="I22" s="303"/>
      <c r="J22" s="320">
        <v>500000</v>
      </c>
      <c r="K22" s="303"/>
      <c r="L22" s="320">
        <v>1500000</v>
      </c>
      <c r="M22" s="303"/>
      <c r="N22" s="303" t="s">
        <v>228</v>
      </c>
      <c r="O22" s="319"/>
    </row>
    <row r="23" spans="8:15" ht="14.4" thickBot="1" x14ac:dyDescent="0.3">
      <c r="H23" s="322"/>
      <c r="I23" s="323"/>
      <c r="J23" s="323"/>
      <c r="K23" s="323"/>
      <c r="L23" s="323"/>
      <c r="M23" s="323"/>
      <c r="N23" s="323"/>
      <c r="O23" s="324"/>
    </row>
  </sheetData>
  <mergeCells count="29"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  <mergeCell ref="H14:I15"/>
    <mergeCell ref="J14:K15"/>
    <mergeCell ref="L14:M15"/>
    <mergeCell ref="N14:O15"/>
    <mergeCell ref="H16:I17"/>
    <mergeCell ref="J16:K17"/>
    <mergeCell ref="L16:M17"/>
    <mergeCell ref="N16:O17"/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71"/>
  <sheetViews>
    <sheetView rightToLeft="1" topLeftCell="E31" workbookViewId="0">
      <selection activeCell="U62" sqref="U62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25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29" t="s">
        <v>211</v>
      </c>
      <c r="B30" s="330"/>
      <c r="C30" s="330"/>
      <c r="D30" s="331"/>
      <c r="I30" s="17"/>
    </row>
    <row r="31" spans="1:9" x14ac:dyDescent="0.25">
      <c r="A31" s="214" t="s">
        <v>212</v>
      </c>
      <c r="B31" s="12"/>
      <c r="C31" s="12"/>
      <c r="D31" s="215">
        <v>186</v>
      </c>
      <c r="I31" s="17"/>
    </row>
    <row r="32" spans="1:9" x14ac:dyDescent="0.25">
      <c r="A32" s="18" t="s">
        <v>213</v>
      </c>
      <c r="D32" s="216">
        <v>160</v>
      </c>
      <c r="I32" s="17"/>
    </row>
    <row r="33" spans="1:25" ht="14.4" thickBot="1" x14ac:dyDescent="0.3">
      <c r="A33" s="101" t="s">
        <v>214</v>
      </c>
      <c r="B33" s="103"/>
      <c r="C33" s="103"/>
      <c r="D33" s="217">
        <f>D31-D32</f>
        <v>26</v>
      </c>
      <c r="I33" s="17"/>
    </row>
    <row r="34" spans="1:25" x14ac:dyDescent="0.25">
      <c r="A34" s="10" t="s">
        <v>215</v>
      </c>
      <c r="B34" s="12"/>
      <c r="C34" s="12"/>
      <c r="D34" s="215">
        <v>240</v>
      </c>
      <c r="I34" s="17"/>
    </row>
    <row r="35" spans="1:25" x14ac:dyDescent="0.25">
      <c r="A35" s="18" t="s">
        <v>213</v>
      </c>
      <c r="D35" s="216">
        <v>160</v>
      </c>
      <c r="I35" s="17"/>
    </row>
    <row r="36" spans="1:25" ht="14.4" thickBot="1" x14ac:dyDescent="0.3">
      <c r="A36" s="101" t="s">
        <v>214</v>
      </c>
      <c r="B36" s="103"/>
      <c r="C36" s="103"/>
      <c r="D36" s="217">
        <f>D34-D35</f>
        <v>80</v>
      </c>
      <c r="I36" s="17"/>
    </row>
    <row r="37" spans="1:25" ht="14.4" thickBot="1" x14ac:dyDescent="0.3">
      <c r="A37" s="18"/>
      <c r="D37" s="216"/>
      <c r="I37" s="17"/>
    </row>
    <row r="38" spans="1:25" ht="14.4" thickBot="1" x14ac:dyDescent="0.3">
      <c r="A38" s="218" t="s">
        <v>216</v>
      </c>
      <c r="B38" s="219"/>
      <c r="C38" s="219"/>
      <c r="D38" s="220">
        <f>D36+D33</f>
        <v>106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217</v>
      </c>
      <c r="D41" s="17">
        <f>D14+D28-D38</f>
        <v>1011.05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161</v>
      </c>
      <c r="O46" s="221" t="s">
        <v>229</v>
      </c>
      <c r="P46" s="222" t="s">
        <v>230</v>
      </c>
      <c r="Q46" s="222" t="s">
        <v>231</v>
      </c>
      <c r="R46" s="222" t="s">
        <v>232</v>
      </c>
      <c r="S46" s="223" t="s">
        <v>233</v>
      </c>
      <c r="T46" s="221" t="s">
        <v>234</v>
      </c>
      <c r="U46" s="224" t="s">
        <v>235</v>
      </c>
      <c r="V46" s="221" t="s">
        <v>236</v>
      </c>
      <c r="W46" s="224" t="s">
        <v>237</v>
      </c>
      <c r="X46" s="221" t="s">
        <v>236</v>
      </c>
      <c r="Y46" s="224" t="s">
        <v>225</v>
      </c>
    </row>
    <row r="47" spans="1:25" x14ac:dyDescent="0.25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32" t="s">
        <v>238</v>
      </c>
      <c r="P47" s="225" t="s">
        <v>14</v>
      </c>
      <c r="Q47" s="225">
        <v>300</v>
      </c>
      <c r="R47" s="225">
        <v>160</v>
      </c>
      <c r="S47" s="226">
        <f>Q47-R47</f>
        <v>140</v>
      </c>
      <c r="T47" s="227">
        <v>3000</v>
      </c>
      <c r="U47" s="228">
        <f>S47*T47</f>
        <v>420000</v>
      </c>
      <c r="V47" s="227">
        <v>0</v>
      </c>
      <c r="W47" s="228">
        <f>S47*V47</f>
        <v>0</v>
      </c>
      <c r="X47" s="229">
        <v>0</v>
      </c>
      <c r="Y47" s="228">
        <v>0</v>
      </c>
    </row>
    <row r="48" spans="1:25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34"/>
      <c r="P48" s="230" t="s">
        <v>15</v>
      </c>
      <c r="Q48" s="230">
        <v>197</v>
      </c>
      <c r="R48" s="230">
        <v>160</v>
      </c>
      <c r="S48" s="231">
        <f>Q48-R48</f>
        <v>37</v>
      </c>
      <c r="T48" s="232">
        <v>3000</v>
      </c>
      <c r="U48" s="233">
        <f>S48*T48</f>
        <v>111000</v>
      </c>
      <c r="V48" s="232">
        <v>0</v>
      </c>
      <c r="W48" s="233">
        <v>0</v>
      </c>
      <c r="X48" s="234">
        <v>0</v>
      </c>
      <c r="Y48" s="233">
        <v>0</v>
      </c>
    </row>
    <row r="49" spans="1:25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34"/>
      <c r="P49" s="230" t="s">
        <v>239</v>
      </c>
      <c r="Q49" s="230">
        <v>130</v>
      </c>
      <c r="R49" s="230">
        <v>0</v>
      </c>
      <c r="S49" s="231">
        <f>Q49-R49</f>
        <v>130</v>
      </c>
      <c r="T49" s="232">
        <v>3000</v>
      </c>
      <c r="U49" s="233">
        <f>S49*T49</f>
        <v>390000</v>
      </c>
      <c r="V49" s="232">
        <v>0</v>
      </c>
      <c r="W49" s="233">
        <v>0</v>
      </c>
      <c r="X49" s="234">
        <v>0</v>
      </c>
      <c r="Y49" s="233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0</v>
      </c>
      <c r="K50" s="17">
        <f>I50*J50</f>
        <v>0</v>
      </c>
      <c r="L50" s="110">
        <v>0.29249999999999998</v>
      </c>
      <c r="M50" s="91">
        <f>K50*L50</f>
        <v>0</v>
      </c>
      <c r="O50" s="334"/>
      <c r="P50" s="235" t="s">
        <v>240</v>
      </c>
      <c r="Q50" s="235">
        <v>55</v>
      </c>
      <c r="R50" s="235">
        <v>0</v>
      </c>
      <c r="S50" s="236">
        <f>Q50-R50</f>
        <v>55</v>
      </c>
      <c r="T50" s="237">
        <v>3000</v>
      </c>
      <c r="U50" s="238">
        <f>S50*T50</f>
        <v>165000</v>
      </c>
      <c r="V50" s="237">
        <v>0</v>
      </c>
      <c r="W50" s="238">
        <v>0</v>
      </c>
      <c r="X50" s="239">
        <v>0</v>
      </c>
      <c r="Y50" s="238">
        <v>0</v>
      </c>
    </row>
    <row r="51" spans="1:25" ht="15" thickTop="1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0</v>
      </c>
      <c r="K51" s="17">
        <f>I51*J51</f>
        <v>0</v>
      </c>
      <c r="L51" s="110">
        <v>0.33</v>
      </c>
      <c r="M51" s="91">
        <f>K51*L51</f>
        <v>0</v>
      </c>
      <c r="O51" s="333"/>
      <c r="P51" s="335" t="s">
        <v>8</v>
      </c>
      <c r="Q51" s="336"/>
      <c r="R51" s="337"/>
      <c r="S51" s="240">
        <f>SUM(S47:S50)</f>
        <v>362</v>
      </c>
      <c r="T51" s="241">
        <v>3000</v>
      </c>
      <c r="U51" s="242">
        <f>SUM(U47:U50)</f>
        <v>1086000</v>
      </c>
      <c r="V51" s="241">
        <v>0</v>
      </c>
      <c r="W51" s="242">
        <v>0</v>
      </c>
      <c r="X51" s="243">
        <v>0</v>
      </c>
      <c r="Y51" s="242">
        <v>0</v>
      </c>
    </row>
    <row r="52" spans="1:25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0</v>
      </c>
      <c r="O52" s="300" t="s">
        <v>241</v>
      </c>
      <c r="P52" s="225" t="s">
        <v>241</v>
      </c>
      <c r="Q52" s="244">
        <v>3.7499999999999999E-2</v>
      </c>
      <c r="R52" s="245"/>
      <c r="S52" s="226">
        <v>375</v>
      </c>
      <c r="T52" s="246">
        <v>240000</v>
      </c>
      <c r="U52" s="247">
        <f>T52</f>
        <v>240000</v>
      </c>
      <c r="V52" s="246">
        <v>0</v>
      </c>
      <c r="W52" s="247">
        <v>0</v>
      </c>
      <c r="X52" s="248">
        <v>0.06</v>
      </c>
      <c r="Y52" s="247">
        <f>U52*6%</f>
        <v>14400</v>
      </c>
    </row>
    <row r="53" spans="1:25" ht="14.4" thickBot="1" x14ac:dyDescent="0.3">
      <c r="A53" s="100" t="s">
        <v>26</v>
      </c>
      <c r="B53" s="71"/>
      <c r="C53" s="28">
        <v>0.5</v>
      </c>
      <c r="D53" s="29">
        <f t="shared" si="1"/>
        <v>0</v>
      </c>
      <c r="O53" s="322"/>
      <c r="P53" s="249" t="s">
        <v>242</v>
      </c>
      <c r="Q53" s="249"/>
      <c r="R53" s="249"/>
      <c r="S53" s="250">
        <f>SUM(S51:S52)</f>
        <v>737</v>
      </c>
      <c r="T53" s="251"/>
      <c r="U53" s="252"/>
      <c r="V53" s="251"/>
      <c r="W53" s="252"/>
      <c r="X53" s="253"/>
      <c r="Y53" s="252">
        <v>0</v>
      </c>
    </row>
    <row r="54" spans="1:25" x14ac:dyDescent="0.25">
      <c r="A54" s="22" t="s">
        <v>27</v>
      </c>
      <c r="B54" s="23">
        <f>SUM(B48:B53)-B49</f>
        <v>273</v>
      </c>
      <c r="C54" s="24"/>
      <c r="D54" s="25"/>
      <c r="O54" s="332" t="s">
        <v>177</v>
      </c>
      <c r="P54" s="225" t="s">
        <v>243</v>
      </c>
      <c r="Q54" s="254"/>
      <c r="R54" s="245"/>
      <c r="S54" s="226">
        <v>-160</v>
      </c>
      <c r="T54" s="227">
        <v>950000</v>
      </c>
      <c r="U54" s="228">
        <f>T54</f>
        <v>950000</v>
      </c>
      <c r="V54" s="227">
        <v>450000</v>
      </c>
      <c r="W54" s="228">
        <f>V54</f>
        <v>450000</v>
      </c>
      <c r="X54" s="229">
        <v>0.06</v>
      </c>
      <c r="Y54" s="228">
        <f>U54*6%</f>
        <v>57000</v>
      </c>
    </row>
    <row r="55" spans="1:25" ht="14.4" thickBot="1" x14ac:dyDescent="0.3">
      <c r="A55" s="18" t="s">
        <v>28</v>
      </c>
      <c r="B55" s="19">
        <f>B47-B54</f>
        <v>77</v>
      </c>
      <c r="C55" s="20"/>
      <c r="D55" s="21"/>
      <c r="O55" s="333"/>
      <c r="P55" s="249" t="s">
        <v>244</v>
      </c>
      <c r="Q55" s="249"/>
      <c r="R55" s="249"/>
      <c r="S55" s="250">
        <f>SUM(S53:S54)</f>
        <v>577</v>
      </c>
      <c r="T55" s="251"/>
      <c r="U55" s="252"/>
      <c r="V55" s="251"/>
      <c r="W55" s="252"/>
      <c r="X55" s="253"/>
      <c r="Y55" s="252"/>
    </row>
    <row r="56" spans="1:25" x14ac:dyDescent="0.25">
      <c r="A56" s="26" t="s">
        <v>29</v>
      </c>
      <c r="B56" s="105">
        <v>80</v>
      </c>
      <c r="C56" s="106">
        <v>0.25</v>
      </c>
      <c r="D56" s="107">
        <f>B56*C56</f>
        <v>20</v>
      </c>
      <c r="O56" s="332" t="s">
        <v>245</v>
      </c>
      <c r="P56" s="225" t="s">
        <v>246</v>
      </c>
      <c r="Q56" s="225"/>
      <c r="R56" s="225"/>
      <c r="S56" s="226">
        <f>-Q48-Q49-Q50</f>
        <v>-382</v>
      </c>
      <c r="T56" s="227"/>
      <c r="U56" s="228"/>
      <c r="V56" s="227"/>
      <c r="W56" s="228">
        <v>0</v>
      </c>
      <c r="X56" s="229">
        <v>0</v>
      </c>
      <c r="Y56" s="228">
        <v>0</v>
      </c>
    </row>
    <row r="57" spans="1:25" ht="14.4" thickBot="1" x14ac:dyDescent="0.3">
      <c r="A57" s="101" t="s">
        <v>31</v>
      </c>
      <c r="B57" s="102"/>
      <c r="C57" s="103"/>
      <c r="D57" s="104">
        <f>SUM(D48:D56)</f>
        <v>286.8</v>
      </c>
      <c r="F57" s="91"/>
      <c r="O57" s="333"/>
      <c r="P57" s="249" t="s">
        <v>247</v>
      </c>
      <c r="Q57" s="249"/>
      <c r="R57" s="249"/>
      <c r="S57" s="250">
        <f>SUM(S55:S56)</f>
        <v>195</v>
      </c>
      <c r="T57" s="251">
        <v>0</v>
      </c>
      <c r="U57" s="252">
        <v>0</v>
      </c>
      <c r="V57" s="251"/>
      <c r="W57" s="252">
        <v>0</v>
      </c>
      <c r="X57" s="253">
        <v>0</v>
      </c>
      <c r="Y57" s="252">
        <v>0</v>
      </c>
    </row>
    <row r="58" spans="1:25" ht="14.4" thickBot="1" x14ac:dyDescent="0.3">
      <c r="A58" s="18" t="s">
        <v>75</v>
      </c>
      <c r="B58" s="19"/>
      <c r="D58" s="91">
        <v>100000</v>
      </c>
      <c r="T58" s="218" t="s">
        <v>235</v>
      </c>
      <c r="U58" s="255">
        <f>SUM(U51:U57)</f>
        <v>2276000</v>
      </c>
      <c r="V58" s="219" t="s">
        <v>248</v>
      </c>
      <c r="W58" s="255">
        <f>SUM(W47:W57)</f>
        <v>450000</v>
      </c>
      <c r="X58" s="219" t="s">
        <v>249</v>
      </c>
      <c r="Y58" s="256">
        <f>SUM(Y51:Y57)</f>
        <v>71400</v>
      </c>
    </row>
    <row r="60" spans="1:25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E2:L14"/>
  <sheetViews>
    <sheetView rightToLeft="1" tabSelected="1" workbookViewId="0">
      <selection activeCell="W12" sqref="W12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</cols>
  <sheetData>
    <row r="2" spans="5:12" ht="14.4" thickBot="1" x14ac:dyDescent="0.3"/>
    <row r="3" spans="5:12" ht="14.4" thickBot="1" x14ac:dyDescent="0.3">
      <c r="E3" s="297" t="s">
        <v>251</v>
      </c>
      <c r="F3" s="298"/>
      <c r="G3" s="298"/>
      <c r="H3" s="298"/>
      <c r="I3" s="298"/>
      <c r="J3" s="298"/>
      <c r="K3" s="298"/>
      <c r="L3" s="299"/>
    </row>
    <row r="4" spans="5:12" x14ac:dyDescent="0.25">
      <c r="E4" s="261" t="s">
        <v>250</v>
      </c>
      <c r="F4" s="262" t="s">
        <v>252</v>
      </c>
      <c r="G4" s="263" t="s">
        <v>253</v>
      </c>
      <c r="H4" s="263" t="s">
        <v>254</v>
      </c>
      <c r="I4" s="262" t="s">
        <v>199</v>
      </c>
      <c r="J4" s="262" t="s">
        <v>237</v>
      </c>
      <c r="K4" s="262" t="s">
        <v>255</v>
      </c>
      <c r="L4" s="264" t="s">
        <v>49</v>
      </c>
    </row>
    <row r="5" spans="5:12" x14ac:dyDescent="0.25">
      <c r="E5" s="257">
        <v>1</v>
      </c>
      <c r="F5" s="265"/>
      <c r="G5" s="266"/>
      <c r="H5" s="267"/>
      <c r="I5" s="258"/>
      <c r="J5" s="258"/>
      <c r="K5" s="258">
        <f>SUM(I5:J5)</f>
        <v>0</v>
      </c>
      <c r="L5" s="259"/>
    </row>
    <row r="6" spans="5:12" x14ac:dyDescent="0.25">
      <c r="E6" s="257">
        <v>2</v>
      </c>
      <c r="F6" s="268"/>
      <c r="G6" s="266"/>
      <c r="H6" s="269"/>
      <c r="I6" s="270"/>
      <c r="J6" s="270"/>
      <c r="K6" s="258">
        <f t="shared" ref="K6:K10" si="0">SUM(I6:J6)</f>
        <v>0</v>
      </c>
      <c r="L6" s="271"/>
    </row>
    <row r="7" spans="5:12" x14ac:dyDescent="0.25">
      <c r="E7" s="257">
        <v>3</v>
      </c>
      <c r="F7" s="268"/>
      <c r="G7" s="272"/>
      <c r="H7" s="269"/>
      <c r="I7" s="270"/>
      <c r="J7" s="270"/>
      <c r="K7" s="258">
        <f t="shared" si="0"/>
        <v>0</v>
      </c>
      <c r="L7" s="271"/>
    </row>
    <row r="8" spans="5:12" x14ac:dyDescent="0.25">
      <c r="E8" s="257">
        <v>4</v>
      </c>
      <c r="F8" s="268"/>
      <c r="G8" s="272"/>
      <c r="H8" s="269"/>
      <c r="I8" s="270"/>
      <c r="J8" s="270"/>
      <c r="K8" s="258">
        <f t="shared" si="0"/>
        <v>0</v>
      </c>
      <c r="L8" s="271"/>
    </row>
    <row r="9" spans="5:12" x14ac:dyDescent="0.25">
      <c r="E9" s="257">
        <v>5</v>
      </c>
      <c r="F9" s="268"/>
      <c r="G9" s="272"/>
      <c r="H9" s="269"/>
      <c r="I9" s="270"/>
      <c r="J9" s="270"/>
      <c r="K9" s="258">
        <f t="shared" si="0"/>
        <v>0</v>
      </c>
      <c r="L9" s="271"/>
    </row>
    <row r="10" spans="5:12" ht="14.4" thickBot="1" x14ac:dyDescent="0.3">
      <c r="E10" s="260">
        <v>6</v>
      </c>
      <c r="F10" s="273"/>
      <c r="G10" s="274"/>
      <c r="H10" s="275"/>
      <c r="I10" s="276"/>
      <c r="J10" s="276"/>
      <c r="K10" s="277">
        <f t="shared" si="0"/>
        <v>0</v>
      </c>
      <c r="L10" s="278"/>
    </row>
    <row r="11" spans="5:12" ht="14.4" thickBot="1" x14ac:dyDescent="0.3">
      <c r="E11" s="294" t="s">
        <v>256</v>
      </c>
      <c r="F11" s="295"/>
      <c r="G11" s="295"/>
      <c r="H11" s="296"/>
      <c r="I11" s="279">
        <f>SUM(I5:I10)</f>
        <v>0</v>
      </c>
      <c r="J11" s="280">
        <f t="shared" ref="J11" si="1">SUM(J5:J10)</f>
        <v>0</v>
      </c>
      <c r="K11" s="281">
        <f>SUM(K5:K10)</f>
        <v>0</v>
      </c>
      <c r="L11" s="282">
        <f>SUM(L5:L10)</f>
        <v>0</v>
      </c>
    </row>
    <row r="12" spans="5:12" x14ac:dyDescent="0.25">
      <c r="F12" s="283"/>
      <c r="G12" s="283"/>
      <c r="J12" s="284" t="s">
        <v>241</v>
      </c>
      <c r="K12" s="285"/>
      <c r="L12" s="286"/>
    </row>
    <row r="13" spans="5:12" ht="14.4" thickBot="1" x14ac:dyDescent="0.3">
      <c r="I13" s="287"/>
      <c r="J13" s="288" t="s">
        <v>126</v>
      </c>
      <c r="K13" s="289"/>
      <c r="L13" s="290"/>
    </row>
    <row r="14" spans="5:12" ht="14.4" thickBot="1" x14ac:dyDescent="0.3">
      <c r="J14" s="291" t="s">
        <v>257</v>
      </c>
      <c r="K14" s="292">
        <f>SUM(I13:L13)</f>
        <v>0</v>
      </c>
      <c r="L14" s="293">
        <f>SUM(L5:L12)</f>
        <v>0</v>
      </c>
    </row>
  </sheetData>
  <mergeCells count="2">
    <mergeCell ref="E11:H11"/>
    <mergeCell ref="E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21"/>
  <sheetViews>
    <sheetView rightToLeft="1" topLeftCell="A9" zoomScale="160" zoomScaleNormal="160" workbookViewId="0">
      <selection activeCell="K25" sqref="K25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157</v>
      </c>
      <c r="C2" s="39"/>
      <c r="D2" s="131"/>
    </row>
    <row r="3" spans="2:13" x14ac:dyDescent="0.25">
      <c r="B3" t="s">
        <v>95</v>
      </c>
      <c r="C3" s="149"/>
      <c r="D3" s="149"/>
      <c r="G3" s="190"/>
      <c r="H3" s="149"/>
      <c r="I3" s="150"/>
      <c r="J3" s="150"/>
    </row>
    <row r="4" spans="2:13" x14ac:dyDescent="0.25">
      <c r="B4" t="s">
        <v>131</v>
      </c>
      <c r="C4" s="187"/>
      <c r="D4" s="38"/>
      <c r="G4" s="190"/>
      <c r="J4" s="150"/>
    </row>
    <row r="5" spans="2:13" x14ac:dyDescent="0.25">
      <c r="B5" t="s">
        <v>132</v>
      </c>
    </row>
    <row r="6" spans="2:13" x14ac:dyDescent="0.25">
      <c r="B6" t="s">
        <v>133</v>
      </c>
      <c r="C6" s="150"/>
      <c r="D6" s="149"/>
    </row>
    <row r="7" spans="2:13" x14ac:dyDescent="0.25">
      <c r="B7" t="s">
        <v>147</v>
      </c>
    </row>
    <row r="8" spans="2:13" x14ac:dyDescent="0.25">
      <c r="C8" s="150"/>
    </row>
    <row r="9" spans="2:13" x14ac:dyDescent="0.25">
      <c r="B9" s="39" t="s">
        <v>134</v>
      </c>
      <c r="C9" s="151"/>
    </row>
    <row r="10" spans="2:13" ht="27.6" x14ac:dyDescent="0.4">
      <c r="B10" s="39" t="s">
        <v>136</v>
      </c>
      <c r="C10" s="39" t="s">
        <v>135</v>
      </c>
      <c r="D10" s="131" t="s">
        <v>137</v>
      </c>
      <c r="E10" s="131" t="s">
        <v>138</v>
      </c>
      <c r="F10" s="131" t="s">
        <v>139</v>
      </c>
      <c r="G10" s="131" t="s">
        <v>140</v>
      </c>
      <c r="H10" s="189" t="s">
        <v>141</v>
      </c>
      <c r="I10" s="131" t="s">
        <v>142</v>
      </c>
      <c r="J10" s="131" t="s">
        <v>143</v>
      </c>
      <c r="K10" s="131" t="s">
        <v>144</v>
      </c>
      <c r="L10" s="131" t="s">
        <v>145</v>
      </c>
      <c r="M10" s="131" t="s">
        <v>146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3:3" x14ac:dyDescent="0.25">
      <c r="C17" s="17"/>
    </row>
    <row r="19" spans="3:3" x14ac:dyDescent="0.25">
      <c r="C19" s="150"/>
    </row>
    <row r="20" spans="3:3" x14ac:dyDescent="0.25">
      <c r="C20" s="150"/>
    </row>
    <row r="21" spans="3:3" x14ac:dyDescent="0.25">
      <c r="C21" s="150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A16" sqref="A16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164</v>
      </c>
      <c r="C2" s="120" t="s">
        <v>165</v>
      </c>
      <c r="D2" s="92" t="s">
        <v>205</v>
      </c>
      <c r="E2" s="97"/>
      <c r="F2" s="92"/>
      <c r="G2" s="92"/>
      <c r="H2" s="47"/>
      <c r="I2" s="47"/>
      <c r="J2" s="117"/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152</v>
      </c>
      <c r="B3" s="193"/>
      <c r="C3" s="121"/>
      <c r="D3" s="93"/>
      <c r="E3" s="144"/>
      <c r="F3" s="93"/>
      <c r="G3" s="64"/>
      <c r="H3" s="64"/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94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>
        <v>116</v>
      </c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148</v>
      </c>
      <c r="B6" s="193"/>
      <c r="C6" s="121"/>
      <c r="D6" s="93">
        <v>18</v>
      </c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149</v>
      </c>
      <c r="B7" s="193"/>
      <c r="C7" s="121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150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151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134</v>
      </c>
      <c r="E13" s="201">
        <f>SUM(E4:E12)</f>
        <v>0</v>
      </c>
      <c r="F13" s="201">
        <f>SUM(F3:F12)</f>
        <v>0</v>
      </c>
      <c r="G13" s="201">
        <f>SUM(G3:G12)</f>
        <v>0</v>
      </c>
      <c r="H13" s="201">
        <f>SUM(H3:H12)</f>
        <v>0</v>
      </c>
      <c r="I13" s="202">
        <f t="shared" ref="I13:S13" si="0">SUM(I3:I12)</f>
        <v>0</v>
      </c>
      <c r="J13" s="202">
        <f t="shared" si="0"/>
        <v>0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164</v>
      </c>
      <c r="C14" s="120" t="s">
        <v>165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210</v>
      </c>
      <c r="B15" s="197"/>
      <c r="C15" s="122"/>
      <c r="D15" s="52"/>
      <c r="E15" s="145">
        <v>93.5</v>
      </c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207</v>
      </c>
      <c r="B16" s="197"/>
      <c r="C16" s="122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206</v>
      </c>
      <c r="B17" s="197"/>
      <c r="C17" s="122"/>
      <c r="D17" s="52">
        <v>117.64</v>
      </c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209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209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208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117.64</v>
      </c>
      <c r="E24" s="119">
        <f>SUM(E17:E23)</f>
        <v>0</v>
      </c>
      <c r="F24" s="119">
        <f t="shared" ref="F24:S24" si="1">SUM(F15:F23)</f>
        <v>0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2">D13-D24</f>
        <v>16.36</v>
      </c>
      <c r="E25" s="138">
        <f t="shared" si="2"/>
        <v>0</v>
      </c>
      <c r="F25" s="138">
        <f t="shared" si="2"/>
        <v>0</v>
      </c>
      <c r="G25" s="138">
        <f t="shared" si="2"/>
        <v>0</v>
      </c>
      <c r="H25" s="138">
        <f t="shared" si="2"/>
        <v>0</v>
      </c>
      <c r="I25" s="138">
        <f t="shared" si="2"/>
        <v>0</v>
      </c>
      <c r="J25" s="138">
        <f t="shared" si="2"/>
        <v>0</v>
      </c>
      <c r="K25" s="138">
        <f t="shared" si="2"/>
        <v>0</v>
      </c>
      <c r="L25" s="138">
        <f t="shared" si="2"/>
        <v>0</v>
      </c>
      <c r="M25" s="138">
        <f t="shared" si="2"/>
        <v>0</v>
      </c>
      <c r="N25" s="138">
        <f t="shared" si="2"/>
        <v>0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-134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-134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241</v>
      </c>
    </row>
    <row r="38" spans="1:10" x14ac:dyDescent="0.25">
      <c r="A38" t="s">
        <v>42</v>
      </c>
      <c r="E38" s="17">
        <f>-E24-F24-I24</f>
        <v>0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241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D10" sqref="D10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168</v>
      </c>
      <c r="B2" s="39" t="s">
        <v>169</v>
      </c>
      <c r="C2" s="39" t="s">
        <v>136</v>
      </c>
      <c r="D2" s="39" t="s">
        <v>170</v>
      </c>
    </row>
    <row r="3" spans="1:6" x14ac:dyDescent="0.25">
      <c r="A3" t="s">
        <v>171</v>
      </c>
      <c r="B3" t="s">
        <v>172</v>
      </c>
      <c r="C3" s="188">
        <v>45344</v>
      </c>
      <c r="D3">
        <v>500</v>
      </c>
      <c r="E3" t="s">
        <v>173</v>
      </c>
    </row>
    <row r="4" spans="1:6" x14ac:dyDescent="0.25">
      <c r="A4" t="s">
        <v>174</v>
      </c>
      <c r="B4" t="s">
        <v>175</v>
      </c>
      <c r="C4" s="188">
        <v>44271</v>
      </c>
      <c r="D4">
        <v>3.5</v>
      </c>
      <c r="E4" t="s">
        <v>176</v>
      </c>
      <c r="F4" t="s">
        <v>177</v>
      </c>
    </row>
    <row r="5" spans="1:6" x14ac:dyDescent="0.25">
      <c r="A5" t="s">
        <v>174</v>
      </c>
      <c r="B5" t="s">
        <v>178</v>
      </c>
      <c r="C5" s="188">
        <v>40000</v>
      </c>
      <c r="D5">
        <v>2.5</v>
      </c>
      <c r="E5" t="s">
        <v>176</v>
      </c>
    </row>
    <row r="6" spans="1:6" x14ac:dyDescent="0.25">
      <c r="A6" t="s">
        <v>174</v>
      </c>
      <c r="B6" t="s">
        <v>179</v>
      </c>
      <c r="C6" s="188">
        <v>33248</v>
      </c>
      <c r="D6" s="212">
        <v>2</v>
      </c>
      <c r="E6" t="s">
        <v>176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51" t="s">
        <v>120</v>
      </c>
      <c r="C2" s="352"/>
      <c r="D2" s="352"/>
      <c r="E2" s="352"/>
      <c r="F2" s="353"/>
    </row>
    <row r="3" spans="2:10" ht="14.4" thickBot="1" x14ac:dyDescent="0.3">
      <c r="B3" s="152" t="s">
        <v>49</v>
      </c>
      <c r="C3" s="354" t="s">
        <v>44</v>
      </c>
      <c r="D3" s="355"/>
      <c r="E3" s="354" t="s">
        <v>102</v>
      </c>
      <c r="F3" s="356"/>
    </row>
    <row r="4" spans="2:10" x14ac:dyDescent="0.25">
      <c r="B4" s="167" t="s">
        <v>103</v>
      </c>
      <c r="C4" s="347">
        <v>0</v>
      </c>
      <c r="D4" s="373"/>
      <c r="E4" s="347">
        <v>0</v>
      </c>
      <c r="F4" s="348"/>
    </row>
    <row r="5" spans="2:10" x14ac:dyDescent="0.25">
      <c r="B5" s="172" t="s">
        <v>104</v>
      </c>
      <c r="C5" s="347">
        <v>140000</v>
      </c>
      <c r="D5" s="373"/>
      <c r="E5" s="347">
        <f>6000*2</f>
        <v>12000</v>
      </c>
      <c r="F5" s="348"/>
    </row>
    <row r="6" spans="2:10" ht="27.6" x14ac:dyDescent="0.25">
      <c r="B6" s="172" t="s">
        <v>116</v>
      </c>
      <c r="C6" s="347">
        <f>46500*7</f>
        <v>325500</v>
      </c>
      <c r="D6" s="373"/>
      <c r="E6" s="347">
        <v>0</v>
      </c>
      <c r="F6" s="348"/>
    </row>
    <row r="7" spans="2:10" x14ac:dyDescent="0.25">
      <c r="B7" s="172" t="s">
        <v>105</v>
      </c>
      <c r="C7" s="347">
        <f>13000*7</f>
        <v>91000</v>
      </c>
      <c r="D7" s="373"/>
      <c r="E7" s="347">
        <f>4000*7</f>
        <v>28000</v>
      </c>
      <c r="F7" s="348"/>
    </row>
    <row r="8" spans="2:10" ht="14.4" thickBot="1" x14ac:dyDescent="0.3">
      <c r="B8" s="158" t="s">
        <v>106</v>
      </c>
      <c r="C8" s="347">
        <f>65000*7</f>
        <v>455000</v>
      </c>
      <c r="D8" s="373"/>
      <c r="E8" s="347">
        <v>50000</v>
      </c>
      <c r="F8" s="348"/>
      <c r="J8" t="s">
        <v>166</v>
      </c>
    </row>
    <row r="9" spans="2:10" ht="14.4" thickBot="1" x14ac:dyDescent="0.3">
      <c r="B9" s="351" t="s">
        <v>119</v>
      </c>
      <c r="C9" s="352"/>
      <c r="D9" s="352"/>
      <c r="E9" s="352"/>
      <c r="F9" s="353"/>
      <c r="J9" t="s">
        <v>167</v>
      </c>
    </row>
    <row r="10" spans="2:10" ht="16.2" thickBot="1" x14ac:dyDescent="0.3">
      <c r="B10" s="153" t="s">
        <v>114</v>
      </c>
      <c r="C10" s="154" t="s">
        <v>112</v>
      </c>
      <c r="D10" s="155" t="s">
        <v>109</v>
      </c>
      <c r="E10" s="156" t="s">
        <v>110</v>
      </c>
      <c r="F10" s="157" t="s">
        <v>111</v>
      </c>
    </row>
    <row r="11" spans="2:10" x14ac:dyDescent="0.25">
      <c r="B11" s="167" t="s">
        <v>103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107</v>
      </c>
      <c r="C13" s="349" t="s">
        <v>113</v>
      </c>
      <c r="D13" s="349"/>
      <c r="E13" s="349"/>
      <c r="F13" s="350"/>
    </row>
    <row r="14" spans="2:10" x14ac:dyDescent="0.25">
      <c r="B14" s="182" t="s">
        <v>105</v>
      </c>
      <c r="C14" s="349" t="s">
        <v>115</v>
      </c>
      <c r="D14" s="349"/>
      <c r="E14" s="349"/>
      <c r="F14" s="350"/>
    </row>
    <row r="15" spans="2:10" ht="14.4" thickBot="1" x14ac:dyDescent="0.3">
      <c r="B15" s="158" t="s">
        <v>106</v>
      </c>
      <c r="C15" s="367" t="s">
        <v>117</v>
      </c>
      <c r="D15" s="368"/>
      <c r="E15" s="368"/>
      <c r="F15" s="369"/>
    </row>
    <row r="16" spans="2:10" ht="14.4" thickBot="1" x14ac:dyDescent="0.3"/>
    <row r="17" spans="2:6" ht="14.4" thickBot="1" x14ac:dyDescent="0.3">
      <c r="B17" s="351" t="s">
        <v>101</v>
      </c>
      <c r="C17" s="352"/>
      <c r="D17" s="352"/>
      <c r="E17" s="352"/>
      <c r="F17" s="353"/>
    </row>
    <row r="18" spans="2:6" ht="14.4" thickBot="1" x14ac:dyDescent="0.3">
      <c r="B18" s="152" t="s">
        <v>108</v>
      </c>
      <c r="C18" s="354" t="s">
        <v>44</v>
      </c>
      <c r="D18" s="355"/>
      <c r="E18" s="354" t="s">
        <v>102</v>
      </c>
      <c r="F18" s="356"/>
    </row>
    <row r="19" spans="2:6" x14ac:dyDescent="0.25">
      <c r="B19" s="167" t="s">
        <v>103</v>
      </c>
      <c r="C19" s="370">
        <v>0</v>
      </c>
      <c r="D19" s="371"/>
      <c r="E19" s="370">
        <v>0</v>
      </c>
      <c r="F19" s="372"/>
    </row>
    <row r="20" spans="2:6" x14ac:dyDescent="0.25">
      <c r="B20" s="172" t="s">
        <v>104</v>
      </c>
      <c r="C20" s="359">
        <v>70000</v>
      </c>
      <c r="D20" s="360"/>
      <c r="E20" s="361">
        <f>6000*7</f>
        <v>42000</v>
      </c>
      <c r="F20" s="362"/>
    </row>
    <row r="21" spans="2:6" x14ac:dyDescent="0.25">
      <c r="B21" s="176" t="s">
        <v>107</v>
      </c>
      <c r="C21" s="359">
        <f>46500*7</f>
        <v>325500</v>
      </c>
      <c r="D21" s="360"/>
      <c r="E21" s="359">
        <v>0</v>
      </c>
      <c r="F21" s="363"/>
    </row>
    <row r="22" spans="2:6" x14ac:dyDescent="0.25">
      <c r="B22" s="172" t="s">
        <v>105</v>
      </c>
      <c r="C22" s="359">
        <f>13000*7</f>
        <v>91000</v>
      </c>
      <c r="D22" s="360"/>
      <c r="E22" s="359">
        <f>4000*7</f>
        <v>28000</v>
      </c>
      <c r="F22" s="363"/>
    </row>
    <row r="23" spans="2:6" ht="14.4" thickBot="1" x14ac:dyDescent="0.3">
      <c r="B23" s="158" t="s">
        <v>106</v>
      </c>
      <c r="C23" s="364">
        <f>65000*7</f>
        <v>455000</v>
      </c>
      <c r="D23" s="365"/>
      <c r="E23" s="364">
        <f>7000*7</f>
        <v>49000</v>
      </c>
      <c r="F23" s="366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114</v>
      </c>
      <c r="C25" s="154" t="s">
        <v>112</v>
      </c>
      <c r="D25" s="155" t="s">
        <v>109</v>
      </c>
      <c r="E25" s="156" t="s">
        <v>110</v>
      </c>
      <c r="F25" s="157" t="s">
        <v>111</v>
      </c>
    </row>
    <row r="26" spans="2:6" x14ac:dyDescent="0.25">
      <c r="B26" s="167" t="s">
        <v>103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107</v>
      </c>
      <c r="C28" s="357" t="s">
        <v>113</v>
      </c>
      <c r="D28" s="357"/>
      <c r="E28" s="357"/>
      <c r="F28" s="358"/>
    </row>
    <row r="29" spans="2:6" x14ac:dyDescent="0.25">
      <c r="B29" s="172" t="s">
        <v>105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51" t="s">
        <v>118</v>
      </c>
      <c r="C35" s="352"/>
      <c r="D35" s="352"/>
      <c r="E35" s="352"/>
      <c r="F35" s="353"/>
    </row>
    <row r="36" spans="2:6" ht="14.4" thickBot="1" x14ac:dyDescent="0.3">
      <c r="B36" s="152" t="s">
        <v>121</v>
      </c>
      <c r="C36" s="354" t="s">
        <v>44</v>
      </c>
      <c r="D36" s="355"/>
      <c r="E36" s="354" t="s">
        <v>102</v>
      </c>
      <c r="F36" s="356"/>
    </row>
    <row r="37" spans="2:6" x14ac:dyDescent="0.25">
      <c r="B37" s="167" t="s">
        <v>122</v>
      </c>
      <c r="C37" s="338" t="s">
        <v>125</v>
      </c>
      <c r="D37" s="339"/>
      <c r="E37" s="339"/>
      <c r="F37" s="340"/>
    </row>
    <row r="38" spans="2:6" x14ac:dyDescent="0.25">
      <c r="B38" s="172" t="s">
        <v>123</v>
      </c>
      <c r="C38" s="341" t="s">
        <v>124</v>
      </c>
      <c r="D38" s="342"/>
      <c r="E38" s="342"/>
      <c r="F38" s="343"/>
    </row>
    <row r="39" spans="2:6" x14ac:dyDescent="0.25">
      <c r="B39" s="172" t="s">
        <v>126</v>
      </c>
      <c r="C39" s="341" t="s">
        <v>127</v>
      </c>
      <c r="D39" s="342"/>
      <c r="E39" s="342"/>
      <c r="F39" s="343"/>
    </row>
    <row r="40" spans="2:6" ht="14.4" thickBot="1" x14ac:dyDescent="0.3">
      <c r="B40" s="158" t="s">
        <v>128</v>
      </c>
      <c r="C40" s="344" t="s">
        <v>129</v>
      </c>
      <c r="D40" s="345"/>
      <c r="E40" s="345"/>
      <c r="F40" s="346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180</v>
      </c>
      <c r="B2" t="s">
        <v>181</v>
      </c>
    </row>
    <row r="3" spans="1:14" x14ac:dyDescent="0.25">
      <c r="B3" t="s">
        <v>44</v>
      </c>
    </row>
    <row r="7" spans="1:14" x14ac:dyDescent="0.25">
      <c r="N7" t="s">
        <v>182</v>
      </c>
    </row>
    <row r="8" spans="1:14" x14ac:dyDescent="0.25">
      <c r="A8" t="s">
        <v>183</v>
      </c>
      <c r="N8" t="s">
        <v>184</v>
      </c>
    </row>
    <row r="9" spans="1:14" x14ac:dyDescent="0.25">
      <c r="A9" t="s">
        <v>185</v>
      </c>
      <c r="D9" s="213" t="s">
        <v>186</v>
      </c>
      <c r="E9" s="213"/>
      <c r="N9" t="s">
        <v>187</v>
      </c>
    </row>
    <row r="10" spans="1:14" x14ac:dyDescent="0.25">
      <c r="N10" t="s">
        <v>188</v>
      </c>
    </row>
    <row r="15" spans="1:14" x14ac:dyDescent="0.25">
      <c r="A15" t="s">
        <v>189</v>
      </c>
      <c r="B15" t="s">
        <v>190</v>
      </c>
    </row>
    <row r="19" spans="1:12" x14ac:dyDescent="0.25">
      <c r="A19" s="39" t="s">
        <v>191</v>
      </c>
      <c r="B19" s="39" t="s">
        <v>182</v>
      </c>
      <c r="C19" s="39" t="s">
        <v>80</v>
      </c>
      <c r="D19" s="39" t="s">
        <v>192</v>
      </c>
      <c r="E19" s="39" t="s">
        <v>193</v>
      </c>
      <c r="F19" s="39" t="s">
        <v>194</v>
      </c>
      <c r="G19" s="39" t="s">
        <v>21</v>
      </c>
      <c r="H19" s="39" t="s">
        <v>195</v>
      </c>
      <c r="I19" s="39" t="s">
        <v>196</v>
      </c>
      <c r="J19" s="39" t="s">
        <v>197</v>
      </c>
      <c r="K19" s="39" t="s">
        <v>198</v>
      </c>
      <c r="L19" s="39" t="s">
        <v>199</v>
      </c>
    </row>
    <row r="20" spans="1:12" x14ac:dyDescent="0.25">
      <c r="A20" t="s">
        <v>200</v>
      </c>
      <c r="H20" s="149">
        <f>'תחשיב לפי שווי שומה (2)'!B8</f>
        <v>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201</v>
      </c>
      <c r="H21" s="150">
        <f>H20</f>
        <v>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202</v>
      </c>
      <c r="H22" s="150">
        <f>H21</f>
        <v>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203</v>
      </c>
      <c r="H23" s="150">
        <f>H22</f>
        <v>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204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2026-03-04T11:50:46Z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