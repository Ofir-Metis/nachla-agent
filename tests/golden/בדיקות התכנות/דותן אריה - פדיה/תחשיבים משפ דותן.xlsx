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דותן אריה וציפי - פדיה/פרוייקט בדיקת התכנות/בדיקת התכנות/"/>
    </mc:Choice>
  </mc:AlternateContent>
  <xr:revisionPtr revIDLastSave="551" documentId="8_{E9A5D54E-385F-4F6C-AF2C-D62B03C85759}" xr6:coauthVersionLast="47" xr6:coauthVersionMax="47" xr10:uidLastSave="{D7D32554-2BD2-4A17-B4D9-99CACB065D2B}"/>
  <bookViews>
    <workbookView minimized="1" xWindow="-55275" yWindow="2400" windowWidth="21600" windowHeight="11235" firstSheet="1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שווי מגרש ברוטו נטו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תבעות!$A$2:$F$5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11" l="1"/>
  <c r="C142" i="11"/>
  <c r="C136" i="11"/>
  <c r="C137" i="11" s="1"/>
  <c r="C138" i="11" s="1"/>
  <c r="D96" i="11"/>
  <c r="D95" i="11"/>
  <c r="D97" i="11" s="1"/>
  <c r="D65" i="11"/>
  <c r="D66" i="11" s="1"/>
  <c r="M61" i="11"/>
  <c r="M60" i="11"/>
  <c r="C1" i="11"/>
  <c r="C28" i="11"/>
  <c r="E28" i="11" s="1"/>
  <c r="C27" i="11"/>
  <c r="C30" i="11" s="1"/>
  <c r="E33" i="11"/>
  <c r="E25" i="11"/>
  <c r="E24" i="11"/>
  <c r="M95" i="11" l="1"/>
  <c r="F44" i="11"/>
  <c r="D83" i="11"/>
  <c r="D60" i="11"/>
  <c r="K9" i="11"/>
  <c r="E27" i="11"/>
  <c r="C31" i="11"/>
  <c r="C32" i="11" s="1"/>
  <c r="E32" i="11" s="1"/>
  <c r="E26" i="11"/>
  <c r="E34" i="11" l="1"/>
  <c r="D80" i="11" l="1"/>
  <c r="D99" i="11"/>
  <c r="D59" i="11"/>
  <c r="F43" i="11"/>
  <c r="F52" i="11" s="1"/>
  <c r="D110" i="11"/>
  <c r="F110" i="11" s="1"/>
  <c r="F109" i="11"/>
  <c r="F108" i="11"/>
  <c r="F107" i="11"/>
  <c r="D94" i="11"/>
  <c r="D90" i="11"/>
  <c r="D70" i="11"/>
  <c r="D69" i="11"/>
  <c r="D92" i="11"/>
  <c r="D71" i="11" l="1"/>
  <c r="D98" i="11"/>
  <c r="F111" i="11"/>
  <c r="D100" i="11" s="1"/>
  <c r="E101" i="11" s="1"/>
  <c r="E102" i="11" l="1"/>
  <c r="D102" i="11" s="1"/>
  <c r="F101" i="11"/>
  <c r="F102" i="11" s="1"/>
  <c r="D101" i="11"/>
  <c r="K81" i="11"/>
  <c r="M81" i="11" s="1"/>
  <c r="M80" i="11"/>
  <c r="K79" i="11"/>
  <c r="C11" i="11"/>
  <c r="E11" i="11" s="1"/>
  <c r="C10" i="11"/>
  <c r="E10" i="11" s="1"/>
  <c r="E9" i="11"/>
  <c r="H8" i="11"/>
  <c r="J8" i="11" s="1"/>
  <c r="J7" i="11"/>
  <c r="G7" i="11"/>
  <c r="E7" i="11"/>
  <c r="D97" i="3"/>
  <c r="D96" i="3"/>
  <c r="D83" i="3"/>
  <c r="B84" i="3"/>
  <c r="D84" i="3" s="1"/>
  <c r="B82" i="3"/>
  <c r="B52" i="3"/>
  <c r="B51" i="3"/>
  <c r="B54" i="3" s="1"/>
  <c r="E3" i="4"/>
  <c r="E13" i="4" s="1"/>
  <c r="C7" i="5"/>
  <c r="I57" i="5"/>
  <c r="I59" i="5" s="1"/>
  <c r="I60" i="5" s="1"/>
  <c r="I55" i="5"/>
  <c r="E17" i="4"/>
  <c r="D13" i="4"/>
  <c r="S56" i="3"/>
  <c r="W54" i="3"/>
  <c r="U54" i="3"/>
  <c r="Y54" i="3" s="1"/>
  <c r="U52" i="3"/>
  <c r="Y52" i="3" s="1"/>
  <c r="S50" i="3"/>
  <c r="U50" i="3" s="1"/>
  <c r="S49" i="3"/>
  <c r="U49" i="3" s="1"/>
  <c r="S48" i="3"/>
  <c r="U48" i="3" s="1"/>
  <c r="S47" i="3"/>
  <c r="W47" i="3" s="1"/>
  <c r="W58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D62" i="11" l="1"/>
  <c r="D63" i="11" s="1"/>
  <c r="D67" i="11" s="1"/>
  <c r="F45" i="11"/>
  <c r="F47" i="11" s="1"/>
  <c r="F48" i="11" s="1"/>
  <c r="I63" i="5"/>
  <c r="D98" i="3"/>
  <c r="D99" i="3" s="1"/>
  <c r="J50" i="3"/>
  <c r="K10" i="11"/>
  <c r="K82" i="11"/>
  <c r="K83" i="11" s="1"/>
  <c r="M83" i="11" s="1"/>
  <c r="J9" i="11"/>
  <c r="L9" i="11" s="1"/>
  <c r="N9" i="11" s="1"/>
  <c r="C13" i="11"/>
  <c r="C14" i="11" s="1"/>
  <c r="C15" i="11" s="1"/>
  <c r="E15" i="11" s="1"/>
  <c r="E16" i="11" s="1"/>
  <c r="M79" i="11"/>
  <c r="B85" i="3"/>
  <c r="B86" i="3" s="1"/>
  <c r="D86" i="3" s="1"/>
  <c r="D82" i="3"/>
  <c r="D87" i="3" s="1"/>
  <c r="D89" i="3" s="1"/>
  <c r="S51" i="3"/>
  <c r="S53" i="3" s="1"/>
  <c r="S55" i="3" s="1"/>
  <c r="S57" i="3" s="1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F53" i="11" l="1"/>
  <c r="F54" i="11" s="1"/>
  <c r="F50" i="11"/>
  <c r="F51" i="11" s="1"/>
  <c r="M84" i="11"/>
  <c r="M86" i="11" s="1"/>
  <c r="D76" i="11" s="1"/>
  <c r="D78" i="11" s="1"/>
  <c r="D82" i="11" s="1"/>
  <c r="D84" i="11" s="1"/>
  <c r="D85" i="11" s="1"/>
  <c r="J10" i="11"/>
  <c r="L10" i="11" s="1"/>
  <c r="N10" i="11" s="1"/>
  <c r="N11" i="11" s="1"/>
  <c r="M92" i="11"/>
  <c r="H23" i="9"/>
  <c r="J23" i="9" s="1"/>
  <c r="J22" i="9"/>
  <c r="D42" i="6"/>
  <c r="C35" i="6"/>
  <c r="D35" i="6" s="1"/>
  <c r="G25" i="4"/>
  <c r="I25" i="4"/>
  <c r="H25" i="4"/>
  <c r="D25" i="4"/>
  <c r="F25" i="4"/>
  <c r="E25" i="4"/>
  <c r="F55" i="11" l="1"/>
  <c r="M93" i="11"/>
  <c r="M94" i="11" s="1"/>
  <c r="M96" i="11" s="1"/>
  <c r="C15" i="6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5" i="3"/>
  <c r="D52" i="3"/>
  <c r="D51" i="3"/>
  <c r="D50" i="3"/>
  <c r="F18" i="6"/>
  <c r="B56" i="3" l="1"/>
  <c r="D56" i="3" s="1"/>
  <c r="D28" i="3"/>
  <c r="B4" i="6" s="1"/>
  <c r="I7" i="3"/>
  <c r="I4" i="3"/>
  <c r="G8" i="3"/>
  <c r="G9" i="3" s="1"/>
  <c r="I6" i="3"/>
  <c r="J51" i="3"/>
  <c r="I69" i="3"/>
  <c r="I70" i="3" s="1"/>
  <c r="G69" i="3"/>
  <c r="I50" i="3"/>
  <c r="I5" i="3"/>
  <c r="D48" i="3"/>
  <c r="D57" i="3" l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9" i="6" l="1"/>
  <c r="B40" i="6" s="1"/>
  <c r="B42" i="6" s="1"/>
  <c r="B43" i="6" s="1"/>
  <c r="D95" i="3"/>
  <c r="B31" i="6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<sst xmlns="http://schemas.openxmlformats.org/spreadsheetml/2006/main" count="537" uniqueCount="352">
  <si>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</si>
  <si>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</si>
  <si>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</si>
  <si>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</si>
  <si>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</si>
  <si>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</si>
  <si>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</si>
  <si>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</si>
  <si>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</si>
  <si>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</si>
  <si>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</si>
  <si>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</si>
  <si>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</si>
  <si>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</si>
  <si>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</si>
  <si>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</si>
  <si>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</si>
  <si>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</si>
  <si>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</si>
  <si>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</si>
  <si>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</si>
  <si>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</si>
  <si>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</si>
  <si>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</si>
  <si>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</si>
  <si>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</si>
  <si>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</si>
  <si>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</si>
  <si>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</si>
  <si>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</si>
  <si>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</si>
  <si>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</si>
  <si>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</si>
  <si>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</si>
  <si>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</si>
  <si>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</si>
  <si>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</si>
  <si>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</si>
  <si>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</si>
  <si>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</si>
  <si>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</si>
  <si>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</si>
  <si>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</si>
  <si>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</si>
  <si>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</si>
  <si>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</si>
  <si>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</si>
  <si>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</si>
  <si>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</si>
  <si>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</si>
  <si>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</si>
  <si>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</si>
  <si>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</si>
  <si>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</si>
  <si>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</si>
  <si>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</si>
  <si>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</si>
  <si>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</si>
  <si>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</si>
  <si>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</si>
  <si>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</si>
  <si>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</si>
  <si>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</si>
  <si>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</si>
  <si>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</si>
  <si>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</si>
  <si>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</si>
  <si>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</si>
  <si>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</si>
  <si>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</si>
  <si>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</si>
  <si>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</si>
  <si>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</si>
  <si>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</si>
  <si>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</si>
  <si>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</si>
  <si>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</si>
  <si>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</si>
  <si>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</si>
  <si>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</si>
  <si>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</si>
  <si>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</si>
  <si>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</si>
  <si>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</si>
  <si>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</si>
  <si>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</si>
  <si>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</si>
  <si>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</si>
  <si>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</si>
  <si>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</si>
  <si>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</si>
  <si>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</si>
  <si>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</si>
  <si>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</si>
  <si>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</si>
  <si>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</si>
  <si>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</si>
  <si>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</si>
  <si>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</si>
  <si>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</si>
  <si>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</si>
  <si>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</si>
  <si>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</si>
  <si>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</si>
  <si>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</si>
  <si>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</si>
  <si>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</si>
  <si>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</si>
  <si>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</si>
  <si>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</si>
  <si>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</si>
  <si>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</si>
  <si>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</si>
  <si>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</si>
  <si>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</si>
  <si>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</si>
  <si>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</si>
  <si>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</si>
  <si>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</si>
  <si>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</si>
  <si>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</si>
  <si>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</si>
  <si>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</si>
  <si>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</si>
  <si>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</si>
  <si>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</si>
  <si>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</si>
  <si>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</si>
  <si>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</si>
  <si>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</si>
  <si>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</si>
  <si>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</si>
  <si>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</si>
  <si>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</si>
  <si>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</si>
  <si>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</si>
  <si>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</si>
  <si>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</si>
  <si>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</si>
  <si>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</si>
  <si>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</si>
  <si>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</si>
  <si>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</si>
  <si>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</si>
  <si>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</si>
  <si>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</si>
  <si>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</si>
  <si>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</si>
  <si>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</si>
  <si>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</si>
  <si>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</si>
  <si>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</si>
  <si>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</si>
  <si>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</si>
  <si>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</si>
  <si>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</si>
  <si>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</si>
  <si>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</si>
  <si>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</si>
  <si>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</si>
  <si>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</si>
  <si>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</si>
  <si>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</si>
  <si>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</si>
  <si>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</si>
  <si>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</si>
  <si>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</si>
  <si>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</si>
  <si>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גובמאפ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</si>
  <si>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</si>
  <si>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</si>
  <si>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</si>
  <si>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</si>
  <si>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</si>
  <si>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</si>
  <si>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</si>
  <si>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</si>
  <si>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</si>
  <si>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</si>
  <si>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</si>
  <si>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</si>
  <si>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</si>
  <si>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</si>
  <si>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</si>
  <si>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</si>
  <si>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</si>
  <si>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</si>
  <si>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</si>
  <si>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</si>
  <si>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</si>
  <si>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</si>
  <si>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</si>
  <si>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</si>
  <si>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</si>
  <si>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</si>
  <si>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</si>
  <si>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</si>
  <si>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</si>
  <si>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</si>
  <si>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</si>
  <si>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</si>
  <si>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</si>
  <si>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</si>
  <si>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</si>
  <si>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</si>
  <si>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</si>
  <si>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</si>
  <si>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</si>
  <si>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</si>
  <si>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</si>
  <si>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</si>
  <si>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</si>
  <si>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</si>
  <si>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</si>
  <si>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</si>
  <si>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</si>
  <si>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</si>
  <si>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</si>
  <si>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</si>
  <si>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</si>
  <si>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</si>
  <si>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</si>
  <si>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</si>
  <si>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</si>
  <si>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</si>
  <si>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</si>
  <si>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</si>
  <si>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</si>
  <si>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</si>
  <si>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</si>
  <si>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</si>
  <si>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</si>
  <si>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</si>
  <si>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</si>
  <si>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</si>
  <si>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</si>
  <si>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גז/5</t>
  </si>
  <si>
    <t>בית אחד</t>
  </si>
  <si>
    <t>גז/3/5</t>
  </si>
  <si>
    <t>2 בתים</t>
  </si>
  <si>
    <t>426-0436238</t>
  </si>
  <si>
    <t>3.5 בתים</t>
  </si>
  <si>
    <t>650 + 180</t>
  </si>
  <si>
    <t>גז/1000</t>
  </si>
  <si>
    <t>תב"ע עכשיו</t>
  </si>
  <si>
    <t>מבנה 1 - בית מגורים ראשון</t>
  </si>
  <si>
    <t>היתר שנת 80</t>
  </si>
  <si>
    <t>מבנה 2 - בית מגורים שני</t>
  </si>
  <si>
    <t>היתר שנת 2012</t>
  </si>
  <si>
    <t>מבנה 3 - בית מגורים שלישי</t>
  </si>
  <si>
    <t>מבנה 4 - לול</t>
  </si>
  <si>
    <t>היתר שנת 1974-חקלאי</t>
  </si>
  <si>
    <t>שומת מנהל - פדיה</t>
  </si>
  <si>
    <t>שווי מ"ר בהרחבה</t>
  </si>
  <si>
    <t>בהתאמה לבעלות /0.97</t>
  </si>
  <si>
    <t>מועד קובע</t>
  </si>
  <si>
    <t>שנים</t>
  </si>
  <si>
    <t>מקדם לשנה</t>
  </si>
  <si>
    <t>מקדם משוקלל</t>
  </si>
  <si>
    <t>שווי מתואם זמן</t>
  </si>
  <si>
    <t>מקדם לנחלה</t>
  </si>
  <si>
    <t>שווי לנחלה</t>
  </si>
  <si>
    <t>לשומה</t>
  </si>
  <si>
    <t>מבנה 3.1 - מחסן ביתי</t>
  </si>
  <si>
    <t>יתרת שירות</t>
  </si>
  <si>
    <t>מרתף</t>
  </si>
  <si>
    <t>היטל השבחה בגין פיצול בית קיים</t>
  </si>
  <si>
    <t>מצב קודם</t>
  </si>
  <si>
    <t>מהות</t>
  </si>
  <si>
    <t>שטח</t>
  </si>
  <si>
    <t>תכסית</t>
  </si>
  <si>
    <t>שווי מ"ר</t>
  </si>
  <si>
    <t>מצב חדש</t>
  </si>
  <si>
    <t>סה"כ שטח אקו'</t>
  </si>
  <si>
    <t>סה"כ מצב חדש</t>
  </si>
  <si>
    <t>מקדם אי סחירות</t>
  </si>
  <si>
    <t>סה"כ מצב קודם</t>
  </si>
  <si>
    <t>סה"כ היטל</t>
  </si>
  <si>
    <t>ביאור ה' - פיצול מגרש בית שני</t>
  </si>
  <si>
    <t>מ"ר אקו' חלופה</t>
  </si>
  <si>
    <t>שווי מ"ר מבונה אקו'</t>
  </si>
  <si>
    <t>שווי מגרש</t>
  </si>
  <si>
    <t>שווי מגרש ללא פיתוח</t>
  </si>
  <si>
    <t>שווי מ"ר מבונה ללא פיתוח</t>
  </si>
  <si>
    <t>שטח בהנחה</t>
  </si>
  <si>
    <t>שווי שטח בהנחה</t>
  </si>
  <si>
    <t>ביאור ה.1</t>
  </si>
  <si>
    <t>השלמה ל-29.25%</t>
  </si>
  <si>
    <t>ביאור ה.2</t>
  </si>
  <si>
    <t>שטח לרכוש ב-33%</t>
  </si>
  <si>
    <t>שווי שטח לא בהנחה</t>
  </si>
  <si>
    <t>תשלום 33%</t>
  </si>
  <si>
    <t>סה"כ תשלום בעבור פיצול</t>
  </si>
  <si>
    <t>ביאור ה'- שווי מגרש מפוצל עם בית עליו</t>
  </si>
  <si>
    <t>שווי מ"ר אקו' חלופה (הרחבה)</t>
  </si>
  <si>
    <t>שווי מגרש ברוטו</t>
  </si>
  <si>
    <t>תוספת מחוברים</t>
  </si>
  <si>
    <t>שווי בית מפוצל</t>
  </si>
  <si>
    <t>בתוספת יזמות 5%</t>
  </si>
  <si>
    <t>מס שבח</t>
  </si>
  <si>
    <t>שווי נטו</t>
  </si>
  <si>
    <t>ביאור ה1 - היטל השבחה פיצול בית קיים</t>
  </si>
  <si>
    <t>מ"ר אקו' - מצב קודם</t>
  </si>
  <si>
    <t>סה"כ מצב קודם במ"ר אקו'</t>
  </si>
  <si>
    <t>השבחה במ"ר אקו'</t>
  </si>
  <si>
    <t>שווי מ"ר אקו' - הרחבה</t>
  </si>
  <si>
    <t>שווי השבחה</t>
  </si>
  <si>
    <t>היטל השבחה לשומה</t>
  </si>
  <si>
    <t>ביאור ה2- מס שבח - מגרש מפוצל</t>
  </si>
  <si>
    <t>מחיר מכירה</t>
  </si>
  <si>
    <t>מחיר קניה</t>
  </si>
  <si>
    <t>לירה</t>
  </si>
  <si>
    <t>השקעות</t>
  </si>
  <si>
    <t>תצר + תשריט חלוקה</t>
  </si>
  <si>
    <t>היטלי השבחה (נלקח מביאור ה1 וביאור כללי )</t>
  </si>
  <si>
    <t>פיצול מגרש (ביאור ג' ראשי)</t>
  </si>
  <si>
    <t>היוון 3.75% המיוחס למגרש</t>
  </si>
  <si>
    <t>רווח הון</t>
  </si>
  <si>
    <t>סה"כ זכויות במגרש (במ"ר אקו')</t>
  </si>
  <si>
    <t>זכויות שנוצלו (במ"ר אקו')</t>
  </si>
  <si>
    <t>חלק מוטב - מיוחס לזכויות שנוצלו ולבנוי</t>
  </si>
  <si>
    <t>חלק מלא - מיוחס לזכויות בניה שלא נוצלו</t>
  </si>
  <si>
    <t>.</t>
  </si>
  <si>
    <t>חלוקה יחסית</t>
  </si>
  <si>
    <t>בית בנוי</t>
  </si>
  <si>
    <t>סה"כ שטח אקו' מיוחס לבנוי</t>
  </si>
  <si>
    <t>סה"כ מס שבח BTAX</t>
  </si>
  <si>
    <t>סה"כ במעוגל</t>
  </si>
  <si>
    <t>להוסיף BTAX</t>
  </si>
  <si>
    <t xml:space="preserve"> שלב ה' - שווי נטו בית ראשון מפוצל</t>
  </si>
  <si>
    <t>תב"ע/תשריט מוצע</t>
  </si>
  <si>
    <t>שם המגרש</t>
  </si>
  <si>
    <t>מגרש מפוצל עם בית בנוי - בית שני</t>
  </si>
  <si>
    <t>יחידת הורים</t>
  </si>
  <si>
    <t>יתרת שטחי שירות</t>
  </si>
  <si>
    <t>חצר עיקרית</t>
  </si>
  <si>
    <t>חצר שולית</t>
  </si>
  <si>
    <t>שווי מ"ר מגרש לשומה</t>
  </si>
  <si>
    <t>שווי מ"ר הרחבה לשומה</t>
  </si>
  <si>
    <t>תוספת שווי למגרש קטן 10%</t>
  </si>
  <si>
    <t>מחוברים</t>
  </si>
  <si>
    <t>ביאור ה.1 - שווי מחוברים</t>
  </si>
  <si>
    <t>בית 1 - שנת 80</t>
  </si>
  <si>
    <t>ביאאור ה.2</t>
  </si>
  <si>
    <t>ביאור ה.2 היטל השבחה בגין פיצול בית קיים</t>
  </si>
  <si>
    <t>שווי מגרש לשומה</t>
  </si>
  <si>
    <t>פיצול מגרש</t>
  </si>
  <si>
    <t>סה"כ עלויות</t>
  </si>
  <si>
    <t>שווי נטו בית מפוצל כ</t>
  </si>
  <si>
    <t>שווי ברוטו בית מפוצל כ</t>
  </si>
  <si>
    <t>עלויות פיצול בית מגורים ראשון</t>
  </si>
  <si>
    <t>שווי ברוטו נטו בית מפוצל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</si>
</sst>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 val="singleAccounting"/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u val="singleAccounting"/>
      <sz val="11"/>
      <color theme="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5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165" fontId="19" fillId="3" borderId="17" xfId="1" applyNumberFormat="1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17" fontId="0" fillId="0" borderId="0" xfId="0" applyNumberFormat="1"/>
    <xf numFmtId="2" fontId="0" fillId="0" borderId="0" xfId="0" applyNumberFormat="1"/>
    <xf numFmtId="0" fontId="0" fillId="14" borderId="7" xfId="0" applyFill="1" applyBorder="1"/>
    <xf numFmtId="0" fontId="0" fillId="14" borderId="0" xfId="0" applyFill="1" applyAlignment="1">
      <alignment horizontal="center"/>
    </xf>
    <xf numFmtId="164" fontId="0" fillId="14" borderId="8" xfId="5" applyNumberFormat="1" applyFont="1" applyFill="1" applyBorder="1"/>
    <xf numFmtId="164" fontId="0" fillId="16" borderId="1" xfId="5" applyNumberFormat="1" applyFont="1" applyFill="1" applyBorder="1"/>
    <xf numFmtId="165" fontId="0" fillId="16" borderId="2" xfId="1" applyNumberFormat="1" applyFont="1" applyFill="1" applyBorder="1"/>
    <xf numFmtId="165" fontId="0" fillId="16" borderId="3" xfId="1" applyNumberFormat="1" applyFont="1" applyFill="1" applyBorder="1"/>
    <xf numFmtId="164" fontId="0" fillId="16" borderId="7" xfId="5" applyNumberFormat="1" applyFont="1" applyFill="1" applyBorder="1"/>
    <xf numFmtId="164" fontId="0" fillId="16" borderId="0" xfId="5" applyNumberFormat="1" applyFont="1" applyFill="1" applyBorder="1"/>
    <xf numFmtId="165" fontId="0" fillId="16" borderId="0" xfId="1" applyNumberFormat="1" applyFont="1" applyFill="1" applyBorder="1"/>
    <xf numFmtId="165" fontId="0" fillId="16" borderId="8" xfId="1" applyNumberFormat="1" applyFont="1" applyFill="1" applyBorder="1"/>
    <xf numFmtId="164" fontId="8" fillId="16" borderId="7" xfId="5" applyNumberFormat="1" applyFont="1" applyFill="1" applyBorder="1"/>
    <xf numFmtId="164" fontId="8" fillId="16" borderId="0" xfId="5" applyNumberFormat="1" applyFont="1" applyFill="1" applyBorder="1"/>
    <xf numFmtId="164" fontId="6" fillId="16" borderId="7" xfId="5" applyNumberFormat="1" applyFont="1" applyFill="1" applyBorder="1"/>
    <xf numFmtId="164" fontId="6" fillId="16" borderId="0" xfId="5" applyNumberFormat="1" applyFont="1" applyFill="1" applyBorder="1"/>
    <xf numFmtId="164" fontId="0" fillId="14" borderId="7" xfId="5" applyNumberFormat="1" applyFont="1" applyFill="1" applyBorder="1"/>
    <xf numFmtId="164" fontId="6" fillId="16" borderId="33" xfId="5" applyNumberFormat="1" applyFont="1" applyFill="1" applyBorder="1"/>
    <xf numFmtId="164" fontId="6" fillId="16" borderId="34" xfId="5" applyNumberFormat="1" applyFont="1" applyFill="1" applyBorder="1"/>
    <xf numFmtId="165" fontId="0" fillId="16" borderId="34" xfId="1" applyNumberFormat="1" applyFont="1" applyFill="1" applyBorder="1"/>
    <xf numFmtId="164" fontId="0" fillId="16" borderId="8" xfId="5" applyNumberFormat="1" applyFont="1" applyFill="1" applyBorder="1"/>
    <xf numFmtId="164" fontId="0" fillId="16" borderId="0" xfId="2" applyNumberFormat="1" applyFont="1" applyFill="1" applyBorder="1"/>
    <xf numFmtId="43" fontId="0" fillId="16" borderId="0" xfId="1" applyFont="1" applyFill="1" applyBorder="1"/>
    <xf numFmtId="43" fontId="0" fillId="16" borderId="8" xfId="1" applyFont="1" applyFill="1" applyBorder="1"/>
    <xf numFmtId="0" fontId="0" fillId="16" borderId="7" xfId="0" applyFill="1" applyBorder="1"/>
    <xf numFmtId="0" fontId="0" fillId="16" borderId="0" xfId="0" applyFill="1"/>
    <xf numFmtId="0" fontId="8" fillId="16" borderId="7" xfId="0" applyFont="1" applyFill="1" applyBorder="1"/>
    <xf numFmtId="164" fontId="8" fillId="16" borderId="0" xfId="2" applyNumberFormat="1" applyFont="1" applyFill="1" applyBorder="1"/>
    <xf numFmtId="0" fontId="6" fillId="16" borderId="7" xfId="0" applyFont="1" applyFill="1" applyBorder="1"/>
    <xf numFmtId="164" fontId="6" fillId="16" borderId="0" xfId="2" applyNumberFormat="1" applyFont="1" applyFill="1" applyBorder="1"/>
    <xf numFmtId="165" fontId="6" fillId="16" borderId="8" xfId="1" applyNumberFormat="1" applyFont="1" applyFill="1" applyBorder="1"/>
    <xf numFmtId="164" fontId="0" fillId="16" borderId="33" xfId="5" applyNumberFormat="1" applyFont="1" applyFill="1" applyBorder="1"/>
    <xf numFmtId="0" fontId="0" fillId="16" borderId="34" xfId="0" applyFill="1" applyBorder="1"/>
    <xf numFmtId="0" fontId="0" fillId="16" borderId="35" xfId="0" applyFill="1" applyBorder="1"/>
    <xf numFmtId="164" fontId="6" fillId="14" borderId="8" xfId="5" applyNumberFormat="1" applyFont="1" applyFill="1" applyBorder="1"/>
    <xf numFmtId="164" fontId="0" fillId="14" borderId="48" xfId="5" applyNumberFormat="1" applyFont="1" applyFill="1" applyBorder="1"/>
    <xf numFmtId="0" fontId="0" fillId="14" borderId="0" xfId="0" applyFill="1"/>
    <xf numFmtId="165" fontId="0" fillId="16" borderId="0" xfId="0" applyNumberFormat="1" applyFill="1"/>
    <xf numFmtId="0" fontId="0" fillId="16" borderId="8" xfId="0" applyFill="1" applyBorder="1"/>
    <xf numFmtId="165" fontId="6" fillId="16" borderId="0" xfId="0" applyNumberFormat="1" applyFont="1" applyFill="1"/>
    <xf numFmtId="0" fontId="0" fillId="14" borderId="8" xfId="0" applyFill="1" applyBorder="1"/>
    <xf numFmtId="165" fontId="8" fillId="16" borderId="0" xfId="0" applyNumberFormat="1" applyFont="1" applyFill="1"/>
    <xf numFmtId="164" fontId="0" fillId="16" borderId="0" xfId="0" applyNumberFormat="1" applyFill="1"/>
    <xf numFmtId="164" fontId="6" fillId="16" borderId="0" xfId="0" applyNumberFormat="1" applyFont="1" applyFill="1"/>
    <xf numFmtId="164" fontId="0" fillId="14" borderId="2" xfId="5" applyNumberFormat="1" applyFont="1" applyFill="1" applyBorder="1"/>
    <xf numFmtId="164" fontId="8" fillId="16" borderId="8" xfId="5" applyNumberFormat="1" applyFont="1" applyFill="1" applyBorder="1"/>
    <xf numFmtId="43" fontId="8" fillId="16" borderId="0" xfId="1" applyFont="1" applyFill="1" applyBorder="1"/>
    <xf numFmtId="165" fontId="8" fillId="16" borderId="0" xfId="1" applyNumberFormat="1" applyFont="1" applyFill="1" applyBorder="1"/>
    <xf numFmtId="0" fontId="8" fillId="16" borderId="0" xfId="0" applyFont="1" applyFill="1"/>
    <xf numFmtId="9" fontId="8" fillId="16" borderId="0" xfId="3" applyFont="1" applyFill="1" applyBorder="1"/>
    <xf numFmtId="12" fontId="8" fillId="16" borderId="0" xfId="5" applyNumberFormat="1" applyFont="1" applyFill="1" applyBorder="1"/>
    <xf numFmtId="164" fontId="20" fillId="16" borderId="7" xfId="5" applyNumberFormat="1" applyFont="1" applyFill="1" applyBorder="1"/>
    <xf numFmtId="12" fontId="21" fillId="16" borderId="0" xfId="1" applyNumberFormat="1" applyFont="1" applyFill="1" applyBorder="1"/>
    <xf numFmtId="164" fontId="20" fillId="16" borderId="0" xfId="5" applyNumberFormat="1" applyFont="1" applyFill="1" applyBorder="1"/>
    <xf numFmtId="164" fontId="20" fillId="16" borderId="8" xfId="5" applyNumberFormat="1" applyFont="1" applyFill="1" applyBorder="1"/>
    <xf numFmtId="43" fontId="8" fillId="16" borderId="8" xfId="1" applyFont="1" applyFill="1" applyBorder="1"/>
    <xf numFmtId="2" fontId="8" fillId="16" borderId="0" xfId="1" applyNumberFormat="1" applyFont="1" applyFill="1" applyBorder="1"/>
    <xf numFmtId="2" fontId="6" fillId="16" borderId="8" xfId="5" applyNumberFormat="1" applyFont="1" applyFill="1" applyBorder="1"/>
    <xf numFmtId="2" fontId="8" fillId="16" borderId="8" xfId="5" applyNumberFormat="1" applyFont="1" applyFill="1" applyBorder="1"/>
    <xf numFmtId="166" fontId="8" fillId="16" borderId="8" xfId="0" applyNumberFormat="1" applyFont="1" applyFill="1" applyBorder="1"/>
    <xf numFmtId="164" fontId="6" fillId="13" borderId="7" xfId="5" applyNumberFormat="1" applyFont="1" applyFill="1" applyBorder="1"/>
    <xf numFmtId="0" fontId="8" fillId="13" borderId="0" xfId="0" applyFont="1" applyFill="1"/>
    <xf numFmtId="166" fontId="6" fillId="13" borderId="8" xfId="0" applyNumberFormat="1" applyFont="1" applyFill="1" applyBorder="1"/>
    <xf numFmtId="0" fontId="0" fillId="16" borderId="33" xfId="0" applyFill="1" applyBorder="1"/>
    <xf numFmtId="164" fontId="22" fillId="17" borderId="1" xfId="5" applyNumberFormat="1" applyFont="1" applyFill="1" applyBorder="1"/>
    <xf numFmtId="164" fontId="0" fillId="17" borderId="2" xfId="5" applyNumberFormat="1" applyFont="1" applyFill="1" applyBorder="1"/>
    <xf numFmtId="164" fontId="0" fillId="17" borderId="3" xfId="5" applyNumberFormat="1" applyFont="1" applyFill="1" applyBorder="1"/>
    <xf numFmtId="164" fontId="22" fillId="17" borderId="7" xfId="5" applyNumberFormat="1" applyFont="1" applyFill="1" applyBorder="1"/>
    <xf numFmtId="164" fontId="22" fillId="17" borderId="0" xfId="5" applyNumberFormat="1" applyFont="1" applyFill="1" applyBorder="1"/>
    <xf numFmtId="164" fontId="0" fillId="17" borderId="0" xfId="5" applyNumberFormat="1" applyFont="1" applyFill="1" applyBorder="1"/>
    <xf numFmtId="164" fontId="0" fillId="17" borderId="8" xfId="5" applyNumberFormat="1" applyFont="1" applyFill="1" applyBorder="1"/>
    <xf numFmtId="0" fontId="0" fillId="17" borderId="7" xfId="0" applyFill="1" applyBorder="1"/>
    <xf numFmtId="0" fontId="0" fillId="17" borderId="0" xfId="0" applyFill="1"/>
    <xf numFmtId="164" fontId="0" fillId="17" borderId="7" xfId="5" applyNumberFormat="1" applyFont="1" applyFill="1" applyBorder="1"/>
    <xf numFmtId="165" fontId="0" fillId="17" borderId="0" xfId="1" applyNumberFormat="1" applyFont="1" applyFill="1" applyBorder="1"/>
    <xf numFmtId="43" fontId="0" fillId="17" borderId="0" xfId="1" applyFont="1" applyFill="1" applyBorder="1"/>
    <xf numFmtId="165" fontId="0" fillId="17" borderId="8" xfId="1" applyNumberFormat="1" applyFont="1" applyFill="1" applyBorder="1"/>
    <xf numFmtId="165" fontId="6" fillId="17" borderId="13" xfId="1" applyNumberFormat="1" applyFont="1" applyFill="1" applyBorder="1"/>
    <xf numFmtId="0" fontId="16" fillId="16" borderId="1" xfId="0" applyFont="1" applyFill="1" applyBorder="1"/>
    <xf numFmtId="0" fontId="16" fillId="16" borderId="2" xfId="0" applyFont="1" applyFill="1" applyBorder="1"/>
    <xf numFmtId="164" fontId="0" fillId="16" borderId="2" xfId="5" applyNumberFormat="1" applyFont="1" applyFill="1" applyBorder="1"/>
    <xf numFmtId="164" fontId="0" fillId="16" borderId="3" xfId="5" applyNumberFormat="1" applyFont="1" applyFill="1" applyBorder="1"/>
    <xf numFmtId="164" fontId="0" fillId="16" borderId="34" xfId="5" applyNumberFormat="1" applyFont="1" applyFill="1" applyBorder="1"/>
    <xf numFmtId="164" fontId="6" fillId="16" borderId="35" xfId="5" applyNumberFormat="1" applyFont="1" applyFill="1" applyBorder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164" fontId="6" fillId="17" borderId="9" xfId="5" applyNumberFormat="1" applyFont="1" applyFill="1" applyBorder="1" applyAlignment="1">
      <alignment horizontal="center"/>
    </xf>
    <xf numFmtId="164" fontId="6" fillId="17" borderId="10" xfId="5" applyNumberFormat="1" applyFont="1" applyFill="1" applyBorder="1" applyAlignment="1">
      <alignment horizontal="center"/>
    </xf>
    <xf numFmtId="0" fontId="6" fillId="15" borderId="60" xfId="0" applyFont="1" applyFill="1" applyBorder="1" applyAlignment="1">
      <alignment horizontal="center"/>
    </xf>
    <xf numFmtId="0" fontId="6" fillId="15" borderId="48" xfId="0" applyFont="1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164" fontId="6" fillId="15" borderId="60" xfId="5" applyNumberFormat="1" applyFont="1" applyFill="1" applyBorder="1" applyAlignment="1">
      <alignment horizontal="center"/>
    </xf>
    <xf numFmtId="164" fontId="6" fillId="15" borderId="48" xfId="5" applyNumberFormat="1" applyFont="1" applyFill="1" applyBorder="1" applyAlignment="1">
      <alignment horizontal="center"/>
    </xf>
    <xf numFmtId="164" fontId="6" fillId="15" borderId="19" xfId="5" applyNumberFormat="1" applyFont="1" applyFill="1" applyBorder="1" applyAlignment="1">
      <alignment horizontal="center"/>
    </xf>
    <xf numFmtId="164" fontId="8" fillId="16" borderId="7" xfId="5" applyNumberFormat="1" applyFont="1" applyFill="1" applyBorder="1" applyAlignment="1">
      <alignment horizontal="center"/>
    </xf>
    <xf numFmtId="164" fontId="8" fillId="16" borderId="0" xfId="5" applyNumberFormat="1" applyFont="1" applyFill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0" fontId="0" fillId="16" borderId="0" xfId="0" applyFill="1" applyBorder="1"/>
    <xf numFmtId="0" fontId="0" fillId="16" borderId="7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16" fillId="16" borderId="7" xfId="0" applyFont="1" applyFill="1" applyBorder="1"/>
    <xf numFmtId="0" fontId="16" fillId="16" borderId="1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3" xfId="0" applyFill="1" applyBorder="1"/>
    <xf numFmtId="165" fontId="0" fillId="16" borderId="8" xfId="0" applyNumberFormat="1" applyFill="1" applyBorder="1"/>
    <xf numFmtId="43" fontId="0" fillId="16" borderId="8" xfId="0" applyNumberFormat="1" applyFill="1" applyBorder="1"/>
    <xf numFmtId="164" fontId="0" fillId="16" borderId="8" xfId="2" applyNumberFormat="1" applyFont="1" applyFill="1" applyBorder="1"/>
    <xf numFmtId="164" fontId="0" fillId="16" borderId="35" xfId="2" applyNumberFormat="1" applyFont="1" applyFill="1" applyBorder="1"/>
    <xf numFmtId="0" fontId="6" fillId="16" borderId="33" xfId="0" applyFont="1" applyFill="1" applyBorder="1" applyAlignment="1">
      <alignment horizontal="center"/>
    </xf>
    <xf numFmtId="0" fontId="6" fillId="16" borderId="35" xfId="0" applyFont="1" applyFill="1" applyBorder="1"/>
    <xf numFmtId="165" fontId="6" fillId="16" borderId="8" xfId="0" applyNumberFormat="1" applyFont="1" applyFill="1" applyBorder="1"/>
    <xf numFmtId="165" fontId="6" fillId="16" borderId="35" xfId="1" applyNumberFormat="1" applyFont="1" applyFill="1" applyBorder="1"/>
    <xf numFmtId="164" fontId="0" fillId="16" borderId="45" xfId="5" applyNumberFormat="1" applyFont="1" applyFill="1" applyBorder="1"/>
    <xf numFmtId="164" fontId="0" fillId="14" borderId="54" xfId="5" applyNumberFormat="1" applyFont="1" applyFill="1" applyBorder="1"/>
    <xf numFmtId="164" fontId="0" fillId="16" borderId="46" xfId="5" applyNumberFormat="1" applyFont="1" applyFill="1" applyBorder="1"/>
    <xf numFmtId="164" fontId="0" fillId="14" borderId="69" xfId="5" applyNumberFormat="1" applyFont="1" applyFill="1" applyBorder="1"/>
    <xf numFmtId="164" fontId="6" fillId="16" borderId="47" xfId="5" applyNumberFormat="1" applyFont="1" applyFill="1" applyBorder="1"/>
    <xf numFmtId="164" fontId="6" fillId="14" borderId="78" xfId="5" applyNumberFormat="1" applyFont="1" applyFill="1" applyBorder="1"/>
    <xf numFmtId="164" fontId="6" fillId="15" borderId="60" xfId="5" applyNumberFormat="1" applyFont="1" applyFill="1" applyBorder="1" applyAlignment="1">
      <alignment horizontal="center" vertical="center" wrapText="1"/>
    </xf>
    <xf numFmtId="164" fontId="6" fillId="15" borderId="19" xfId="5" applyNumberFormat="1" applyFont="1" applyFill="1" applyBorder="1" applyAlignment="1">
      <alignment horizontal="center" vertical="center" wrapText="1"/>
    </xf>
    <xf numFmtId="164" fontId="8" fillId="16" borderId="75" xfId="5" applyNumberFormat="1" applyFont="1" applyFill="1" applyBorder="1"/>
    <xf numFmtId="164" fontId="8" fillId="14" borderId="79" xfId="5" applyNumberFormat="1" applyFont="1" applyFill="1" applyBorder="1"/>
    <xf numFmtId="164" fontId="8" fillId="16" borderId="70" xfId="5" applyNumberFormat="1" applyFont="1" applyFill="1" applyBorder="1"/>
    <xf numFmtId="164" fontId="8" fillId="14" borderId="71" xfId="5" applyNumberFormat="1" applyFont="1" applyFill="1" applyBorder="1"/>
  </cellXfs>
  <cellStyles count="6">
    <cellStyle name="Comma" xfId="1" builtinId="3"/>
    <cellStyle name="Currency" xfId="2" builtinId="4"/>
    <cellStyle name="Currency 2" xfId="5" xr:uid="{BA35172D-A727-449D-BEAC-58D99AED1AD9}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117</xdr:row>
      <xdr:rowOff>104775</xdr:rowOff>
    </xdr:from>
    <xdr:to>
      <xdr:col>6</xdr:col>
      <xdr:colOff>703369</xdr:colOff>
      <xdr:row>121</xdr:row>
      <xdr:rowOff>114360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7C37242-DF2C-E946-6D75-2D4D48CE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1480781" y="25117425"/>
          <a:ext cx="4894369" cy="695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1664</xdr:colOff>
      <xdr:row>33</xdr:row>
      <xdr:rowOff>38446</xdr:rowOff>
    </xdr:from>
    <xdr:to>
      <xdr:col>11</xdr:col>
      <xdr:colOff>651255</xdr:colOff>
      <xdr:row>51</xdr:row>
      <xdr:rowOff>142001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DA3AAED8-C36F-7D32-EE17-EAAF1875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6046495" y="5795118"/>
          <a:ext cx="4697716" cy="321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11" sqref="H11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43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89</v>
      </c>
      <c r="B4" s="76">
        <f>'מ"ר אקו'' נחלה'!D28</f>
        <v>144.55000000000001</v>
      </c>
      <c r="K4" s="1"/>
    </row>
    <row r="5" spans="1:11" x14ac:dyDescent="0.35">
      <c r="A5" s="1" t="s">
        <v>197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54</v>
      </c>
      <c r="B7" s="1">
        <f>'מ"ר אקו'' נחלה'!D57</f>
        <v>303.8</v>
      </c>
      <c r="C7" s="1" t="s">
        <v>55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9000</v>
      </c>
      <c r="C8" s="1" t="s">
        <v>82</v>
      </c>
      <c r="D8" s="5">
        <v>2500</v>
      </c>
      <c r="F8" s="75"/>
      <c r="K8" s="1"/>
    </row>
    <row r="9" spans="1:11" x14ac:dyDescent="0.35">
      <c r="A9" s="3"/>
      <c r="B9" s="5"/>
      <c r="C9" s="1" t="s">
        <v>90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64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272109.375</v>
      </c>
      <c r="G11" s="75">
        <f>'מ"ר אקו'' נחלה'!D71*-3.75%</f>
        <v>-6562.5</v>
      </c>
      <c r="H11" s="88">
        <f>SUM(F11:G11)</f>
        <v>265546.875</v>
      </c>
      <c r="I11" s="9"/>
      <c r="J11" s="75"/>
    </row>
    <row r="12" spans="1:11" x14ac:dyDescent="0.35">
      <c r="A12" s="82" t="s">
        <v>60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546243.75</v>
      </c>
      <c r="G12" s="75">
        <f>-'מ"ר אקו'' נחלה'!D58*C12</f>
        <v>-29250</v>
      </c>
      <c r="H12" s="6">
        <f>SUM(F12:G12)</f>
        <v>516993.75</v>
      </c>
      <c r="J12" s="87"/>
    </row>
    <row r="13" spans="1:11" x14ac:dyDescent="0.35">
      <c r="A13" s="82" t="s">
        <v>61</v>
      </c>
      <c r="B13" s="113">
        <f>B7-B12</f>
        <v>96.300000000000011</v>
      </c>
      <c r="C13" s="114">
        <v>0.33</v>
      </c>
      <c r="D13" s="82">
        <f t="shared" si="0"/>
        <v>31.779000000000007</v>
      </c>
      <c r="E13" s="82">
        <v>1</v>
      </c>
      <c r="F13" s="84">
        <f>D13*$B$8*E13</f>
        <v>286011.00000000006</v>
      </c>
      <c r="G13" s="87">
        <f>G12*53/245</f>
        <v>-6327.5510204081629</v>
      </c>
      <c r="H13" s="6">
        <f>SUM(F13:G13)</f>
        <v>279683.44897959189</v>
      </c>
      <c r="I13" s="9"/>
      <c r="J13" s="75"/>
    </row>
    <row r="14" spans="1:11" ht="21" x14ac:dyDescent="0.4">
      <c r="A14" s="110" t="s">
        <v>62</v>
      </c>
      <c r="B14" s="111">
        <f>SUM(B12:B13)</f>
        <v>303.8</v>
      </c>
      <c r="C14" s="112"/>
      <c r="D14" s="112"/>
      <c r="E14" s="112"/>
      <c r="F14" s="112">
        <f>SUM(F12:F13)</f>
        <v>832254.75</v>
      </c>
      <c r="G14" s="115"/>
      <c r="H14" s="89">
        <f>SUM(H12:H13)</f>
        <v>796677.19897959195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793687.5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3002818.5</v>
      </c>
      <c r="G16" s="75">
        <f>-'מ"ר אקו'' נחלה'!D15*C16</f>
        <v>-81510</v>
      </c>
      <c r="H16" s="88">
        <f>SUM(F16:G16)</f>
        <v>2921308.5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5733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614.25</v>
      </c>
      <c r="G20" s="9"/>
      <c r="I20" s="6"/>
      <c r="J20" s="9"/>
    </row>
    <row r="21" spans="1:10" ht="21" x14ac:dyDescent="0.4">
      <c r="A21" s="1" t="s">
        <v>68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44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2457</v>
      </c>
    </row>
    <row r="23" spans="1:10" ht="21" x14ac:dyDescent="0.4">
      <c r="A23" s="82" t="s">
        <v>83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45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46</v>
      </c>
      <c r="B27" s="85"/>
      <c r="C27" s="8"/>
      <c r="D27" s="185"/>
      <c r="E27" s="185"/>
      <c r="F27" s="5"/>
      <c r="I27" s="75"/>
    </row>
    <row r="29" spans="1:10" x14ac:dyDescent="0.35">
      <c r="A29" s="2" t="s">
        <v>155</v>
      </c>
      <c r="C29" s="75"/>
    </row>
    <row r="30" spans="1:10" x14ac:dyDescent="0.35">
      <c r="A30" s="2"/>
      <c r="B30" s="2" t="s">
        <v>157</v>
      </c>
      <c r="C30" s="2" t="s">
        <v>21</v>
      </c>
      <c r="D30" s="2" t="s">
        <v>156</v>
      </c>
    </row>
    <row r="31" spans="1:10" x14ac:dyDescent="0.35">
      <c r="A31" s="1" t="s">
        <v>153</v>
      </c>
      <c r="B31" s="5">
        <f>'מ"ר אקו'' נחלה'!D57*'תחשיב לפי שווי שומה (2)'!$B$8</f>
        <v>2734200</v>
      </c>
      <c r="C31" s="190">
        <v>1</v>
      </c>
      <c r="D31" s="6">
        <f>C31*$B$8</f>
        <v>9000</v>
      </c>
    </row>
    <row r="32" spans="1:10" x14ac:dyDescent="0.35">
      <c r="A32" s="1" t="s">
        <v>152</v>
      </c>
      <c r="B32" s="6">
        <f>350*$B$8*C32</f>
        <v>472500</v>
      </c>
      <c r="C32" s="190">
        <v>0.15</v>
      </c>
      <c r="D32" s="6">
        <f>C32*$B$8</f>
        <v>1350</v>
      </c>
    </row>
    <row r="33" spans="1:6" x14ac:dyDescent="0.35">
      <c r="C33" s="75"/>
    </row>
    <row r="34" spans="1:6" x14ac:dyDescent="0.35">
      <c r="A34" s="1" t="s">
        <v>150</v>
      </c>
      <c r="B34" s="6">
        <f>B31-B32</f>
        <v>2261700</v>
      </c>
      <c r="C34" s="190">
        <f>C31-C32</f>
        <v>0.85</v>
      </c>
      <c r="D34" s="6">
        <f>C34*$B$8</f>
        <v>7650</v>
      </c>
    </row>
    <row r="35" spans="1:6" x14ac:dyDescent="0.35">
      <c r="A35" s="1" t="s">
        <v>151</v>
      </c>
      <c r="B35" s="6">
        <f>B34*50%</f>
        <v>1130850</v>
      </c>
      <c r="C35" s="190">
        <f>C34*50%</f>
        <v>0.42499999999999999</v>
      </c>
      <c r="D35" s="6">
        <f>C35*$B$8</f>
        <v>3825</v>
      </c>
    </row>
    <row r="37" spans="1:6" x14ac:dyDescent="0.35">
      <c r="A37" s="2" t="s">
        <v>159</v>
      </c>
      <c r="C37" s="75"/>
    </row>
    <row r="38" spans="1:6" x14ac:dyDescent="0.35">
      <c r="A38" s="2"/>
      <c r="B38" s="2" t="s">
        <v>157</v>
      </c>
      <c r="C38" s="2" t="s">
        <v>21</v>
      </c>
      <c r="D38" s="2" t="s">
        <v>156</v>
      </c>
    </row>
    <row r="39" spans="1:6" x14ac:dyDescent="0.35">
      <c r="A39" s="1" t="s">
        <v>153</v>
      </c>
      <c r="B39" s="5">
        <f>'מ"ר אקו'' נחלה'!D57*'תחשיב לפי שווי שומה (2)'!$B$8</f>
        <v>2734200</v>
      </c>
      <c r="C39" s="190">
        <v>1</v>
      </c>
      <c r="D39" s="6">
        <f>C39*$B$8</f>
        <v>9000</v>
      </c>
    </row>
    <row r="40" spans="1:6" x14ac:dyDescent="0.35">
      <c r="A40" s="1" t="s">
        <v>160</v>
      </c>
      <c r="B40" s="6">
        <f>B39*70%</f>
        <v>1913939.9999999998</v>
      </c>
      <c r="C40" s="190">
        <v>0.7</v>
      </c>
      <c r="D40" s="6">
        <f>C40*$B$8</f>
        <v>6300</v>
      </c>
    </row>
    <row r="41" spans="1:6" x14ac:dyDescent="0.35">
      <c r="C41" s="75"/>
    </row>
    <row r="42" spans="1:6" x14ac:dyDescent="0.35">
      <c r="A42" s="1" t="s">
        <v>150</v>
      </c>
      <c r="B42" s="6">
        <f>B39-B40</f>
        <v>820260.00000000023</v>
      </c>
      <c r="C42" s="190">
        <f>C39-C40</f>
        <v>0.30000000000000004</v>
      </c>
      <c r="D42" s="6">
        <f>C42*$B$8</f>
        <v>2700.0000000000005</v>
      </c>
      <c r="F42" s="6"/>
    </row>
    <row r="43" spans="1:6" x14ac:dyDescent="0.35">
      <c r="A43" s="1" t="s">
        <v>151</v>
      </c>
      <c r="B43" s="6">
        <f>B42*50%</f>
        <v>410130.00000000012</v>
      </c>
      <c r="C43" s="190">
        <f>C42*50%</f>
        <v>0.15000000000000002</v>
      </c>
      <c r="D43" s="6">
        <f>C43*$B$8</f>
        <v>1350.0000000000002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350" t="s">
        <v>204</v>
      </c>
      <c r="I9" s="351"/>
      <c r="J9" s="351"/>
      <c r="K9" s="351"/>
      <c r="L9" s="351"/>
      <c r="M9" s="351"/>
      <c r="N9" s="351"/>
      <c r="O9" s="352"/>
    </row>
    <row r="10" spans="8:15" x14ac:dyDescent="0.25">
      <c r="H10" s="353" t="s">
        <v>205</v>
      </c>
      <c r="I10" s="354"/>
      <c r="J10" s="353" t="s">
        <v>206</v>
      </c>
      <c r="K10" s="354"/>
      <c r="L10" s="357" t="s">
        <v>207</v>
      </c>
      <c r="M10" s="358"/>
      <c r="N10" s="353" t="s">
        <v>5</v>
      </c>
      <c r="O10" s="354"/>
    </row>
    <row r="11" spans="8:15" ht="14.4" thickBot="1" x14ac:dyDescent="0.3">
      <c r="H11" s="355"/>
      <c r="I11" s="356"/>
      <c r="J11" s="355"/>
      <c r="K11" s="356"/>
      <c r="L11" s="359"/>
      <c r="M11" s="360"/>
      <c r="N11" s="355"/>
      <c r="O11" s="356"/>
    </row>
    <row r="12" spans="8:15" x14ac:dyDescent="0.25">
      <c r="H12" s="342" t="s">
        <v>208</v>
      </c>
      <c r="I12" s="343"/>
      <c r="J12" s="346">
        <f>240000</f>
        <v>240000</v>
      </c>
      <c r="K12" s="346"/>
      <c r="L12" s="346">
        <f>240000</f>
        <v>240000</v>
      </c>
      <c r="M12" s="346"/>
      <c r="N12" s="346">
        <v>2700000</v>
      </c>
      <c r="O12" s="348"/>
    </row>
    <row r="13" spans="8:15" x14ac:dyDescent="0.25">
      <c r="H13" s="344"/>
      <c r="I13" s="345"/>
      <c r="J13" s="347"/>
      <c r="K13" s="347"/>
      <c r="L13" s="347"/>
      <c r="M13" s="347"/>
      <c r="N13" s="347"/>
      <c r="O13" s="349"/>
    </row>
    <row r="14" spans="8:15" x14ac:dyDescent="0.25">
      <c r="H14" s="344" t="s">
        <v>209</v>
      </c>
      <c r="I14" s="345"/>
      <c r="J14" s="347">
        <f>1000000</f>
        <v>1000000</v>
      </c>
      <c r="K14" s="347"/>
      <c r="L14" s="347">
        <v>1730000</v>
      </c>
      <c r="M14" s="347"/>
      <c r="N14" s="345" t="s">
        <v>210</v>
      </c>
      <c r="O14" s="361"/>
    </row>
    <row r="15" spans="8:15" x14ac:dyDescent="0.25">
      <c r="H15" s="344"/>
      <c r="I15" s="345"/>
      <c r="J15" s="347"/>
      <c r="K15" s="347"/>
      <c r="L15" s="347"/>
      <c r="M15" s="347"/>
      <c r="N15" s="345"/>
      <c r="O15" s="361"/>
    </row>
    <row r="16" spans="8:15" x14ac:dyDescent="0.25">
      <c r="H16" s="344" t="s">
        <v>211</v>
      </c>
      <c r="I16" s="345"/>
      <c r="J16" s="362">
        <f>(J14+J12)*0.06</f>
        <v>74400</v>
      </c>
      <c r="K16" s="362"/>
      <c r="L16" s="362">
        <f>(L14+L12)*0.06</f>
        <v>118200</v>
      </c>
      <c r="M16" s="362"/>
      <c r="N16" s="362">
        <f>N12*0.06</f>
        <v>162000</v>
      </c>
      <c r="O16" s="363"/>
    </row>
    <row r="17" spans="8:15" x14ac:dyDescent="0.25">
      <c r="H17" s="344"/>
      <c r="I17" s="345"/>
      <c r="J17" s="362"/>
      <c r="K17" s="362"/>
      <c r="L17" s="362"/>
      <c r="M17" s="362"/>
      <c r="N17" s="362"/>
      <c r="O17" s="363"/>
    </row>
    <row r="18" spans="8:15" x14ac:dyDescent="0.25">
      <c r="H18" s="344" t="s">
        <v>212</v>
      </c>
      <c r="I18" s="345"/>
      <c r="J18" s="345" t="s">
        <v>210</v>
      </c>
      <c r="K18" s="345"/>
      <c r="L18" s="362">
        <v>144000</v>
      </c>
      <c r="M18" s="362"/>
      <c r="N18" s="345" t="s">
        <v>210</v>
      </c>
      <c r="O18" s="361"/>
    </row>
    <row r="19" spans="8:15" x14ac:dyDescent="0.25">
      <c r="H19" s="344"/>
      <c r="I19" s="345"/>
      <c r="J19" s="345"/>
      <c r="K19" s="345"/>
      <c r="L19" s="362"/>
      <c r="M19" s="362"/>
      <c r="N19" s="345"/>
      <c r="O19" s="361"/>
    </row>
    <row r="20" spans="8:15" x14ac:dyDescent="0.25">
      <c r="H20" s="367" t="s">
        <v>8</v>
      </c>
      <c r="I20" s="368"/>
      <c r="J20" s="369">
        <f>SUM(J12:K19)</f>
        <v>1314400</v>
      </c>
      <c r="K20" s="368"/>
      <c r="L20" s="369">
        <f>SUM(L12:M19)</f>
        <v>2232200</v>
      </c>
      <c r="M20" s="368"/>
      <c r="N20" s="369">
        <f>SUM(N12:O19)</f>
        <v>2862000</v>
      </c>
      <c r="O20" s="370"/>
    </row>
    <row r="21" spans="8:15" x14ac:dyDescent="0.25">
      <c r="H21" s="367"/>
      <c r="I21" s="368"/>
      <c r="J21" s="368"/>
      <c r="K21" s="368"/>
      <c r="L21" s="368"/>
      <c r="M21" s="368"/>
      <c r="N21" s="368"/>
      <c r="O21" s="370"/>
    </row>
    <row r="22" spans="8:15" x14ac:dyDescent="0.25">
      <c r="H22" s="344" t="s">
        <v>213</v>
      </c>
      <c r="I22" s="345"/>
      <c r="J22" s="362">
        <v>500000</v>
      </c>
      <c r="K22" s="345"/>
      <c r="L22" s="362">
        <v>1500000</v>
      </c>
      <c r="M22" s="345"/>
      <c r="N22" s="345" t="s">
        <v>214</v>
      </c>
      <c r="O22" s="361"/>
    </row>
    <row r="23" spans="8:15" ht="14.4" thickBot="1" x14ac:dyDescent="0.3">
      <c r="H23" s="364"/>
      <c r="I23" s="365"/>
      <c r="J23" s="365"/>
      <c r="K23" s="365"/>
      <c r="L23" s="365"/>
      <c r="M23" s="365"/>
      <c r="N23" s="365"/>
      <c r="O23" s="366"/>
    </row>
  </sheetData>
  <mergeCells count="29"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  <mergeCell ref="H14:I15"/>
    <mergeCell ref="J14:K15"/>
    <mergeCell ref="L14:M15"/>
    <mergeCell ref="N14:O15"/>
    <mergeCell ref="H16:I17"/>
    <mergeCell ref="J16:K17"/>
    <mergeCell ref="L16:M17"/>
    <mergeCell ref="N16:O17"/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99"/>
  <sheetViews>
    <sheetView rightToLeft="1" topLeftCell="A60" workbookViewId="0">
      <selection activeCell="A45" sqref="A45:M99"/>
    </sheetView>
  </sheetViews>
  <sheetFormatPr defaultRowHeight="13.8" x14ac:dyDescent="0.25"/>
  <cols>
    <col min="1" max="1" width="24.5" customWidth="1"/>
    <col min="2" max="2" width="9.796875" bestFit="1" customWidth="1"/>
    <col min="3" max="3" width="6.59765625" customWidth="1"/>
    <col min="4" max="4" width="13.5976562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127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53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94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24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25</v>
      </c>
      <c r="B8" s="23">
        <f>SUM(B4:B7)</f>
        <v>600</v>
      </c>
      <c r="C8" s="24"/>
      <c r="D8" s="25"/>
      <c r="E8" s="91"/>
      <c r="F8" s="22" t="s">
        <v>25</v>
      </c>
      <c r="G8" s="23">
        <f>SUM(G4:G7)</f>
        <v>600</v>
      </c>
      <c r="H8" s="24"/>
      <c r="I8" s="25"/>
    </row>
    <row r="9" spans="1:10" x14ac:dyDescent="0.25">
      <c r="A9" s="26" t="s">
        <v>26</v>
      </c>
      <c r="B9" s="27">
        <f>B2-B8</f>
        <v>1900</v>
      </c>
      <c r="C9" s="28"/>
      <c r="D9" s="29"/>
      <c r="F9" s="26" t="s">
        <v>26</v>
      </c>
      <c r="G9" s="27">
        <f>G2-G8</f>
        <v>2400</v>
      </c>
      <c r="H9" s="28"/>
      <c r="I9" s="29"/>
    </row>
    <row r="10" spans="1:10" x14ac:dyDescent="0.25">
      <c r="A10" s="22" t="s">
        <v>27</v>
      </c>
      <c r="B10" s="23">
        <v>1000</v>
      </c>
      <c r="C10" s="24">
        <v>0.25</v>
      </c>
      <c r="D10" s="25">
        <f>C10*B10</f>
        <v>250</v>
      </c>
      <c r="F10" s="22" t="s">
        <v>27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28</v>
      </c>
      <c r="B11" s="19">
        <v>1000</v>
      </c>
      <c r="C11" s="20">
        <v>0.2</v>
      </c>
      <c r="D11" s="21">
        <f>C11*B11</f>
        <v>200</v>
      </c>
      <c r="F11" s="18" t="s">
        <v>28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69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29</v>
      </c>
      <c r="B13" s="31">
        <f>SUM(B4:B11)</f>
        <v>5100</v>
      </c>
      <c r="C13" s="32"/>
      <c r="D13" s="33">
        <f>SUM(D4:D12)</f>
        <v>972.5</v>
      </c>
      <c r="F13" s="30" t="s">
        <v>29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30</v>
      </c>
      <c r="B14" s="35"/>
      <c r="C14" s="36"/>
      <c r="D14" s="37">
        <f>D13</f>
        <v>972.5</v>
      </c>
      <c r="E14" s="72"/>
      <c r="F14" s="34" t="s">
        <v>30</v>
      </c>
      <c r="G14" s="35"/>
      <c r="H14" s="36"/>
      <c r="I14" s="37">
        <f>I13</f>
        <v>1022.5</v>
      </c>
    </row>
    <row r="15" spans="1:10" x14ac:dyDescent="0.25">
      <c r="A15" t="s">
        <v>63</v>
      </c>
      <c r="D15" s="17">
        <v>247000</v>
      </c>
      <c r="F15" t="s">
        <v>63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66</v>
      </c>
      <c r="B17" s="11">
        <v>2500</v>
      </c>
      <c r="C17" s="12" t="s">
        <v>95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53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65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96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97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67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86</v>
      </c>
      <c r="B27" s="31"/>
      <c r="C27" s="32"/>
      <c r="D27" s="33"/>
      <c r="I27" s="17"/>
    </row>
    <row r="28" spans="1:9" ht="14.4" thickBot="1" x14ac:dyDescent="0.3">
      <c r="A28" s="34" t="s">
        <v>30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72" t="s">
        <v>197</v>
      </c>
      <c r="B30" s="373"/>
      <c r="C30" s="373"/>
      <c r="D30" s="374"/>
      <c r="I30" s="17"/>
    </row>
    <row r="31" spans="1:9" x14ac:dyDescent="0.25">
      <c r="A31" s="213" t="s">
        <v>198</v>
      </c>
      <c r="B31" s="12"/>
      <c r="C31" s="12"/>
      <c r="D31" s="214">
        <v>186</v>
      </c>
      <c r="I31" s="17"/>
    </row>
    <row r="32" spans="1:9" x14ac:dyDescent="0.25">
      <c r="A32" s="18" t="s">
        <v>199</v>
      </c>
      <c r="D32" s="215">
        <v>160</v>
      </c>
      <c r="I32" s="17"/>
    </row>
    <row r="33" spans="1:25" ht="14.4" thickBot="1" x14ac:dyDescent="0.3">
      <c r="A33" s="100" t="s">
        <v>200</v>
      </c>
      <c r="B33" s="102"/>
      <c r="C33" s="102"/>
      <c r="D33" s="216">
        <f>D31-D32</f>
        <v>26</v>
      </c>
      <c r="I33" s="17"/>
    </row>
    <row r="34" spans="1:25" x14ac:dyDescent="0.25">
      <c r="A34" s="10" t="s">
        <v>201</v>
      </c>
      <c r="B34" s="12"/>
      <c r="C34" s="12"/>
      <c r="D34" s="214">
        <v>240</v>
      </c>
      <c r="I34" s="17"/>
    </row>
    <row r="35" spans="1:25" x14ac:dyDescent="0.25">
      <c r="A35" s="18" t="s">
        <v>199</v>
      </c>
      <c r="D35" s="215">
        <v>160</v>
      </c>
      <c r="I35" s="17"/>
    </row>
    <row r="36" spans="1:25" ht="14.4" thickBot="1" x14ac:dyDescent="0.3">
      <c r="A36" s="100" t="s">
        <v>200</v>
      </c>
      <c r="B36" s="102"/>
      <c r="C36" s="102"/>
      <c r="D36" s="216">
        <f>D34-D35</f>
        <v>80</v>
      </c>
      <c r="I36" s="17"/>
    </row>
    <row r="37" spans="1:25" ht="14.4" thickBot="1" x14ac:dyDescent="0.3">
      <c r="A37" s="18"/>
      <c r="D37" s="215"/>
      <c r="I37" s="17"/>
    </row>
    <row r="38" spans="1:25" ht="14.4" thickBot="1" x14ac:dyDescent="0.3">
      <c r="A38" s="217" t="s">
        <v>202</v>
      </c>
      <c r="B38" s="218"/>
      <c r="C38" s="218"/>
      <c r="D38" s="219">
        <f>D36+D33</f>
        <v>106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203</v>
      </c>
      <c r="D41" s="17">
        <f>D14+D28-D38</f>
        <v>1011.05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158</v>
      </c>
      <c r="O46" s="220" t="s">
        <v>215</v>
      </c>
      <c r="P46" s="221" t="s">
        <v>216</v>
      </c>
      <c r="Q46" s="221" t="s">
        <v>217</v>
      </c>
      <c r="R46" s="221" t="s">
        <v>218</v>
      </c>
      <c r="S46" s="222" t="s">
        <v>219</v>
      </c>
      <c r="T46" s="220" t="s">
        <v>220</v>
      </c>
      <c r="U46" s="223" t="s">
        <v>221</v>
      </c>
      <c r="V46" s="220" t="s">
        <v>222</v>
      </c>
      <c r="W46" s="223" t="s">
        <v>223</v>
      </c>
      <c r="X46" s="220" t="s">
        <v>222</v>
      </c>
      <c r="Y46" s="223" t="s">
        <v>211</v>
      </c>
    </row>
    <row r="47" spans="1:25" x14ac:dyDescent="0.25">
      <c r="A47" s="10" t="s">
        <v>49</v>
      </c>
      <c r="B47" s="98">
        <v>350</v>
      </c>
      <c r="C47" s="12" t="s">
        <v>71</v>
      </c>
      <c r="D47" s="13"/>
      <c r="F47" s="10" t="s">
        <v>56</v>
      </c>
      <c r="G47" s="12"/>
      <c r="H47" s="12"/>
      <c r="I47" s="13"/>
      <c r="J47" t="s">
        <v>59</v>
      </c>
      <c r="O47" s="375" t="s">
        <v>224</v>
      </c>
      <c r="P47" s="224" t="s">
        <v>14</v>
      </c>
      <c r="Q47" s="224">
        <v>300</v>
      </c>
      <c r="R47" s="224">
        <v>160</v>
      </c>
      <c r="S47" s="225">
        <f>Q47-R47</f>
        <v>140</v>
      </c>
      <c r="T47" s="226">
        <v>3000</v>
      </c>
      <c r="U47" s="227">
        <f>S47*T47</f>
        <v>420000</v>
      </c>
      <c r="V47" s="226">
        <v>0</v>
      </c>
      <c r="W47" s="227">
        <f>S47*V47</f>
        <v>0</v>
      </c>
      <c r="X47" s="228">
        <v>0</v>
      </c>
      <c r="Y47" s="227">
        <v>0</v>
      </c>
    </row>
    <row r="48" spans="1:25" x14ac:dyDescent="0.25">
      <c r="A48" s="22" t="s">
        <v>50</v>
      </c>
      <c r="B48" s="40">
        <v>200</v>
      </c>
      <c r="C48" s="24">
        <v>1</v>
      </c>
      <c r="D48" s="25">
        <f t="shared" ref="D48:D52" si="1">B48*C48</f>
        <v>200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77"/>
      <c r="P48" s="229" t="s">
        <v>15</v>
      </c>
      <c r="Q48" s="229">
        <v>197</v>
      </c>
      <c r="R48" s="229">
        <v>160</v>
      </c>
      <c r="S48" s="230">
        <f>Q48-R48</f>
        <v>37</v>
      </c>
      <c r="T48" s="231">
        <v>3000</v>
      </c>
      <c r="U48" s="232">
        <f>S48*T48</f>
        <v>111000</v>
      </c>
      <c r="V48" s="231">
        <v>0</v>
      </c>
      <c r="W48" s="232">
        <v>0</v>
      </c>
      <c r="X48" s="233">
        <v>0</v>
      </c>
      <c r="Y48" s="232">
        <v>0</v>
      </c>
    </row>
    <row r="49" spans="1:25" x14ac:dyDescent="0.25">
      <c r="A49" s="18"/>
      <c r="B49" s="19"/>
      <c r="C49" s="20"/>
      <c r="D49" s="21"/>
      <c r="F49" s="18" t="s">
        <v>51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77"/>
      <c r="P49" s="229" t="s">
        <v>225</v>
      </c>
      <c r="Q49" s="229">
        <v>130</v>
      </c>
      <c r="R49" s="229">
        <v>0</v>
      </c>
      <c r="S49" s="230">
        <f>Q49-R49</f>
        <v>130</v>
      </c>
      <c r="T49" s="231">
        <v>3000</v>
      </c>
      <c r="U49" s="232">
        <f>S49*T49</f>
        <v>390000</v>
      </c>
      <c r="V49" s="231">
        <v>0</v>
      </c>
      <c r="W49" s="232">
        <v>0</v>
      </c>
      <c r="X49" s="233">
        <v>0</v>
      </c>
      <c r="Y49" s="232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57</v>
      </c>
      <c r="G50" s="107"/>
      <c r="H50" s="107"/>
      <c r="I50" s="108">
        <f>I48+I49</f>
        <v>207.5</v>
      </c>
      <c r="J50" s="17">
        <f>'ניתוח איזור לעסקאות דמה'!I60</f>
        <v>9868.4974139502319</v>
      </c>
      <c r="K50" s="17">
        <f>I50*J50</f>
        <v>2047713.2133946731</v>
      </c>
      <c r="L50" s="109">
        <v>0.29249999999999998</v>
      </c>
      <c r="M50" s="91">
        <f>K50*L50</f>
        <v>598956.11491794186</v>
      </c>
      <c r="O50" s="377"/>
      <c r="P50" s="234" t="s">
        <v>226</v>
      </c>
      <c r="Q50" s="234">
        <v>55</v>
      </c>
      <c r="R50" s="234">
        <v>0</v>
      </c>
      <c r="S50" s="235">
        <f>Q50-R50</f>
        <v>55</v>
      </c>
      <c r="T50" s="236">
        <v>3000</v>
      </c>
      <c r="U50" s="237">
        <f>S50*T50</f>
        <v>165000</v>
      </c>
      <c r="V50" s="236">
        <v>0</v>
      </c>
      <c r="W50" s="237">
        <v>0</v>
      </c>
      <c r="X50" s="238">
        <v>0</v>
      </c>
      <c r="Y50" s="237">
        <v>0</v>
      </c>
    </row>
    <row r="51" spans="1:25" ht="15" thickTop="1" thickBot="1" x14ac:dyDescent="0.3">
      <c r="A51" s="18" t="s">
        <v>264</v>
      </c>
      <c r="B51" s="19">
        <f>180/3-B50</f>
        <v>48</v>
      </c>
      <c r="C51" s="20">
        <v>0.5</v>
      </c>
      <c r="D51" s="21">
        <f t="shared" si="1"/>
        <v>24</v>
      </c>
      <c r="F51" s="100" t="s">
        <v>58</v>
      </c>
      <c r="G51" s="102"/>
      <c r="H51" s="102"/>
      <c r="I51" s="103">
        <f>D57-I50</f>
        <v>96.300000000000011</v>
      </c>
      <c r="J51" s="17">
        <f>J50</f>
        <v>9868.4974139502319</v>
      </c>
      <c r="K51" s="17">
        <f>I51*J51</f>
        <v>950336.3009634075</v>
      </c>
      <c r="L51" s="109">
        <v>0.33</v>
      </c>
      <c r="M51" s="91">
        <f>K51*L51</f>
        <v>313610.97931792447</v>
      </c>
      <c r="O51" s="376"/>
      <c r="P51" s="378" t="s">
        <v>8</v>
      </c>
      <c r="Q51" s="379"/>
      <c r="R51" s="380"/>
      <c r="S51" s="239">
        <f>SUM(S47:S50)</f>
        <v>362</v>
      </c>
      <c r="T51" s="240">
        <v>3000</v>
      </c>
      <c r="U51" s="241">
        <f>SUM(U47:U50)</f>
        <v>1086000</v>
      </c>
      <c r="V51" s="240">
        <v>0</v>
      </c>
      <c r="W51" s="241">
        <v>0</v>
      </c>
      <c r="X51" s="242">
        <v>0</v>
      </c>
      <c r="Y51" s="241">
        <v>0</v>
      </c>
    </row>
    <row r="52" spans="1:25" x14ac:dyDescent="0.25">
      <c r="A52" s="18" t="s">
        <v>265</v>
      </c>
      <c r="B52" s="19">
        <f>150/3</f>
        <v>50</v>
      </c>
      <c r="C52" s="20">
        <v>0.4</v>
      </c>
      <c r="D52" s="21">
        <f t="shared" si="1"/>
        <v>20</v>
      </c>
      <c r="M52" s="91">
        <f>SUM(M50:M51)</f>
        <v>912567.09423586633</v>
      </c>
      <c r="O52" s="342" t="s">
        <v>227</v>
      </c>
      <c r="P52" s="224" t="s">
        <v>227</v>
      </c>
      <c r="Q52" s="243">
        <v>3.7499999999999999E-2</v>
      </c>
      <c r="R52" s="244"/>
      <c r="S52" s="225">
        <v>375</v>
      </c>
      <c r="T52" s="245">
        <v>240000</v>
      </c>
      <c r="U52" s="246">
        <f>T52</f>
        <v>240000</v>
      </c>
      <c r="V52" s="245">
        <v>0</v>
      </c>
      <c r="W52" s="246">
        <v>0</v>
      </c>
      <c r="X52" s="247">
        <v>0.06</v>
      </c>
      <c r="Y52" s="246">
        <f>U52*6%</f>
        <v>14400</v>
      </c>
    </row>
    <row r="53" spans="1:25" ht="14.4" thickBot="1" x14ac:dyDescent="0.3">
      <c r="A53" s="99"/>
      <c r="B53" s="71"/>
      <c r="C53" s="28"/>
      <c r="D53" s="29"/>
      <c r="O53" s="364"/>
      <c r="P53" s="248" t="s">
        <v>228</v>
      </c>
      <c r="Q53" s="248"/>
      <c r="R53" s="248"/>
      <c r="S53" s="249">
        <f>SUM(S51:S52)</f>
        <v>737</v>
      </c>
      <c r="T53" s="250"/>
      <c r="U53" s="251"/>
      <c r="V53" s="250"/>
      <c r="W53" s="251"/>
      <c r="X53" s="252"/>
      <c r="Y53" s="251">
        <v>0</v>
      </c>
    </row>
    <row r="54" spans="1:25" x14ac:dyDescent="0.25">
      <c r="A54" s="22" t="s">
        <v>25</v>
      </c>
      <c r="B54" s="23">
        <f>(B48+B50)/2+B51</f>
        <v>154</v>
      </c>
      <c r="C54" s="24"/>
      <c r="D54" s="25"/>
      <c r="O54" s="375" t="s">
        <v>169</v>
      </c>
      <c r="P54" s="224" t="s">
        <v>229</v>
      </c>
      <c r="Q54" s="253"/>
      <c r="R54" s="244"/>
      <c r="S54" s="225">
        <v>-160</v>
      </c>
      <c r="T54" s="226">
        <v>950000</v>
      </c>
      <c r="U54" s="227">
        <f>T54</f>
        <v>950000</v>
      </c>
      <c r="V54" s="226">
        <v>450000</v>
      </c>
      <c r="W54" s="227">
        <f>V54</f>
        <v>450000</v>
      </c>
      <c r="X54" s="228">
        <v>0.06</v>
      </c>
      <c r="Y54" s="227">
        <f>U54*6%</f>
        <v>57000</v>
      </c>
    </row>
    <row r="55" spans="1:25" ht="14.4" thickBot="1" x14ac:dyDescent="0.3">
      <c r="A55" s="18" t="s">
        <v>26</v>
      </c>
      <c r="B55" s="19">
        <f>B47-B54</f>
        <v>196</v>
      </c>
      <c r="C55" s="20"/>
      <c r="D55" s="21"/>
      <c r="O55" s="376"/>
      <c r="P55" s="248" t="s">
        <v>230</v>
      </c>
      <c r="Q55" s="248"/>
      <c r="R55" s="248"/>
      <c r="S55" s="249">
        <f>SUM(S53:S54)</f>
        <v>577</v>
      </c>
      <c r="T55" s="250"/>
      <c r="U55" s="251"/>
      <c r="V55" s="250"/>
      <c r="W55" s="251"/>
      <c r="X55" s="252"/>
      <c r="Y55" s="251"/>
    </row>
    <row r="56" spans="1:25" x14ac:dyDescent="0.25">
      <c r="A56" s="26" t="s">
        <v>27</v>
      </c>
      <c r="B56" s="104">
        <f>B55</f>
        <v>196</v>
      </c>
      <c r="C56" s="105">
        <v>0.25</v>
      </c>
      <c r="D56" s="106">
        <f>B56*C56</f>
        <v>49</v>
      </c>
      <c r="O56" s="375" t="s">
        <v>231</v>
      </c>
      <c r="P56" s="224" t="s">
        <v>232</v>
      </c>
      <c r="Q56" s="224"/>
      <c r="R56" s="224"/>
      <c r="S56" s="225">
        <f>-Q48-Q49-Q50</f>
        <v>-382</v>
      </c>
      <c r="T56" s="226"/>
      <c r="U56" s="227"/>
      <c r="V56" s="226"/>
      <c r="W56" s="227">
        <v>0</v>
      </c>
      <c r="X56" s="228">
        <v>0</v>
      </c>
      <c r="Y56" s="227">
        <v>0</v>
      </c>
    </row>
    <row r="57" spans="1:25" ht="14.4" thickBot="1" x14ac:dyDescent="0.3">
      <c r="A57" s="100" t="s">
        <v>29</v>
      </c>
      <c r="B57" s="101"/>
      <c r="C57" s="102"/>
      <c r="D57" s="103">
        <f>SUM(D48:D56)</f>
        <v>303.8</v>
      </c>
      <c r="F57" s="91"/>
      <c r="O57" s="376"/>
      <c r="P57" s="248" t="s">
        <v>233</v>
      </c>
      <c r="Q57" s="248"/>
      <c r="R57" s="248"/>
      <c r="S57" s="249">
        <f>SUM(S55:S56)</f>
        <v>195</v>
      </c>
      <c r="T57" s="250">
        <v>0</v>
      </c>
      <c r="U57" s="251">
        <v>0</v>
      </c>
      <c r="V57" s="250"/>
      <c r="W57" s="251">
        <v>0</v>
      </c>
      <c r="X57" s="252">
        <v>0</v>
      </c>
      <c r="Y57" s="251">
        <v>0</v>
      </c>
    </row>
    <row r="58" spans="1:25" ht="14.4" thickBot="1" x14ac:dyDescent="0.3">
      <c r="A58" s="18" t="s">
        <v>72</v>
      </c>
      <c r="B58" s="19"/>
      <c r="D58" s="91">
        <v>100000</v>
      </c>
      <c r="T58" s="217" t="s">
        <v>221</v>
      </c>
      <c r="U58" s="254">
        <f>SUM(U51:U57)</f>
        <v>2276000</v>
      </c>
      <c r="V58" s="218" t="s">
        <v>234</v>
      </c>
      <c r="W58" s="254">
        <f>SUM(W47:W57)</f>
        <v>450000</v>
      </c>
      <c r="X58" s="218" t="s">
        <v>235</v>
      </c>
      <c r="Y58" s="255">
        <f>SUM(Y51:Y57)</f>
        <v>71400</v>
      </c>
    </row>
    <row r="60" spans="1:25" ht="14.4" thickBot="1" x14ac:dyDescent="0.3">
      <c r="A60" t="s">
        <v>93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31</v>
      </c>
      <c r="B64">
        <v>55</v>
      </c>
      <c r="C64">
        <v>1</v>
      </c>
      <c r="D64" s="21">
        <f t="shared" si="2"/>
        <v>55</v>
      </c>
      <c r="F64" s="18" t="s">
        <v>31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25</v>
      </c>
      <c r="B65" s="40">
        <f>SUM(B62:B64)</f>
        <v>375</v>
      </c>
      <c r="D65" s="21"/>
      <c r="F65" s="18" t="s">
        <v>25</v>
      </c>
      <c r="G65" s="40">
        <f>SUM(G62:G64)</f>
        <v>375</v>
      </c>
      <c r="I65" s="21"/>
    </row>
    <row r="66" spans="1:9" x14ac:dyDescent="0.25">
      <c r="A66" s="18" t="s">
        <v>32</v>
      </c>
      <c r="B66">
        <v>1125</v>
      </c>
      <c r="C66" s="20">
        <v>0.25</v>
      </c>
      <c r="D66" s="21">
        <f t="shared" si="2"/>
        <v>281.25</v>
      </c>
      <c r="F66" s="18" t="s">
        <v>32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52</v>
      </c>
      <c r="B67">
        <f>B60-B65-B66</f>
        <v>1000</v>
      </c>
      <c r="C67" s="20">
        <v>0.15</v>
      </c>
      <c r="D67" s="21">
        <f t="shared" si="2"/>
        <v>150</v>
      </c>
      <c r="F67" s="18" t="s">
        <v>52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70</v>
      </c>
      <c r="G68">
        <v>500</v>
      </c>
      <c r="H68" s="20">
        <v>0.1</v>
      </c>
      <c r="I68" s="127">
        <f>G68*H68</f>
        <v>50</v>
      </c>
    </row>
    <row r="69" spans="1:9" x14ac:dyDescent="0.25">
      <c r="A69" s="43" t="s">
        <v>29</v>
      </c>
      <c r="B69" s="40">
        <f>SUM(B62:B67)</f>
        <v>2875</v>
      </c>
      <c r="C69" s="40"/>
      <c r="D69" s="44">
        <f>SUM(D62:D67)</f>
        <v>806.25</v>
      </c>
      <c r="F69" s="43" t="s">
        <v>29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30</v>
      </c>
      <c r="B70" s="45"/>
      <c r="C70" s="45"/>
      <c r="D70" s="46">
        <f>D69</f>
        <v>806.25</v>
      </c>
      <c r="E70" s="72"/>
      <c r="F70" s="34" t="s">
        <v>30</v>
      </c>
      <c r="G70" s="45"/>
      <c r="H70" s="45"/>
      <c r="I70" s="46">
        <f>I69</f>
        <v>856.25</v>
      </c>
    </row>
    <row r="71" spans="1:9" x14ac:dyDescent="0.25">
      <c r="A71" t="s">
        <v>63</v>
      </c>
      <c r="D71" s="17">
        <v>175000</v>
      </c>
      <c r="F71" t="s">
        <v>63</v>
      </c>
      <c r="I71" s="17">
        <v>190000</v>
      </c>
    </row>
    <row r="78" spans="1:9" x14ac:dyDescent="0.25">
      <c r="A78" t="s">
        <v>266</v>
      </c>
    </row>
    <row r="80" spans="1:9" x14ac:dyDescent="0.25">
      <c r="A80" t="s">
        <v>267</v>
      </c>
    </row>
    <row r="81" spans="1:4" x14ac:dyDescent="0.25">
      <c r="A81" t="s">
        <v>268</v>
      </c>
      <c r="B81" t="s">
        <v>269</v>
      </c>
      <c r="C81" t="s">
        <v>21</v>
      </c>
      <c r="D81" t="s">
        <v>8</v>
      </c>
    </row>
    <row r="82" spans="1:4" x14ac:dyDescent="0.25">
      <c r="A82" t="s">
        <v>53</v>
      </c>
      <c r="B82">
        <f>350/2</f>
        <v>175</v>
      </c>
      <c r="C82">
        <v>1</v>
      </c>
      <c r="D82">
        <f>C82*B82</f>
        <v>175</v>
      </c>
    </row>
    <row r="83" spans="1:4" x14ac:dyDescent="0.25">
      <c r="A83" t="s">
        <v>65</v>
      </c>
      <c r="B83">
        <v>12</v>
      </c>
      <c r="C83">
        <v>0.9</v>
      </c>
      <c r="D83">
        <f t="shared" ref="D83:D86" si="3">C83*B83</f>
        <v>10.8</v>
      </c>
    </row>
    <row r="84" spans="1:4" x14ac:dyDescent="0.25">
      <c r="A84" t="s">
        <v>264</v>
      </c>
      <c r="B84">
        <f>45/2-B83</f>
        <v>10.5</v>
      </c>
      <c r="C84">
        <v>0.5</v>
      </c>
      <c r="D84">
        <f t="shared" si="3"/>
        <v>5.25</v>
      </c>
    </row>
    <row r="85" spans="1:4" x14ac:dyDescent="0.25">
      <c r="A85" t="s">
        <v>270</v>
      </c>
      <c r="B85">
        <f>(B82+B83)/2+B84</f>
        <v>104</v>
      </c>
      <c r="C85" t="s">
        <v>210</v>
      </c>
    </row>
    <row r="86" spans="1:4" x14ac:dyDescent="0.25">
      <c r="A86" t="s">
        <v>51</v>
      </c>
      <c r="B86">
        <f>350-B85</f>
        <v>246</v>
      </c>
      <c r="C86">
        <v>0.25</v>
      </c>
      <c r="D86">
        <f t="shared" si="3"/>
        <v>61.5</v>
      </c>
    </row>
    <row r="87" spans="1:4" x14ac:dyDescent="0.25">
      <c r="A87" s="371" t="s">
        <v>8</v>
      </c>
      <c r="B87" s="371"/>
      <c r="C87" s="371"/>
      <c r="D87">
        <f>SUM(D82:D86)</f>
        <v>252.55</v>
      </c>
    </row>
    <row r="88" spans="1:4" x14ac:dyDescent="0.25">
      <c r="A88" s="371" t="s">
        <v>275</v>
      </c>
      <c r="B88" s="371"/>
      <c r="C88" s="371"/>
      <c r="D88">
        <v>0.7</v>
      </c>
    </row>
    <row r="89" spans="1:4" x14ac:dyDescent="0.25">
      <c r="A89" s="371" t="s">
        <v>276</v>
      </c>
      <c r="B89" s="371"/>
      <c r="C89" s="371"/>
      <c r="D89">
        <f>D88*D87</f>
        <v>176.785</v>
      </c>
    </row>
    <row r="94" spans="1:4" x14ac:dyDescent="0.25">
      <c r="A94" s="371" t="s">
        <v>272</v>
      </c>
      <c r="B94" s="371"/>
      <c r="C94" s="371"/>
    </row>
    <row r="95" spans="1:4" x14ac:dyDescent="0.25">
      <c r="A95" s="371" t="s">
        <v>273</v>
      </c>
      <c r="B95" s="371"/>
      <c r="C95" s="371"/>
      <c r="D95" s="91">
        <f>D57</f>
        <v>303.8</v>
      </c>
    </row>
    <row r="96" spans="1:4" x14ac:dyDescent="0.25">
      <c r="A96" s="371" t="s">
        <v>150</v>
      </c>
      <c r="B96" s="371"/>
      <c r="C96" s="371"/>
      <c r="D96" s="91">
        <f>D95-D89</f>
        <v>127.01500000000001</v>
      </c>
    </row>
    <row r="97" spans="1:4" x14ac:dyDescent="0.25">
      <c r="A97" t="s">
        <v>151</v>
      </c>
      <c r="D97" s="72">
        <f>D96/2</f>
        <v>63.507500000000007</v>
      </c>
    </row>
    <row r="98" spans="1:4" x14ac:dyDescent="0.25">
      <c r="A98" t="s">
        <v>271</v>
      </c>
      <c r="D98" s="148">
        <f>'ניתוח איזור לעסקאות דמה'!I60</f>
        <v>9868.4974139502319</v>
      </c>
    </row>
    <row r="99" spans="1:4" x14ac:dyDescent="0.25">
      <c r="A99" t="s">
        <v>277</v>
      </c>
      <c r="D99" s="148">
        <f>D98*D97</f>
        <v>626723.59951644437</v>
      </c>
    </row>
  </sheetData>
  <mergeCells count="12">
    <mergeCell ref="A30:D30"/>
    <mergeCell ref="O56:O57"/>
    <mergeCell ref="O54:O55"/>
    <mergeCell ref="O47:O51"/>
    <mergeCell ref="P51:R51"/>
    <mergeCell ref="O52:O53"/>
    <mergeCell ref="A96:C96"/>
    <mergeCell ref="A89:C89"/>
    <mergeCell ref="A87:C87"/>
    <mergeCell ref="A88:C88"/>
    <mergeCell ref="A94:C94"/>
    <mergeCell ref="A95:C9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1E3D-56E1-41E7-AC89-5B3A367F03DA}">
  <dimension ref="B1:N143"/>
  <sheetViews>
    <sheetView rightToLeft="1" tabSelected="1" topLeftCell="A107" workbookViewId="0">
      <selection activeCell="D137" sqref="D137"/>
    </sheetView>
  </sheetViews>
  <sheetFormatPr defaultRowHeight="13.8" x14ac:dyDescent="0.25"/>
  <cols>
    <col min="2" max="2" width="24.5" customWidth="1"/>
    <col min="3" max="3" width="21.5" customWidth="1"/>
    <col min="4" max="4" width="13.19921875" customWidth="1"/>
    <col min="5" max="5" width="10.59765625" customWidth="1"/>
    <col min="6" max="6" width="12" bestFit="1" customWidth="1"/>
    <col min="7" max="7" width="10.69921875" customWidth="1"/>
    <col min="10" max="10" width="16" customWidth="1"/>
    <col min="12" max="12" width="9.8984375" bestFit="1" customWidth="1"/>
    <col min="13" max="13" width="14.09765625" customWidth="1"/>
    <col min="14" max="14" width="10.5" bestFit="1" customWidth="1"/>
  </cols>
  <sheetData>
    <row r="1" spans="2:14" x14ac:dyDescent="0.25">
      <c r="B1" t="s">
        <v>337</v>
      </c>
      <c r="C1" s="148">
        <f>'ניתוח איזור לעסקאות דמה'!I61</f>
        <v>10000</v>
      </c>
    </row>
    <row r="4" spans="2:14" x14ac:dyDescent="0.25">
      <c r="E4" s="17"/>
      <c r="J4" s="17"/>
    </row>
    <row r="5" spans="2:14" ht="14.4" thickBot="1" x14ac:dyDescent="0.3">
      <c r="B5" s="39" t="s">
        <v>158</v>
      </c>
    </row>
    <row r="6" spans="2:14" x14ac:dyDescent="0.25">
      <c r="B6" s="10" t="s">
        <v>49</v>
      </c>
      <c r="C6" s="98">
        <v>350</v>
      </c>
      <c r="D6" s="12" t="s">
        <v>71</v>
      </c>
      <c r="E6" s="13"/>
      <c r="G6" s="10" t="s">
        <v>56</v>
      </c>
      <c r="H6" s="12"/>
      <c r="I6" s="12"/>
      <c r="J6" s="13"/>
      <c r="K6" t="s">
        <v>59</v>
      </c>
    </row>
    <row r="7" spans="2:14" x14ac:dyDescent="0.25">
      <c r="B7" s="22" t="s">
        <v>50</v>
      </c>
      <c r="C7" s="40">
        <v>200</v>
      </c>
      <c r="D7" s="24">
        <v>1</v>
      </c>
      <c r="E7" s="25">
        <f t="shared" ref="E7:E11" si="0">C7*D7</f>
        <v>200</v>
      </c>
      <c r="G7" s="18" t="str">
        <f>B7</f>
        <v>מגורים עיקרי בהרחבה</v>
      </c>
      <c r="H7">
        <v>160</v>
      </c>
      <c r="I7">
        <v>1</v>
      </c>
      <c r="J7" s="21">
        <f>H7*I7</f>
        <v>160</v>
      </c>
      <c r="K7" s="17"/>
      <c r="L7" s="17"/>
    </row>
    <row r="8" spans="2:14" x14ac:dyDescent="0.25">
      <c r="B8" s="18"/>
      <c r="C8" s="19"/>
      <c r="D8" s="20"/>
      <c r="E8" s="21"/>
      <c r="G8" s="18" t="s">
        <v>51</v>
      </c>
      <c r="H8" s="91">
        <f>C6-H7</f>
        <v>190</v>
      </c>
      <c r="I8">
        <v>0.25</v>
      </c>
      <c r="J8" s="21">
        <f>H8*I8</f>
        <v>47.5</v>
      </c>
      <c r="K8" s="17"/>
      <c r="L8" s="17"/>
    </row>
    <row r="9" spans="2:14" x14ac:dyDescent="0.25">
      <c r="B9" s="18" t="s">
        <v>23</v>
      </c>
      <c r="C9" s="19">
        <v>12</v>
      </c>
      <c r="D9" s="20">
        <v>0.9</v>
      </c>
      <c r="E9" s="21">
        <f t="shared" si="0"/>
        <v>10.8</v>
      </c>
      <c r="G9" s="43" t="s">
        <v>57</v>
      </c>
      <c r="H9" s="107"/>
      <c r="I9" s="107"/>
      <c r="J9" s="108">
        <f>J7+J8</f>
        <v>207.5</v>
      </c>
      <c r="K9" s="17">
        <f>C1</f>
        <v>10000</v>
      </c>
      <c r="L9" s="17">
        <f>J9*K9</f>
        <v>2075000</v>
      </c>
      <c r="M9" s="109">
        <v>0.29249999999999998</v>
      </c>
      <c r="N9" s="91">
        <f>L9*M9</f>
        <v>606937.5</v>
      </c>
    </row>
    <row r="10" spans="2:14" ht="14.4" thickBot="1" x14ac:dyDescent="0.3">
      <c r="B10" s="18" t="s">
        <v>264</v>
      </c>
      <c r="C10" s="19">
        <f>180/3-C9</f>
        <v>48</v>
      </c>
      <c r="D10" s="20">
        <v>0.5</v>
      </c>
      <c r="E10" s="21">
        <f t="shared" si="0"/>
        <v>24</v>
      </c>
      <c r="G10" s="100" t="s">
        <v>58</v>
      </c>
      <c r="H10" s="102"/>
      <c r="I10" s="102"/>
      <c r="J10" s="103">
        <f>E16-J9</f>
        <v>96.300000000000011</v>
      </c>
      <c r="K10" s="17">
        <f>K9</f>
        <v>10000</v>
      </c>
      <c r="L10" s="17">
        <f>J10*K10</f>
        <v>963000.00000000012</v>
      </c>
      <c r="M10" s="109">
        <v>0.33</v>
      </c>
      <c r="N10" s="91">
        <f>L10*M10</f>
        <v>317790.00000000006</v>
      </c>
    </row>
    <row r="11" spans="2:14" x14ac:dyDescent="0.25">
      <c r="B11" s="18" t="s">
        <v>265</v>
      </c>
      <c r="C11" s="19">
        <f>150/3</f>
        <v>50</v>
      </c>
      <c r="D11" s="20">
        <v>0.4</v>
      </c>
      <c r="E11" s="21">
        <f t="shared" si="0"/>
        <v>20</v>
      </c>
      <c r="N11" s="91">
        <f>SUM(N9:N10)</f>
        <v>924727.5</v>
      </c>
    </row>
    <row r="12" spans="2:14" x14ac:dyDescent="0.25">
      <c r="B12" s="99"/>
      <c r="C12" s="71"/>
      <c r="D12" s="28"/>
      <c r="E12" s="29"/>
    </row>
    <row r="13" spans="2:14" x14ac:dyDescent="0.25">
      <c r="B13" s="22" t="s">
        <v>25</v>
      </c>
      <c r="C13" s="23">
        <f>(C7+C9)/2+C10</f>
        <v>154</v>
      </c>
      <c r="D13" s="24"/>
      <c r="E13" s="25"/>
    </row>
    <row r="14" spans="2:14" x14ac:dyDescent="0.25">
      <c r="B14" s="18" t="s">
        <v>26</v>
      </c>
      <c r="C14" s="19">
        <f>C6-C13</f>
        <v>196</v>
      </c>
      <c r="D14" s="20"/>
      <c r="E14" s="21"/>
    </row>
    <row r="15" spans="2:14" x14ac:dyDescent="0.25">
      <c r="B15" s="26" t="s">
        <v>27</v>
      </c>
      <c r="C15" s="104">
        <f>C14</f>
        <v>196</v>
      </c>
      <c r="D15" s="105">
        <v>0.25</v>
      </c>
      <c r="E15" s="106">
        <f>C15*D15</f>
        <v>49</v>
      </c>
    </row>
    <row r="16" spans="2:14" ht="14.4" thickBot="1" x14ac:dyDescent="0.3">
      <c r="B16" s="100" t="s">
        <v>29</v>
      </c>
      <c r="C16" s="101"/>
      <c r="D16" s="102"/>
      <c r="E16" s="103">
        <f>SUM(E7:E15)</f>
        <v>303.8</v>
      </c>
      <c r="G16" s="91"/>
    </row>
    <row r="17" spans="2:5" x14ac:dyDescent="0.25">
      <c r="B17" s="18" t="s">
        <v>72</v>
      </c>
      <c r="C17" s="19"/>
      <c r="E17" s="91">
        <v>100000</v>
      </c>
    </row>
    <row r="20" spans="2:5" ht="14.4" thickBot="1" x14ac:dyDescent="0.3"/>
    <row r="21" spans="2:5" ht="17.399999999999999" x14ac:dyDescent="0.55000000000000004">
      <c r="B21" s="322" t="s">
        <v>330</v>
      </c>
      <c r="C21" s="323"/>
      <c r="D21" s="323"/>
      <c r="E21" s="324"/>
    </row>
    <row r="22" spans="2:5" ht="17.399999999999999" x14ac:dyDescent="0.55000000000000004">
      <c r="B22" s="325" t="s">
        <v>331</v>
      </c>
      <c r="C22" s="326" t="s">
        <v>332</v>
      </c>
      <c r="D22" s="327"/>
      <c r="E22" s="328"/>
    </row>
    <row r="23" spans="2:5" x14ac:dyDescent="0.25">
      <c r="B23" s="329" t="s">
        <v>49</v>
      </c>
      <c r="C23" s="330">
        <v>350</v>
      </c>
      <c r="D23" s="327"/>
      <c r="E23" s="328"/>
    </row>
    <row r="24" spans="2:5" x14ac:dyDescent="0.25">
      <c r="B24" s="331" t="s">
        <v>53</v>
      </c>
      <c r="C24" s="332">
        <v>200</v>
      </c>
      <c r="D24" s="333">
        <v>1</v>
      </c>
      <c r="E24" s="334">
        <f>C24*D24</f>
        <v>200</v>
      </c>
    </row>
    <row r="25" spans="2:5" x14ac:dyDescent="0.25">
      <c r="B25" s="331" t="s">
        <v>333</v>
      </c>
      <c r="C25" s="332">
        <v>0</v>
      </c>
      <c r="D25" s="333"/>
      <c r="E25" s="334">
        <f>C25*D25</f>
        <v>0</v>
      </c>
    </row>
    <row r="26" spans="2:5" x14ac:dyDescent="0.25">
      <c r="B26" s="331" t="s">
        <v>65</v>
      </c>
      <c r="C26" s="332">
        <v>12</v>
      </c>
      <c r="D26" s="333">
        <v>0.9</v>
      </c>
      <c r="E26" s="334">
        <f>C26*D26</f>
        <v>10.8</v>
      </c>
    </row>
    <row r="27" spans="2:5" x14ac:dyDescent="0.25">
      <c r="B27" s="331" t="s">
        <v>334</v>
      </c>
      <c r="C27" s="332">
        <f>180/3-C26</f>
        <v>48</v>
      </c>
      <c r="D27" s="333">
        <v>0.5</v>
      </c>
      <c r="E27" s="334">
        <f>C27*D27</f>
        <v>24</v>
      </c>
    </row>
    <row r="28" spans="2:5" x14ac:dyDescent="0.25">
      <c r="B28" s="331" t="s">
        <v>265</v>
      </c>
      <c r="C28" s="332">
        <f>150/3</f>
        <v>50</v>
      </c>
      <c r="D28" s="333">
        <v>0.4</v>
      </c>
      <c r="E28" s="334">
        <f>C28*D28</f>
        <v>20</v>
      </c>
    </row>
    <row r="29" spans="2:5" x14ac:dyDescent="0.25">
      <c r="B29" s="331"/>
      <c r="C29" s="332"/>
      <c r="D29" s="333"/>
      <c r="E29" s="328"/>
    </row>
    <row r="30" spans="2:5" x14ac:dyDescent="0.25">
      <c r="B30" s="331" t="s">
        <v>270</v>
      </c>
      <c r="C30" s="332">
        <f>(C24+C26)/2+C27</f>
        <v>154</v>
      </c>
      <c r="D30" s="333"/>
      <c r="E30" s="328"/>
    </row>
    <row r="31" spans="2:5" x14ac:dyDescent="0.25">
      <c r="B31" s="331" t="s">
        <v>28</v>
      </c>
      <c r="C31" s="332">
        <f>C23-C30</f>
        <v>196</v>
      </c>
      <c r="D31" s="333"/>
      <c r="E31" s="328"/>
    </row>
    <row r="32" spans="2:5" x14ac:dyDescent="0.25">
      <c r="B32" s="331" t="s">
        <v>335</v>
      </c>
      <c r="C32" s="332">
        <f>C31</f>
        <v>196</v>
      </c>
      <c r="D32" s="333">
        <v>0.25</v>
      </c>
      <c r="E32" s="334">
        <f>C32*D32</f>
        <v>49</v>
      </c>
    </row>
    <row r="33" spans="2:7" x14ac:dyDescent="0.25">
      <c r="B33" s="331" t="s">
        <v>336</v>
      </c>
      <c r="C33" s="332">
        <v>0</v>
      </c>
      <c r="D33" s="333">
        <v>0.2</v>
      </c>
      <c r="E33" s="334">
        <f>C33*D33</f>
        <v>0</v>
      </c>
    </row>
    <row r="34" spans="2:7" x14ac:dyDescent="0.25">
      <c r="B34" s="381" t="s">
        <v>29</v>
      </c>
      <c r="C34" s="382"/>
      <c r="D34" s="382"/>
      <c r="E34" s="335">
        <f>SUM(E24:E33)</f>
        <v>303.8</v>
      </c>
    </row>
    <row r="35" spans="2:7" ht="13.2" customHeight="1" x14ac:dyDescent="0.25"/>
    <row r="38" spans="2:7" ht="14.4" thickBot="1" x14ac:dyDescent="0.3"/>
    <row r="39" spans="2:7" x14ac:dyDescent="0.25">
      <c r="B39" s="386" t="s">
        <v>329</v>
      </c>
      <c r="C39" s="387"/>
      <c r="D39" s="387"/>
      <c r="E39" s="387"/>
      <c r="F39" s="387"/>
      <c r="G39" s="388"/>
    </row>
    <row r="40" spans="2:7" x14ac:dyDescent="0.25">
      <c r="B40" s="260"/>
      <c r="C40" s="261"/>
      <c r="D40" s="261"/>
      <c r="E40" s="261"/>
      <c r="F40" s="261"/>
      <c r="G40" s="262"/>
    </row>
    <row r="41" spans="2:7" ht="14.4" thickBot="1" x14ac:dyDescent="0.3">
      <c r="B41" s="260"/>
      <c r="C41" s="261"/>
      <c r="D41" s="261"/>
      <c r="E41" s="261"/>
      <c r="F41" s="261"/>
      <c r="G41" s="262"/>
    </row>
    <row r="42" spans="2:7" ht="14.4" thickBot="1" x14ac:dyDescent="0.3">
      <c r="B42" s="260"/>
      <c r="C42" s="389" t="s">
        <v>278</v>
      </c>
      <c r="D42" s="390"/>
      <c r="E42" s="390"/>
      <c r="F42" s="391"/>
      <c r="G42" s="262"/>
    </row>
    <row r="43" spans="2:7" x14ac:dyDescent="0.25">
      <c r="B43" s="260"/>
      <c r="C43" s="263" t="s">
        <v>279</v>
      </c>
      <c r="D43" s="264"/>
      <c r="E43" s="264"/>
      <c r="F43" s="265">
        <f>E34</f>
        <v>303.8</v>
      </c>
      <c r="G43" s="262"/>
    </row>
    <row r="44" spans="2:7" x14ac:dyDescent="0.25">
      <c r="B44" s="260"/>
      <c r="C44" s="266" t="s">
        <v>280</v>
      </c>
      <c r="D44" s="267"/>
      <c r="E44" s="268"/>
      <c r="F44" s="269">
        <f>C1</f>
        <v>10000</v>
      </c>
      <c r="G44" s="262"/>
    </row>
    <row r="45" spans="2:7" x14ac:dyDescent="0.25">
      <c r="B45" s="260"/>
      <c r="C45" s="266" t="s">
        <v>281</v>
      </c>
      <c r="D45" s="267"/>
      <c r="E45" s="268"/>
      <c r="F45" s="269">
        <f>F44*F43</f>
        <v>3038000</v>
      </c>
      <c r="G45" s="262"/>
    </row>
    <row r="46" spans="2:7" x14ac:dyDescent="0.25">
      <c r="B46" s="260"/>
      <c r="C46" s="266" t="s">
        <v>63</v>
      </c>
      <c r="D46" s="267"/>
      <c r="E46" s="268"/>
      <c r="F46" s="269">
        <v>100000</v>
      </c>
      <c r="G46" s="262"/>
    </row>
    <row r="47" spans="2:7" x14ac:dyDescent="0.25">
      <c r="B47" s="260"/>
      <c r="C47" s="270" t="s">
        <v>282</v>
      </c>
      <c r="D47" s="271"/>
      <c r="E47" s="268"/>
      <c r="F47" s="269">
        <f>F45-F46</f>
        <v>2938000</v>
      </c>
      <c r="G47" s="262"/>
    </row>
    <row r="48" spans="2:7" x14ac:dyDescent="0.25">
      <c r="B48" s="260"/>
      <c r="C48" s="272" t="s">
        <v>283</v>
      </c>
      <c r="D48" s="273"/>
      <c r="E48" s="268"/>
      <c r="F48" s="269">
        <f>F47/F43</f>
        <v>9670.8360763660294</v>
      </c>
      <c r="G48" s="262"/>
    </row>
    <row r="49" spans="2:13" x14ac:dyDescent="0.25">
      <c r="B49" s="260"/>
      <c r="C49" s="266" t="s">
        <v>284</v>
      </c>
      <c r="D49" s="267"/>
      <c r="E49" s="268"/>
      <c r="F49" s="269">
        <v>207</v>
      </c>
      <c r="G49" s="262"/>
    </row>
    <row r="50" spans="2:13" x14ac:dyDescent="0.25">
      <c r="B50" s="260"/>
      <c r="C50" s="266" t="s">
        <v>285</v>
      </c>
      <c r="D50" s="267"/>
      <c r="E50" s="268"/>
      <c r="F50" s="269">
        <f>F49*F48</f>
        <v>2001863.067807768</v>
      </c>
      <c r="G50" s="262"/>
    </row>
    <row r="51" spans="2:13" x14ac:dyDescent="0.25">
      <c r="B51" s="274" t="s">
        <v>286</v>
      </c>
      <c r="C51" s="272" t="s">
        <v>287</v>
      </c>
      <c r="D51" s="273"/>
      <c r="E51" s="268"/>
      <c r="F51" s="269">
        <f>F50*29.25%</f>
        <v>585544.94733377208</v>
      </c>
      <c r="G51" s="262"/>
    </row>
    <row r="52" spans="2:13" x14ac:dyDescent="0.25">
      <c r="B52" s="274" t="s">
        <v>288</v>
      </c>
      <c r="C52" s="266" t="s">
        <v>289</v>
      </c>
      <c r="D52" s="267"/>
      <c r="E52" s="268"/>
      <c r="F52" s="269">
        <f>F43-F49</f>
        <v>96.800000000000011</v>
      </c>
      <c r="G52" s="262"/>
    </row>
    <row r="53" spans="2:13" x14ac:dyDescent="0.25">
      <c r="B53" s="274"/>
      <c r="C53" s="266" t="s">
        <v>290</v>
      </c>
      <c r="D53" s="267"/>
      <c r="E53" s="268"/>
      <c r="F53" s="269">
        <f>F52*F48</f>
        <v>936136.93219223176</v>
      </c>
      <c r="G53" s="262"/>
    </row>
    <row r="54" spans="2:13" x14ac:dyDescent="0.25">
      <c r="B54" s="274"/>
      <c r="C54" s="272" t="s">
        <v>291</v>
      </c>
      <c r="D54" s="273"/>
      <c r="E54" s="268"/>
      <c r="F54" s="269">
        <f>F53*33%</f>
        <v>308925.1876234365</v>
      </c>
      <c r="G54" s="262"/>
    </row>
    <row r="55" spans="2:13" x14ac:dyDescent="0.25">
      <c r="B55" s="260"/>
      <c r="C55" s="266" t="s">
        <v>292</v>
      </c>
      <c r="D55" s="267"/>
      <c r="E55" s="268"/>
      <c r="F55" s="269">
        <f>F54+F51</f>
        <v>894470.13495720853</v>
      </c>
      <c r="G55" s="262"/>
    </row>
    <row r="56" spans="2:13" ht="14.4" thickBot="1" x14ac:dyDescent="0.3">
      <c r="B56" s="260"/>
      <c r="C56" s="275" t="s">
        <v>262</v>
      </c>
      <c r="D56" s="276"/>
      <c r="E56" s="277"/>
      <c r="F56" s="445">
        <v>900000</v>
      </c>
      <c r="G56" s="262"/>
    </row>
    <row r="57" spans="2:13" ht="14.4" thickBot="1" x14ac:dyDescent="0.3">
      <c r="B57" s="260"/>
      <c r="C57" s="261"/>
      <c r="D57" s="261"/>
      <c r="E57" s="261"/>
      <c r="F57" s="261"/>
      <c r="G57" s="262"/>
    </row>
    <row r="58" spans="2:13" ht="14.4" thickBot="1" x14ac:dyDescent="0.3">
      <c r="B58" s="260"/>
      <c r="C58" s="389" t="s">
        <v>293</v>
      </c>
      <c r="D58" s="390"/>
      <c r="E58" s="390"/>
      <c r="F58" s="391"/>
      <c r="G58" s="262"/>
      <c r="J58" s="383" t="s">
        <v>341</v>
      </c>
      <c r="K58" s="384"/>
      <c r="L58" s="384"/>
      <c r="M58" s="385"/>
    </row>
    <row r="59" spans="2:13" x14ac:dyDescent="0.25">
      <c r="B59" s="260"/>
      <c r="C59" s="266" t="s">
        <v>279</v>
      </c>
      <c r="D59" s="268">
        <f>E34</f>
        <v>303.8</v>
      </c>
      <c r="E59" s="267"/>
      <c r="F59" s="278"/>
      <c r="G59" s="262"/>
      <c r="J59" s="336" t="s">
        <v>340</v>
      </c>
      <c r="K59" s="337" t="s">
        <v>217</v>
      </c>
      <c r="L59" s="338" t="s">
        <v>271</v>
      </c>
      <c r="M59" s="339" t="s">
        <v>8</v>
      </c>
    </row>
    <row r="60" spans="2:13" x14ac:dyDescent="0.25">
      <c r="B60" s="260"/>
      <c r="C60" s="266" t="s">
        <v>294</v>
      </c>
      <c r="D60" s="279">
        <f>C1</f>
        <v>10000</v>
      </c>
      <c r="E60" s="280"/>
      <c r="F60" s="281"/>
      <c r="G60" s="262"/>
      <c r="J60" s="282" t="s">
        <v>342</v>
      </c>
      <c r="K60" s="268">
        <v>73</v>
      </c>
      <c r="L60" s="267">
        <v>4000</v>
      </c>
      <c r="M60" s="278">
        <f>K60*L60</f>
        <v>292000</v>
      </c>
    </row>
    <row r="61" spans="2:13" x14ac:dyDescent="0.25">
      <c r="B61" s="260"/>
      <c r="C61" s="282"/>
      <c r="D61" s="283"/>
      <c r="E61" s="280"/>
      <c r="F61" s="281"/>
      <c r="G61" s="262"/>
      <c r="J61" s="282"/>
      <c r="K61" s="268"/>
      <c r="L61" s="267"/>
      <c r="M61" s="278">
        <f>K61*L61</f>
        <v>0</v>
      </c>
    </row>
    <row r="62" spans="2:13" x14ac:dyDescent="0.25">
      <c r="B62" s="260"/>
      <c r="C62" s="284" t="s">
        <v>295</v>
      </c>
      <c r="D62" s="285">
        <f>D59*D60</f>
        <v>3038000</v>
      </c>
      <c r="E62" s="280"/>
      <c r="F62" s="281"/>
      <c r="G62" s="262"/>
      <c r="J62" s="282"/>
      <c r="K62" s="268"/>
      <c r="L62" s="267"/>
      <c r="M62" s="278"/>
    </row>
    <row r="63" spans="2:13" ht="14.4" thickBot="1" x14ac:dyDescent="0.3">
      <c r="B63" s="260"/>
      <c r="C63" s="286" t="s">
        <v>339</v>
      </c>
      <c r="D63" s="287">
        <f>D62*1.1</f>
        <v>3341800.0000000005</v>
      </c>
      <c r="E63" s="280"/>
      <c r="F63" s="281"/>
      <c r="G63" s="262"/>
      <c r="J63" s="289"/>
      <c r="K63" s="340"/>
      <c r="L63" s="276" t="s">
        <v>262</v>
      </c>
      <c r="M63" s="341">
        <v>300000</v>
      </c>
    </row>
    <row r="64" spans="2:13" x14ac:dyDescent="0.25">
      <c r="B64" s="260"/>
      <c r="C64" s="286" t="s">
        <v>345</v>
      </c>
      <c r="D64" s="287">
        <v>4000000</v>
      </c>
      <c r="E64" s="280"/>
      <c r="F64" s="281"/>
      <c r="G64" s="262"/>
    </row>
    <row r="65" spans="2:13" x14ac:dyDescent="0.25">
      <c r="B65" s="260" t="s">
        <v>286</v>
      </c>
      <c r="C65" s="266" t="s">
        <v>296</v>
      </c>
      <c r="D65" s="267">
        <f>M63</f>
        <v>300000</v>
      </c>
      <c r="E65" s="280"/>
      <c r="F65" s="269"/>
      <c r="G65" s="262"/>
    </row>
    <row r="66" spans="2:13" x14ac:dyDescent="0.25">
      <c r="B66" s="260"/>
      <c r="C66" s="266" t="s">
        <v>297</v>
      </c>
      <c r="D66" s="267">
        <f>D65+D64</f>
        <v>4300000</v>
      </c>
      <c r="E66" s="280"/>
      <c r="F66" s="269"/>
      <c r="G66" s="262"/>
    </row>
    <row r="67" spans="2:13" x14ac:dyDescent="0.25">
      <c r="B67" s="260"/>
      <c r="C67" s="270" t="s">
        <v>298</v>
      </c>
      <c r="D67" s="271">
        <f>D66*1.05</f>
        <v>4515000</v>
      </c>
      <c r="E67" s="280"/>
      <c r="F67" s="281"/>
      <c r="G67" s="262"/>
    </row>
    <row r="68" spans="2:13" x14ac:dyDescent="0.25">
      <c r="B68" s="260"/>
      <c r="C68" s="272" t="s">
        <v>262</v>
      </c>
      <c r="D68" s="273">
        <v>4500000</v>
      </c>
      <c r="E68" s="280"/>
      <c r="F68" s="281"/>
      <c r="G68" s="262"/>
    </row>
    <row r="69" spans="2:13" x14ac:dyDescent="0.25">
      <c r="B69" s="260" t="s">
        <v>343</v>
      </c>
      <c r="C69" s="270" t="s">
        <v>223</v>
      </c>
      <c r="D69" s="271">
        <f>D86</f>
        <v>650000</v>
      </c>
      <c r="E69" s="280"/>
      <c r="F69" s="281"/>
      <c r="G69" s="262"/>
    </row>
    <row r="70" spans="2:13" x14ac:dyDescent="0.25">
      <c r="B70" s="260"/>
      <c r="C70" s="282" t="s">
        <v>299</v>
      </c>
      <c r="D70" s="279">
        <f>F114</f>
        <v>350000</v>
      </c>
      <c r="E70" s="280"/>
      <c r="F70" s="281"/>
      <c r="G70" s="262"/>
    </row>
    <row r="71" spans="2:13" x14ac:dyDescent="0.25">
      <c r="B71" s="260"/>
      <c r="C71" s="272" t="s">
        <v>300</v>
      </c>
      <c r="D71" s="271">
        <f>D68-D69-D70</f>
        <v>3500000</v>
      </c>
      <c r="E71" s="280"/>
      <c r="F71" s="281"/>
      <c r="G71" s="262"/>
    </row>
    <row r="72" spans="2:13" x14ac:dyDescent="0.25">
      <c r="B72" s="260"/>
      <c r="C72" s="266" t="s">
        <v>144</v>
      </c>
      <c r="D72" s="273">
        <v>3500000</v>
      </c>
      <c r="E72" s="273"/>
      <c r="F72" s="288"/>
      <c r="G72" s="262"/>
    </row>
    <row r="73" spans="2:13" ht="14.4" thickBot="1" x14ac:dyDescent="0.3">
      <c r="B73" s="260"/>
      <c r="C73" s="289"/>
      <c r="D73" s="290"/>
      <c r="E73" s="290"/>
      <c r="F73" s="291"/>
      <c r="G73" s="292"/>
    </row>
    <row r="74" spans="2:13" ht="14.4" thickBot="1" x14ac:dyDescent="0.3">
      <c r="B74" s="260"/>
      <c r="C74" s="293"/>
      <c r="D74" s="294"/>
      <c r="E74" s="294"/>
      <c r="F74" s="294"/>
      <c r="G74" s="292"/>
    </row>
    <row r="75" spans="2:13" ht="14.4" thickBot="1" x14ac:dyDescent="0.3">
      <c r="B75" s="260"/>
      <c r="C75" s="389" t="s">
        <v>301</v>
      </c>
      <c r="D75" s="390"/>
      <c r="E75" s="390"/>
      <c r="F75" s="391"/>
      <c r="G75" s="292"/>
    </row>
    <row r="76" spans="2:13" ht="14.4" thickBot="1" x14ac:dyDescent="0.3">
      <c r="B76" s="260"/>
      <c r="C76" s="266" t="s">
        <v>302</v>
      </c>
      <c r="D76" s="295">
        <f>M86</f>
        <v>176.785</v>
      </c>
      <c r="E76" s="283"/>
      <c r="F76" s="296"/>
      <c r="G76" s="292"/>
      <c r="J76" s="383" t="s">
        <v>344</v>
      </c>
      <c r="K76" s="384"/>
      <c r="L76" s="384"/>
      <c r="M76" s="385"/>
    </row>
    <row r="77" spans="2:13" x14ac:dyDescent="0.25">
      <c r="B77" s="260"/>
      <c r="C77" s="266" t="s">
        <v>275</v>
      </c>
      <c r="D77" s="280">
        <v>1</v>
      </c>
      <c r="E77" s="283"/>
      <c r="F77" s="296"/>
      <c r="G77" s="292"/>
      <c r="J77" s="434" t="s">
        <v>267</v>
      </c>
      <c r="K77" s="430"/>
      <c r="L77" s="430"/>
      <c r="M77" s="296"/>
    </row>
    <row r="78" spans="2:13" x14ac:dyDescent="0.25">
      <c r="B78" s="260"/>
      <c r="C78" s="286" t="s">
        <v>303</v>
      </c>
      <c r="D78" s="297">
        <f>D76*D77</f>
        <v>176.785</v>
      </c>
      <c r="E78" s="283"/>
      <c r="F78" s="296"/>
      <c r="G78" s="298"/>
      <c r="J78" s="282" t="s">
        <v>268</v>
      </c>
      <c r="K78" s="430" t="s">
        <v>269</v>
      </c>
      <c r="L78" s="430" t="s">
        <v>21</v>
      </c>
      <c r="M78" s="296" t="s">
        <v>8</v>
      </c>
    </row>
    <row r="79" spans="2:13" x14ac:dyDescent="0.25">
      <c r="B79" s="260"/>
      <c r="C79" s="286"/>
      <c r="D79" s="297"/>
      <c r="E79" s="283"/>
      <c r="F79" s="296"/>
      <c r="G79" s="298"/>
      <c r="J79" s="282" t="s">
        <v>53</v>
      </c>
      <c r="K79" s="430">
        <f>350/2</f>
        <v>175</v>
      </c>
      <c r="L79" s="430">
        <v>1</v>
      </c>
      <c r="M79" s="296">
        <f>L79*K79</f>
        <v>175</v>
      </c>
    </row>
    <row r="80" spans="2:13" x14ac:dyDescent="0.25">
      <c r="B80" s="260"/>
      <c r="C80" s="286" t="s">
        <v>274</v>
      </c>
      <c r="D80" s="297">
        <f>E34</f>
        <v>303.8</v>
      </c>
      <c r="E80" s="283"/>
      <c r="F80" s="296"/>
      <c r="G80" s="298"/>
      <c r="J80" s="282" t="s">
        <v>65</v>
      </c>
      <c r="K80" s="430">
        <v>12</v>
      </c>
      <c r="L80" s="430">
        <v>0.9</v>
      </c>
      <c r="M80" s="296">
        <f t="shared" ref="M80:M83" si="1">L80*K80</f>
        <v>10.8</v>
      </c>
    </row>
    <row r="81" spans="2:13" x14ac:dyDescent="0.25">
      <c r="B81" s="260"/>
      <c r="C81" s="286"/>
      <c r="D81" s="297"/>
      <c r="E81" s="283"/>
      <c r="F81" s="296"/>
      <c r="G81" s="298"/>
      <c r="J81" s="282" t="s">
        <v>264</v>
      </c>
      <c r="K81" s="430">
        <f>45/2-K80</f>
        <v>10.5</v>
      </c>
      <c r="L81" s="430">
        <v>0.5</v>
      </c>
      <c r="M81" s="296">
        <f t="shared" si="1"/>
        <v>5.25</v>
      </c>
    </row>
    <row r="82" spans="2:13" x14ac:dyDescent="0.25">
      <c r="B82" s="260"/>
      <c r="C82" s="284" t="s">
        <v>304</v>
      </c>
      <c r="D82" s="299">
        <f>D80-D78</f>
        <v>127.01500000000001</v>
      </c>
      <c r="E82" s="283"/>
      <c r="F82" s="296"/>
      <c r="G82" s="298"/>
      <c r="J82" s="282" t="s">
        <v>270</v>
      </c>
      <c r="K82" s="430">
        <f>(K79+K80)/2+K81</f>
        <v>104</v>
      </c>
      <c r="L82" s="430" t="s">
        <v>210</v>
      </c>
      <c r="M82" s="296"/>
    </row>
    <row r="83" spans="2:13" x14ac:dyDescent="0.25">
      <c r="B83" s="260"/>
      <c r="C83" s="266" t="s">
        <v>305</v>
      </c>
      <c r="D83" s="300">
        <f>C1</f>
        <v>10000</v>
      </c>
      <c r="E83" s="283"/>
      <c r="F83" s="296"/>
      <c r="G83" s="298"/>
      <c r="J83" s="282" t="s">
        <v>51</v>
      </c>
      <c r="K83" s="430">
        <f>350-K82</f>
        <v>246</v>
      </c>
      <c r="L83" s="430">
        <v>0.25</v>
      </c>
      <c r="M83" s="296">
        <f t="shared" si="1"/>
        <v>61.5</v>
      </c>
    </row>
    <row r="84" spans="2:13" x14ac:dyDescent="0.25">
      <c r="B84" s="260"/>
      <c r="C84" s="266" t="s">
        <v>306</v>
      </c>
      <c r="D84" s="279">
        <f>D82*D83</f>
        <v>1270150.0000000002</v>
      </c>
      <c r="E84" s="283"/>
      <c r="F84" s="296"/>
      <c r="G84" s="298"/>
      <c r="J84" s="431" t="s">
        <v>8</v>
      </c>
      <c r="K84" s="432"/>
      <c r="L84" s="432"/>
      <c r="M84" s="296">
        <f>SUM(M79:M83)</f>
        <v>252.55</v>
      </c>
    </row>
    <row r="85" spans="2:13" x14ac:dyDescent="0.25">
      <c r="B85" s="260"/>
      <c r="C85" s="272" t="s">
        <v>223</v>
      </c>
      <c r="D85" s="301">
        <f>D84*50%</f>
        <v>635075.00000000012</v>
      </c>
      <c r="E85" s="283"/>
      <c r="F85" s="296"/>
      <c r="G85" s="298"/>
      <c r="J85" s="431" t="s">
        <v>275</v>
      </c>
      <c r="K85" s="432"/>
      <c r="L85" s="432"/>
      <c r="M85" s="296">
        <v>0.7</v>
      </c>
    </row>
    <row r="86" spans="2:13" ht="14.4" thickBot="1" x14ac:dyDescent="0.3">
      <c r="B86" s="260"/>
      <c r="C86" s="272" t="s">
        <v>307</v>
      </c>
      <c r="D86" s="301">
        <v>650000</v>
      </c>
      <c r="E86" s="283"/>
      <c r="F86" s="296"/>
      <c r="G86" s="298"/>
      <c r="J86" s="442" t="s">
        <v>276</v>
      </c>
      <c r="K86" s="433"/>
      <c r="L86" s="433"/>
      <c r="M86" s="443">
        <f>M85*M84</f>
        <v>176.785</v>
      </c>
    </row>
    <row r="87" spans="2:13" ht="14.4" thickBot="1" x14ac:dyDescent="0.3">
      <c r="B87" s="260"/>
      <c r="C87" s="289"/>
      <c r="D87" s="290"/>
      <c r="E87" s="290"/>
      <c r="F87" s="291"/>
      <c r="G87" s="298"/>
    </row>
    <row r="88" spans="2:13" ht="14.4" thickBot="1" x14ac:dyDescent="0.3">
      <c r="B88" s="260"/>
      <c r="C88" s="302"/>
      <c r="D88" s="294"/>
      <c r="E88" s="294"/>
      <c r="F88" s="294"/>
      <c r="G88" s="298"/>
    </row>
    <row r="89" spans="2:13" ht="14.4" thickBot="1" x14ac:dyDescent="0.3">
      <c r="B89" s="260"/>
      <c r="C89" s="389" t="s">
        <v>308</v>
      </c>
      <c r="D89" s="390"/>
      <c r="E89" s="390"/>
      <c r="F89" s="391"/>
      <c r="G89" s="298"/>
    </row>
    <row r="90" spans="2:13" ht="14.4" thickBot="1" x14ac:dyDescent="0.3">
      <c r="B90" s="260"/>
      <c r="C90" s="284" t="s">
        <v>309</v>
      </c>
      <c r="D90" s="271">
        <f>D68</f>
        <v>4500000</v>
      </c>
      <c r="E90" s="271"/>
      <c r="F90" s="303"/>
      <c r="G90" s="298"/>
    </row>
    <row r="91" spans="2:13" x14ac:dyDescent="0.25">
      <c r="B91" s="260"/>
      <c r="C91" s="284" t="s">
        <v>310</v>
      </c>
      <c r="D91" s="304">
        <v>0.5</v>
      </c>
      <c r="E91" s="271" t="s">
        <v>311</v>
      </c>
      <c r="F91" s="303"/>
      <c r="G91" s="298"/>
      <c r="J91" s="435" t="s">
        <v>272</v>
      </c>
      <c r="K91" s="436"/>
      <c r="L91" s="436"/>
      <c r="M91" s="437"/>
    </row>
    <row r="92" spans="2:13" x14ac:dyDescent="0.25">
      <c r="B92" s="260"/>
      <c r="C92" s="284" t="s">
        <v>312</v>
      </c>
      <c r="D92" s="271">
        <f>D65</f>
        <v>300000</v>
      </c>
      <c r="E92" s="271"/>
      <c r="F92" s="303"/>
      <c r="G92" s="298"/>
      <c r="J92" s="431" t="s">
        <v>273</v>
      </c>
      <c r="K92" s="432"/>
      <c r="L92" s="432"/>
      <c r="M92" s="444">
        <f>E16</f>
        <v>303.8</v>
      </c>
    </row>
    <row r="93" spans="2:13" x14ac:dyDescent="0.25">
      <c r="B93" s="260"/>
      <c r="C93" s="284" t="s">
        <v>313</v>
      </c>
      <c r="D93" s="271" t="s">
        <v>210</v>
      </c>
      <c r="E93" s="271"/>
      <c r="F93" s="303"/>
      <c r="G93" s="298"/>
      <c r="J93" s="431" t="s">
        <v>150</v>
      </c>
      <c r="K93" s="432"/>
      <c r="L93" s="432"/>
      <c r="M93" s="438">
        <f>M92-M86</f>
        <v>127.01500000000001</v>
      </c>
    </row>
    <row r="94" spans="2:13" x14ac:dyDescent="0.25">
      <c r="B94" s="260"/>
      <c r="C94" s="270" t="s">
        <v>314</v>
      </c>
      <c r="D94" s="271">
        <f>D86</f>
        <v>650000</v>
      </c>
      <c r="E94" s="271"/>
      <c r="F94" s="303"/>
      <c r="G94" s="298"/>
      <c r="J94" s="282" t="s">
        <v>151</v>
      </c>
      <c r="K94" s="430"/>
      <c r="L94" s="430"/>
      <c r="M94" s="439">
        <f>M93/2</f>
        <v>63.507500000000007</v>
      </c>
    </row>
    <row r="95" spans="2:13" x14ac:dyDescent="0.25">
      <c r="B95" s="260"/>
      <c r="C95" s="270" t="s">
        <v>315</v>
      </c>
      <c r="D95" s="271">
        <f>F56</f>
        <v>900000</v>
      </c>
      <c r="E95" s="271"/>
      <c r="F95" s="303"/>
      <c r="G95" s="298"/>
      <c r="J95" s="282" t="s">
        <v>271</v>
      </c>
      <c r="K95" s="430"/>
      <c r="L95" s="430"/>
      <c r="M95" s="440">
        <f>C1</f>
        <v>10000</v>
      </c>
    </row>
    <row r="96" spans="2:13" ht="14.4" thickBot="1" x14ac:dyDescent="0.3">
      <c r="B96" s="260"/>
      <c r="C96" s="270" t="s">
        <v>316</v>
      </c>
      <c r="D96" s="271">
        <f>270000/3</f>
        <v>90000</v>
      </c>
      <c r="E96" s="271"/>
      <c r="F96" s="303"/>
      <c r="G96" s="298"/>
      <c r="J96" s="321" t="s">
        <v>277</v>
      </c>
      <c r="K96" s="290"/>
      <c r="L96" s="290"/>
      <c r="M96" s="441">
        <f>M95*M94</f>
        <v>635075.00000000012</v>
      </c>
    </row>
    <row r="97" spans="2:7" x14ac:dyDescent="0.25">
      <c r="B97" s="260"/>
      <c r="C97" s="270" t="s">
        <v>211</v>
      </c>
      <c r="D97" s="271">
        <f>(D95+D96)*0.06</f>
        <v>59400</v>
      </c>
      <c r="E97" s="271"/>
      <c r="F97" s="303"/>
      <c r="G97" s="298"/>
    </row>
    <row r="98" spans="2:7" x14ac:dyDescent="0.25">
      <c r="B98" s="260"/>
      <c r="C98" s="270" t="s">
        <v>317</v>
      </c>
      <c r="D98" s="271">
        <f>D90-SUM(D92:D97)</f>
        <v>2500600</v>
      </c>
      <c r="E98" s="271"/>
      <c r="F98" s="303"/>
      <c r="G98" s="298"/>
    </row>
    <row r="99" spans="2:7" x14ac:dyDescent="0.25">
      <c r="B99" s="260"/>
      <c r="C99" s="270" t="s">
        <v>318</v>
      </c>
      <c r="D99" s="305">
        <f>E34</f>
        <v>303.8</v>
      </c>
      <c r="E99" s="271"/>
      <c r="F99" s="303"/>
      <c r="G99" s="298"/>
    </row>
    <row r="100" spans="2:7" x14ac:dyDescent="0.25">
      <c r="B100" s="260"/>
      <c r="C100" s="270" t="s">
        <v>319</v>
      </c>
      <c r="D100" s="305">
        <f>F111</f>
        <v>188.75</v>
      </c>
      <c r="E100" s="306"/>
      <c r="F100" s="303"/>
      <c r="G100" s="298"/>
    </row>
    <row r="101" spans="2:7" x14ac:dyDescent="0.25">
      <c r="B101" s="260"/>
      <c r="C101" s="270" t="s">
        <v>320</v>
      </c>
      <c r="D101" s="271">
        <f>E101*$C$421</f>
        <v>0</v>
      </c>
      <c r="E101" s="307">
        <f>D100/D99</f>
        <v>0.62129690585911779</v>
      </c>
      <c r="F101" s="303">
        <f>E101*D90</f>
        <v>2795836.0763660301</v>
      </c>
      <c r="G101" s="298"/>
    </row>
    <row r="102" spans="2:7" x14ac:dyDescent="0.25">
      <c r="B102" s="260"/>
      <c r="C102" s="270" t="s">
        <v>321</v>
      </c>
      <c r="D102" s="271">
        <f>E102*$C$421</f>
        <v>0</v>
      </c>
      <c r="E102" s="307">
        <f>1-E101</f>
        <v>0.37870309414088221</v>
      </c>
      <c r="F102" s="303">
        <f>D90-F101</f>
        <v>1704163.9236339699</v>
      </c>
      <c r="G102" s="298"/>
    </row>
    <row r="103" spans="2:7" x14ac:dyDescent="0.25">
      <c r="B103" s="260"/>
      <c r="C103" s="284" t="s">
        <v>322</v>
      </c>
      <c r="D103" s="271"/>
      <c r="E103" s="271"/>
      <c r="F103" s="303"/>
      <c r="G103" s="298"/>
    </row>
    <row r="104" spans="2:7" x14ac:dyDescent="0.25">
      <c r="B104" s="260"/>
      <c r="C104" s="270" t="s">
        <v>323</v>
      </c>
      <c r="D104" s="271"/>
      <c r="E104" s="271"/>
      <c r="F104" s="303"/>
      <c r="G104" s="298"/>
    </row>
    <row r="105" spans="2:7" x14ac:dyDescent="0.25">
      <c r="B105" s="260"/>
      <c r="C105" s="272" t="s">
        <v>324</v>
      </c>
      <c r="D105" s="308"/>
      <c r="E105" s="271"/>
      <c r="F105" s="303"/>
      <c r="G105" s="298"/>
    </row>
    <row r="106" spans="2:7" ht="15.6" x14ac:dyDescent="0.4">
      <c r="B106" s="260"/>
      <c r="C106" s="309" t="s">
        <v>268</v>
      </c>
      <c r="D106" s="310" t="s">
        <v>269</v>
      </c>
      <c r="E106" s="311" t="s">
        <v>21</v>
      </c>
      <c r="F106" s="312" t="s">
        <v>8</v>
      </c>
      <c r="G106" s="298"/>
    </row>
    <row r="107" spans="2:7" x14ac:dyDescent="0.25">
      <c r="B107" s="260"/>
      <c r="C107" s="270" t="s">
        <v>53</v>
      </c>
      <c r="D107" s="305">
        <v>85</v>
      </c>
      <c r="E107" s="305">
        <v>1</v>
      </c>
      <c r="F107" s="313">
        <f>E107*D107</f>
        <v>85</v>
      </c>
      <c r="G107" s="298"/>
    </row>
    <row r="108" spans="2:7" x14ac:dyDescent="0.25">
      <c r="B108" s="260"/>
      <c r="C108" s="272"/>
      <c r="D108" s="305"/>
      <c r="E108" s="314"/>
      <c r="F108" s="313">
        <f t="shared" ref="F108:F110" si="2">E108*D108</f>
        <v>0</v>
      </c>
      <c r="G108" s="298"/>
    </row>
    <row r="109" spans="2:7" x14ac:dyDescent="0.25">
      <c r="B109" s="260"/>
      <c r="C109" s="270"/>
      <c r="D109" s="305"/>
      <c r="E109" s="314"/>
      <c r="F109" s="313">
        <f t="shared" si="2"/>
        <v>0</v>
      </c>
      <c r="G109" s="298"/>
    </row>
    <row r="110" spans="2:7" x14ac:dyDescent="0.25">
      <c r="B110" s="260"/>
      <c r="C110" s="270" t="s">
        <v>51</v>
      </c>
      <c r="D110" s="305">
        <f>500-D107-D108-D109</f>
        <v>415</v>
      </c>
      <c r="E110" s="314">
        <v>0.25</v>
      </c>
      <c r="F110" s="313">
        <f t="shared" si="2"/>
        <v>103.75</v>
      </c>
      <c r="G110" s="298"/>
    </row>
    <row r="111" spans="2:7" x14ac:dyDescent="0.25">
      <c r="B111" s="260"/>
      <c r="C111" s="392" t="s">
        <v>325</v>
      </c>
      <c r="D111" s="393"/>
      <c r="E111" s="393"/>
      <c r="F111" s="315">
        <f>SUM(F107:F110)</f>
        <v>188.75</v>
      </c>
      <c r="G111" s="298"/>
    </row>
    <row r="112" spans="2:7" x14ac:dyDescent="0.25">
      <c r="B112" s="260"/>
      <c r="C112" s="270"/>
      <c r="D112" s="271"/>
      <c r="E112" s="271"/>
      <c r="F112" s="316"/>
      <c r="G112" s="298"/>
    </row>
    <row r="113" spans="2:7" x14ac:dyDescent="0.25">
      <c r="B113" s="260"/>
      <c r="C113" s="270" t="s">
        <v>326</v>
      </c>
      <c r="D113" s="306"/>
      <c r="E113" s="306"/>
      <c r="F113" s="317">
        <v>320881</v>
      </c>
      <c r="G113" s="298"/>
    </row>
    <row r="114" spans="2:7" x14ac:dyDescent="0.25">
      <c r="B114" s="260"/>
      <c r="C114" s="318" t="s">
        <v>327</v>
      </c>
      <c r="D114" s="319"/>
      <c r="E114" s="319"/>
      <c r="F114" s="320">
        <v>350000</v>
      </c>
      <c r="G114" s="298"/>
    </row>
    <row r="115" spans="2:7" x14ac:dyDescent="0.25">
      <c r="B115" s="260"/>
      <c r="C115" s="282"/>
      <c r="D115" s="283"/>
      <c r="E115" s="283"/>
      <c r="F115" s="296"/>
      <c r="G115" s="298"/>
    </row>
    <row r="116" spans="2:7" x14ac:dyDescent="0.25">
      <c r="B116" s="260"/>
      <c r="C116" s="282"/>
      <c r="D116" s="283"/>
      <c r="E116" s="283"/>
      <c r="F116" s="296"/>
      <c r="G116" s="298"/>
    </row>
    <row r="117" spans="2:7" x14ac:dyDescent="0.25">
      <c r="B117" s="260"/>
      <c r="C117" s="282" t="s">
        <v>328</v>
      </c>
      <c r="D117" s="283"/>
      <c r="E117" s="283"/>
      <c r="F117" s="296"/>
      <c r="G117" s="298"/>
    </row>
    <row r="118" spans="2:7" x14ac:dyDescent="0.25">
      <c r="B118" s="260"/>
      <c r="C118" s="282"/>
      <c r="D118" s="283"/>
      <c r="E118" s="283"/>
      <c r="F118" s="296"/>
      <c r="G118" s="298"/>
    </row>
    <row r="119" spans="2:7" x14ac:dyDescent="0.25">
      <c r="B119" s="260"/>
      <c r="C119" s="282"/>
      <c r="D119" s="283"/>
      <c r="E119" s="283"/>
      <c r="F119" s="296"/>
      <c r="G119" s="298"/>
    </row>
    <row r="120" spans="2:7" x14ac:dyDescent="0.25">
      <c r="B120" s="260"/>
      <c r="C120" s="282"/>
      <c r="D120" s="283"/>
      <c r="E120" s="283"/>
      <c r="F120" s="296"/>
      <c r="G120" s="298"/>
    </row>
    <row r="121" spans="2:7" x14ac:dyDescent="0.25">
      <c r="B121" s="260"/>
      <c r="C121" s="282"/>
      <c r="D121" s="283"/>
      <c r="E121" s="283"/>
      <c r="F121" s="296"/>
      <c r="G121" s="298"/>
    </row>
    <row r="122" spans="2:7" x14ac:dyDescent="0.25">
      <c r="B122" s="260"/>
      <c r="C122" s="282"/>
      <c r="D122" s="283"/>
      <c r="E122" s="283"/>
      <c r="F122" s="296"/>
      <c r="G122" s="298"/>
    </row>
    <row r="123" spans="2:7" x14ac:dyDescent="0.25">
      <c r="B123" s="260"/>
      <c r="C123" s="282"/>
      <c r="D123" s="283"/>
      <c r="E123" s="283"/>
      <c r="F123" s="296"/>
      <c r="G123" s="298"/>
    </row>
    <row r="124" spans="2:7" x14ac:dyDescent="0.25">
      <c r="B124" s="260"/>
      <c r="C124" s="282"/>
      <c r="D124" s="283"/>
      <c r="E124" s="283"/>
      <c r="F124" s="296"/>
      <c r="G124" s="298"/>
    </row>
    <row r="125" spans="2:7" x14ac:dyDescent="0.25">
      <c r="B125" s="260"/>
      <c r="C125" s="282"/>
      <c r="D125" s="283"/>
      <c r="E125" s="283"/>
      <c r="F125" s="296"/>
      <c r="G125" s="298"/>
    </row>
    <row r="126" spans="2:7" ht="14.4" thickBot="1" x14ac:dyDescent="0.3">
      <c r="B126" s="260"/>
      <c r="C126" s="321"/>
      <c r="D126" s="290"/>
      <c r="E126" s="290"/>
      <c r="F126" s="291"/>
      <c r="G126" s="298"/>
    </row>
    <row r="133" spans="2:3" ht="14.4" thickBot="1" x14ac:dyDescent="0.3"/>
    <row r="134" spans="2:3" ht="14.4" thickBot="1" x14ac:dyDescent="0.3">
      <c r="B134" s="452" t="s">
        <v>350</v>
      </c>
      <c r="C134" s="453"/>
    </row>
    <row r="135" spans="2:3" x14ac:dyDescent="0.25">
      <c r="B135" s="446" t="s">
        <v>16</v>
      </c>
      <c r="C135" s="447">
        <v>270000</v>
      </c>
    </row>
    <row r="136" spans="2:3" x14ac:dyDescent="0.25">
      <c r="B136" s="448" t="s">
        <v>346</v>
      </c>
      <c r="C136" s="449">
        <f>F56</f>
        <v>900000</v>
      </c>
    </row>
    <row r="137" spans="2:3" x14ac:dyDescent="0.25">
      <c r="B137" s="448" t="s">
        <v>211</v>
      </c>
      <c r="C137" s="449">
        <f>(C136+C135)*0.06</f>
        <v>70200</v>
      </c>
    </row>
    <row r="138" spans="2:3" ht="14.4" thickBot="1" x14ac:dyDescent="0.3">
      <c r="B138" s="450" t="s">
        <v>347</v>
      </c>
      <c r="C138" s="451">
        <f>SUM(C135:C137)</f>
        <v>1240200</v>
      </c>
    </row>
    <row r="140" spans="2:3" ht="14.4" thickBot="1" x14ac:dyDescent="0.3"/>
    <row r="141" spans="2:3" ht="14.4" thickBot="1" x14ac:dyDescent="0.3">
      <c r="B141" s="452" t="s">
        <v>351</v>
      </c>
      <c r="C141" s="453"/>
    </row>
    <row r="142" spans="2:3" x14ac:dyDescent="0.25">
      <c r="B142" s="454" t="s">
        <v>349</v>
      </c>
      <c r="C142" s="455">
        <f>D68</f>
        <v>4500000</v>
      </c>
    </row>
    <row r="143" spans="2:3" ht="14.4" thickBot="1" x14ac:dyDescent="0.3">
      <c r="B143" s="456" t="s">
        <v>348</v>
      </c>
      <c r="C143" s="457">
        <f>D72</f>
        <v>3500000</v>
      </c>
    </row>
  </sheetData>
  <mergeCells count="11">
    <mergeCell ref="J76:M76"/>
    <mergeCell ref="B134:C134"/>
    <mergeCell ref="B141:C141"/>
    <mergeCell ref="C75:F75"/>
    <mergeCell ref="C89:F89"/>
    <mergeCell ref="C111:E111"/>
    <mergeCell ref="B34:D34"/>
    <mergeCell ref="J58:M58"/>
    <mergeCell ref="B39:G39"/>
    <mergeCell ref="C42:F42"/>
    <mergeCell ref="C58:F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64"/>
  <sheetViews>
    <sheetView rightToLeft="1" topLeftCell="A42" zoomScale="160" zoomScaleNormal="160" workbookViewId="0">
      <selection activeCell="J61" sqref="J61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8.59765625" bestFit="1" customWidth="1"/>
    <col min="8" max="8" width="17.59765625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154</v>
      </c>
      <c r="C2" s="39"/>
      <c r="D2" s="130"/>
    </row>
    <row r="3" spans="2:13" x14ac:dyDescent="0.25">
      <c r="B3" t="s">
        <v>92</v>
      </c>
      <c r="C3" s="148"/>
      <c r="D3" s="148"/>
      <c r="G3" s="189"/>
      <c r="H3" s="148"/>
      <c r="I3" s="149"/>
      <c r="J3" s="149"/>
    </row>
    <row r="4" spans="2:13" x14ac:dyDescent="0.25">
      <c r="B4" t="s">
        <v>128</v>
      </c>
      <c r="C4" s="186"/>
      <c r="D4" s="38"/>
      <c r="G4" s="189"/>
      <c r="J4" s="149"/>
    </row>
    <row r="5" spans="2:13" x14ac:dyDescent="0.25">
      <c r="B5" t="s">
        <v>129</v>
      </c>
    </row>
    <row r="6" spans="2:13" x14ac:dyDescent="0.25">
      <c r="B6" t="s">
        <v>130</v>
      </c>
      <c r="C6" s="149"/>
      <c r="D6" s="148"/>
    </row>
    <row r="7" spans="2:13" x14ac:dyDescent="0.25">
      <c r="B7" t="s">
        <v>144</v>
      </c>
      <c r="C7" s="149">
        <f>I64</f>
        <v>9000</v>
      </c>
    </row>
    <row r="8" spans="2:13" x14ac:dyDescent="0.25">
      <c r="C8" s="149"/>
    </row>
    <row r="9" spans="2:13" x14ac:dyDescent="0.25">
      <c r="B9" s="39" t="s">
        <v>131</v>
      </c>
      <c r="C9" s="150"/>
    </row>
    <row r="10" spans="2:13" ht="15.6" x14ac:dyDescent="0.4">
      <c r="B10" s="39" t="s">
        <v>133</v>
      </c>
      <c r="C10" s="39" t="s">
        <v>132</v>
      </c>
      <c r="D10" s="130" t="s">
        <v>134</v>
      </c>
      <c r="E10" s="130" t="s">
        <v>135</v>
      </c>
      <c r="F10" s="130" t="s">
        <v>136</v>
      </c>
      <c r="G10" s="130" t="s">
        <v>137</v>
      </c>
      <c r="H10" s="188" t="s">
        <v>138</v>
      </c>
      <c r="I10" s="130" t="s">
        <v>139</v>
      </c>
      <c r="J10" s="130" t="s">
        <v>140</v>
      </c>
      <c r="K10" s="130" t="s">
        <v>141</v>
      </c>
      <c r="L10" s="130" t="s">
        <v>142</v>
      </c>
      <c r="M10" s="130" t="s">
        <v>143</v>
      </c>
    </row>
    <row r="11" spans="2:13" x14ac:dyDescent="0.25">
      <c r="B11" s="187"/>
    </row>
    <row r="13" spans="2:13" x14ac:dyDescent="0.25">
      <c r="C13" s="149"/>
    </row>
    <row r="14" spans="2:13" x14ac:dyDescent="0.25">
      <c r="C14" s="149"/>
    </row>
    <row r="15" spans="2:13" x14ac:dyDescent="0.25">
      <c r="B15" s="39"/>
    </row>
    <row r="16" spans="2:13" x14ac:dyDescent="0.25">
      <c r="C16" s="148"/>
    </row>
    <row r="17" spans="3:12" x14ac:dyDescent="0.25">
      <c r="C17" s="17"/>
    </row>
    <row r="19" spans="3:12" x14ac:dyDescent="0.25">
      <c r="C19" s="149"/>
    </row>
    <row r="20" spans="3:12" x14ac:dyDescent="0.25">
      <c r="C20" s="149"/>
    </row>
    <row r="21" spans="3:12" x14ac:dyDescent="0.25">
      <c r="C21" s="149"/>
    </row>
    <row r="32" spans="3:12" x14ac:dyDescent="0.25">
      <c r="H32" s="371" t="s">
        <v>252</v>
      </c>
      <c r="I32" s="371"/>
      <c r="J32" s="371"/>
      <c r="K32" s="371"/>
      <c r="L32" s="371"/>
    </row>
    <row r="33" spans="8:12" x14ac:dyDescent="0.25">
      <c r="H33" s="371"/>
      <c r="I33" s="371"/>
      <c r="J33" s="371"/>
      <c r="K33" s="371"/>
      <c r="L33" s="371"/>
    </row>
    <row r="54" spans="8:9" x14ac:dyDescent="0.25">
      <c r="H54" t="s">
        <v>253</v>
      </c>
      <c r="I54" s="148">
        <v>8600</v>
      </c>
    </row>
    <row r="55" spans="8:9" x14ac:dyDescent="0.25">
      <c r="H55" t="s">
        <v>254</v>
      </c>
      <c r="I55" s="148">
        <f>I54/0.97</f>
        <v>8865.9793814432996</v>
      </c>
    </row>
    <row r="56" spans="8:9" x14ac:dyDescent="0.25">
      <c r="H56" t="s">
        <v>255</v>
      </c>
      <c r="I56" s="258">
        <v>45323</v>
      </c>
    </row>
    <row r="57" spans="8:9" x14ac:dyDescent="0.25">
      <c r="H57" t="s">
        <v>256</v>
      </c>
      <c r="I57" s="259">
        <f>19/12</f>
        <v>1.5833333333333333</v>
      </c>
    </row>
    <row r="58" spans="8:9" x14ac:dyDescent="0.25">
      <c r="H58" t="s">
        <v>257</v>
      </c>
      <c r="I58">
        <v>1.07</v>
      </c>
    </row>
    <row r="59" spans="8:9" x14ac:dyDescent="0.25">
      <c r="H59" t="s">
        <v>258</v>
      </c>
      <c r="I59" s="259">
        <f>I58^I57</f>
        <v>1.1130747083176424</v>
      </c>
    </row>
    <row r="60" spans="8:9" x14ac:dyDescent="0.25">
      <c r="H60" t="s">
        <v>259</v>
      </c>
      <c r="I60" s="149">
        <f>I59*I55</f>
        <v>9868.4974139502319</v>
      </c>
    </row>
    <row r="61" spans="8:9" x14ac:dyDescent="0.25">
      <c r="H61" t="s">
        <v>338</v>
      </c>
      <c r="I61" s="149">
        <v>10000</v>
      </c>
    </row>
    <row r="62" spans="8:9" x14ac:dyDescent="0.25">
      <c r="H62" t="s">
        <v>260</v>
      </c>
      <c r="I62">
        <v>0.9</v>
      </c>
    </row>
    <row r="63" spans="8:9" x14ac:dyDescent="0.25">
      <c r="H63" t="s">
        <v>261</v>
      </c>
      <c r="I63" s="148">
        <f>I60*I62</f>
        <v>8881.6476725552093</v>
      </c>
    </row>
    <row r="64" spans="8:9" x14ac:dyDescent="0.25">
      <c r="H64" t="s">
        <v>262</v>
      </c>
      <c r="I64" s="148">
        <v>9000</v>
      </c>
    </row>
  </sheetData>
  <mergeCells count="1">
    <mergeCell ref="H32:L3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E3" sqref="E3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19" t="s">
        <v>33</v>
      </c>
      <c r="B2" s="191" t="s">
        <v>161</v>
      </c>
      <c r="C2" s="119" t="s">
        <v>162</v>
      </c>
      <c r="D2" s="92" t="s">
        <v>245</v>
      </c>
      <c r="E2" s="256" t="s">
        <v>247</v>
      </c>
      <c r="F2" s="92" t="s">
        <v>263</v>
      </c>
      <c r="G2" s="92" t="s">
        <v>249</v>
      </c>
      <c r="H2" s="257" t="s">
        <v>250</v>
      </c>
      <c r="I2" s="47"/>
      <c r="J2" s="116"/>
      <c r="K2" s="116"/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149</v>
      </c>
      <c r="B3" s="192"/>
      <c r="C3" s="120"/>
      <c r="D3" s="93">
        <v>73</v>
      </c>
      <c r="E3" s="143">
        <f>157+68</f>
        <v>225</v>
      </c>
      <c r="F3" s="93">
        <v>19</v>
      </c>
      <c r="G3" s="64">
        <v>82</v>
      </c>
      <c r="H3" s="64">
        <v>192</v>
      </c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91</v>
      </c>
      <c r="B4" s="192"/>
      <c r="C4" s="120"/>
      <c r="D4" s="93"/>
      <c r="E4" s="143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73</v>
      </c>
      <c r="B5" s="192"/>
      <c r="C5" s="120"/>
      <c r="D5" s="93"/>
      <c r="E5" s="143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145</v>
      </c>
      <c r="B6" s="192"/>
      <c r="C6" s="120"/>
      <c r="D6" s="93">
        <v>32</v>
      </c>
      <c r="E6" s="143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146</v>
      </c>
      <c r="B7" s="192"/>
      <c r="C7" s="120"/>
      <c r="D7" s="93"/>
      <c r="E7" s="64">
        <v>16</v>
      </c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147</v>
      </c>
      <c r="B8" s="192"/>
      <c r="C8" s="120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148</v>
      </c>
      <c r="B9" s="193"/>
      <c r="C9" s="208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48</v>
      </c>
      <c r="B10" s="194"/>
      <c r="C10" s="122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88</v>
      </c>
      <c r="B11" s="194"/>
      <c r="C11" s="122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84</v>
      </c>
      <c r="B12" s="195"/>
      <c r="C12" s="123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34</v>
      </c>
      <c r="B13" s="210"/>
      <c r="C13" s="209"/>
      <c r="D13" s="206">
        <f>SUM(D3:D12)</f>
        <v>105</v>
      </c>
      <c r="E13" s="200">
        <f>SUM(E3:E12)</f>
        <v>241</v>
      </c>
      <c r="F13" s="200">
        <f>SUM(F3:F12)</f>
        <v>19</v>
      </c>
      <c r="G13" s="200">
        <f>SUM(G3:G12)</f>
        <v>82</v>
      </c>
      <c r="H13" s="200">
        <f>SUM(H3:H12)</f>
        <v>192</v>
      </c>
      <c r="I13" s="201">
        <f t="shared" ref="I13:S13" si="0">SUM(I3:I12)</f>
        <v>0</v>
      </c>
      <c r="J13" s="201">
        <f t="shared" si="0"/>
        <v>0</v>
      </c>
      <c r="K13" s="201">
        <f t="shared" si="0"/>
        <v>0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35</v>
      </c>
      <c r="B14" s="191" t="s">
        <v>161</v>
      </c>
      <c r="C14" s="119" t="s">
        <v>162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251</v>
      </c>
      <c r="B15" s="196"/>
      <c r="C15" s="121"/>
      <c r="D15" s="52"/>
      <c r="E15" s="144"/>
      <c r="F15" s="52"/>
      <c r="G15" s="64"/>
      <c r="H15" s="64">
        <v>192</v>
      </c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246</v>
      </c>
      <c r="B16" s="196"/>
      <c r="C16" s="121"/>
      <c r="D16" s="52">
        <v>86.55</v>
      </c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248</v>
      </c>
      <c r="B17" s="196"/>
      <c r="C17" s="121"/>
      <c r="D17" s="52"/>
      <c r="E17" s="51">
        <f>173.53+18.65</f>
        <v>192.18</v>
      </c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 t="s">
        <v>196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1" t="s">
        <v>196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1" t="s">
        <v>195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6" t="s">
        <v>87</v>
      </c>
      <c r="B24" s="197"/>
      <c r="C24" s="126"/>
      <c r="D24" s="207">
        <f>SUM(D17:D23)</f>
        <v>0</v>
      </c>
      <c r="E24" s="118">
        <f>SUM(E17:E23)</f>
        <v>192.18</v>
      </c>
      <c r="F24" s="118">
        <f t="shared" ref="F24:S24" si="1">SUM(F15:F23)</f>
        <v>0</v>
      </c>
      <c r="G24" s="118">
        <f t="shared" si="1"/>
        <v>0</v>
      </c>
      <c r="H24" s="118">
        <f t="shared" si="1"/>
        <v>192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4" thickBot="1" x14ac:dyDescent="0.3">
      <c r="A25" s="124" t="s">
        <v>36</v>
      </c>
      <c r="B25" s="198"/>
      <c r="C25" s="124"/>
      <c r="D25" s="141">
        <f t="shared" ref="D25:S25" si="2">D13-D24</f>
        <v>105</v>
      </c>
      <c r="E25" s="137">
        <f t="shared" si="2"/>
        <v>48.819999999999993</v>
      </c>
      <c r="F25" s="137">
        <f t="shared" si="2"/>
        <v>19</v>
      </c>
      <c r="G25" s="137">
        <f t="shared" si="2"/>
        <v>82</v>
      </c>
      <c r="H25" s="137">
        <f t="shared" si="2"/>
        <v>0</v>
      </c>
      <c r="I25" s="137">
        <f t="shared" si="2"/>
        <v>0</v>
      </c>
      <c r="J25" s="137">
        <f t="shared" si="2"/>
        <v>0</v>
      </c>
      <c r="K25" s="137">
        <f t="shared" si="2"/>
        <v>0</v>
      </c>
      <c r="L25" s="137">
        <f t="shared" si="2"/>
        <v>0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25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25">
      <c r="A27" t="s">
        <v>85</v>
      </c>
      <c r="D27" s="135">
        <f>D8+D7</f>
        <v>0</v>
      </c>
      <c r="F27" s="73"/>
    </row>
    <row r="28" spans="1:19" x14ac:dyDescent="0.25">
      <c r="E28" s="91">
        <f>E3*9300*5%*7</f>
        <v>732375</v>
      </c>
      <c r="F28" s="66"/>
      <c r="G28" s="91"/>
      <c r="H28" s="91"/>
      <c r="K28" s="91"/>
    </row>
    <row r="29" spans="1:19" x14ac:dyDescent="0.25">
      <c r="E29" s="38">
        <f>375-E24-F24-I24</f>
        <v>182.82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37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-105</v>
      </c>
      <c r="G32" s="72"/>
      <c r="H32" s="72"/>
      <c r="L32" s="91"/>
    </row>
    <row r="33" spans="1:10" x14ac:dyDescent="0.25">
      <c r="A33" t="s">
        <v>15</v>
      </c>
      <c r="E33" s="17">
        <f>-E13</f>
        <v>-241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-346</v>
      </c>
      <c r="J35" s="72"/>
    </row>
    <row r="36" spans="1:10" x14ac:dyDescent="0.25">
      <c r="A36" t="s">
        <v>38</v>
      </c>
      <c r="E36" s="38">
        <v>375</v>
      </c>
      <c r="H36" s="91"/>
    </row>
    <row r="37" spans="1:10" x14ac:dyDescent="0.25">
      <c r="A37" s="40" t="s">
        <v>39</v>
      </c>
      <c r="B37" s="40"/>
      <c r="C37" s="40"/>
      <c r="D37" s="40"/>
      <c r="E37" s="23">
        <f>SUM(E35:E36)</f>
        <v>29</v>
      </c>
    </row>
    <row r="38" spans="1:10" x14ac:dyDescent="0.25">
      <c r="A38" t="s">
        <v>40</v>
      </c>
      <c r="E38" s="17">
        <f>-E24-F24-I24</f>
        <v>-192.18</v>
      </c>
    </row>
    <row r="39" spans="1:10" x14ac:dyDescent="0.25">
      <c r="A39" s="40" t="s">
        <v>41</v>
      </c>
      <c r="B39" s="40"/>
      <c r="C39" s="40"/>
      <c r="D39" s="40"/>
      <c r="E39" s="70">
        <f>SUM(E37:E38)</f>
        <v>-163.18</v>
      </c>
    </row>
    <row r="43" spans="1:10" x14ac:dyDescent="0.25">
      <c r="A43" s="129" t="s">
        <v>74</v>
      </c>
      <c r="B43" s="129"/>
      <c r="C43" s="129"/>
    </row>
    <row r="44" spans="1:10" ht="15.6" x14ac:dyDescent="0.4">
      <c r="A44" s="39" t="s">
        <v>75</v>
      </c>
      <c r="B44" s="39"/>
      <c r="C44" s="39"/>
      <c r="D44" s="39" t="s">
        <v>77</v>
      </c>
      <c r="E44" s="130" t="s">
        <v>78</v>
      </c>
      <c r="F44" s="39" t="s">
        <v>81</v>
      </c>
      <c r="G44" s="39"/>
      <c r="H44" s="17"/>
      <c r="I44" s="17"/>
    </row>
    <row r="45" spans="1:10" x14ac:dyDescent="0.25">
      <c r="A45" t="s">
        <v>42</v>
      </c>
      <c r="F45" s="91">
        <f>E45-D45</f>
        <v>0</v>
      </c>
    </row>
    <row r="46" spans="1:10" x14ac:dyDescent="0.25">
      <c r="A46" t="s">
        <v>76</v>
      </c>
      <c r="F46" s="91">
        <f>E46-D46</f>
        <v>0</v>
      </c>
    </row>
    <row r="47" spans="1:10" x14ac:dyDescent="0.25">
      <c r="A47" s="107" t="s">
        <v>79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5.6" x14ac:dyDescent="0.4">
      <c r="A49" s="39" t="s">
        <v>80</v>
      </c>
      <c r="B49" s="39"/>
      <c r="C49" s="39"/>
      <c r="D49" s="39" t="s">
        <v>77</v>
      </c>
      <c r="E49" s="130" t="s">
        <v>78</v>
      </c>
      <c r="F49" s="39" t="s">
        <v>81</v>
      </c>
    </row>
    <row r="50" spans="1:10" x14ac:dyDescent="0.25">
      <c r="A50" t="s">
        <v>42</v>
      </c>
      <c r="F50" s="91">
        <f>E50-D50</f>
        <v>0</v>
      </c>
      <c r="G50" s="39"/>
      <c r="J50" s="17"/>
    </row>
    <row r="51" spans="1:10" x14ac:dyDescent="0.25">
      <c r="A51" t="s">
        <v>76</v>
      </c>
      <c r="F51" s="91">
        <f>E51-D51</f>
        <v>0</v>
      </c>
    </row>
    <row r="52" spans="1:10" x14ac:dyDescent="0.25">
      <c r="A52" s="107" t="s">
        <v>79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25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25">
      <c r="G58" s="39"/>
      <c r="J58" s="17"/>
    </row>
    <row r="60" spans="1:10" x14ac:dyDescent="0.25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6"/>
  <sheetViews>
    <sheetView rightToLeft="1" zoomScale="175" zoomScaleNormal="175" workbookViewId="0">
      <selection activeCell="E5" sqref="E5"/>
    </sheetView>
  </sheetViews>
  <sheetFormatPr defaultRowHeight="13.8" x14ac:dyDescent="0.25"/>
  <cols>
    <col min="1" max="1" width="9.8984375" bestFit="1" customWidth="1"/>
    <col min="2" max="2" width="11.5" bestFit="1" customWidth="1"/>
    <col min="3" max="3" width="9.8984375" bestFit="1" customWidth="1"/>
  </cols>
  <sheetData>
    <row r="2" spans="1:5" x14ac:dyDescent="0.25">
      <c r="A2" s="39" t="s">
        <v>165</v>
      </c>
      <c r="B2" s="39" t="s">
        <v>166</v>
      </c>
      <c r="C2" s="39" t="s">
        <v>133</v>
      </c>
      <c r="D2" s="39" t="s">
        <v>167</v>
      </c>
    </row>
    <row r="3" spans="1:5" x14ac:dyDescent="0.25">
      <c r="A3" t="s">
        <v>168</v>
      </c>
      <c r="B3" t="s">
        <v>240</v>
      </c>
      <c r="C3" s="187">
        <v>45254</v>
      </c>
      <c r="D3" t="s">
        <v>242</v>
      </c>
      <c r="E3" t="s">
        <v>241</v>
      </c>
    </row>
    <row r="4" spans="1:5" x14ac:dyDescent="0.25">
      <c r="A4" t="s">
        <v>244</v>
      </c>
      <c r="B4" t="s">
        <v>243</v>
      </c>
      <c r="C4" s="187">
        <v>38684</v>
      </c>
      <c r="D4">
        <v>500</v>
      </c>
      <c r="E4" t="s">
        <v>171</v>
      </c>
    </row>
    <row r="5" spans="1:5" x14ac:dyDescent="0.25">
      <c r="A5" t="s">
        <v>168</v>
      </c>
      <c r="B5" t="s">
        <v>238</v>
      </c>
      <c r="C5" s="187">
        <v>31200</v>
      </c>
      <c r="D5" s="211">
        <v>350</v>
      </c>
      <c r="E5" t="s">
        <v>239</v>
      </c>
    </row>
    <row r="6" spans="1:5" x14ac:dyDescent="0.25">
      <c r="A6" t="s">
        <v>168</v>
      </c>
      <c r="B6" t="s">
        <v>236</v>
      </c>
      <c r="C6" s="187">
        <v>22881</v>
      </c>
      <c r="D6">
        <v>200</v>
      </c>
      <c r="E6" t="s">
        <v>237</v>
      </c>
    </row>
  </sheetData>
  <autoFilter ref="A2:F5" xr:uid="{3056B9E0-6524-4EBC-9BE5-F818961ABBE2}">
    <sortState xmlns:xlrd2="http://schemas.microsoft.com/office/spreadsheetml/2017/richdata2" ref="A3:F5">
      <sortCondition descending="1" ref="C2:C5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407" t="s">
        <v>117</v>
      </c>
      <c r="C2" s="408"/>
      <c r="D2" s="408"/>
      <c r="E2" s="408"/>
      <c r="F2" s="409"/>
    </row>
    <row r="3" spans="2:10" ht="14.4" thickBot="1" x14ac:dyDescent="0.3">
      <c r="B3" s="151" t="s">
        <v>47</v>
      </c>
      <c r="C3" s="410" t="s">
        <v>42</v>
      </c>
      <c r="D3" s="411"/>
      <c r="E3" s="410" t="s">
        <v>99</v>
      </c>
      <c r="F3" s="412"/>
    </row>
    <row r="4" spans="2:10" x14ac:dyDescent="0.25">
      <c r="B4" s="166" t="s">
        <v>100</v>
      </c>
      <c r="C4" s="403">
        <v>0</v>
      </c>
      <c r="D4" s="429"/>
      <c r="E4" s="403">
        <v>0</v>
      </c>
      <c r="F4" s="404"/>
    </row>
    <row r="5" spans="2:10" x14ac:dyDescent="0.25">
      <c r="B5" s="171" t="s">
        <v>101</v>
      </c>
      <c r="C5" s="403">
        <v>140000</v>
      </c>
      <c r="D5" s="429"/>
      <c r="E5" s="403">
        <f>6000*2</f>
        <v>12000</v>
      </c>
      <c r="F5" s="404"/>
    </row>
    <row r="6" spans="2:10" ht="27.6" x14ac:dyDescent="0.25">
      <c r="B6" s="171" t="s">
        <v>113</v>
      </c>
      <c r="C6" s="403">
        <f>46500*7</f>
        <v>325500</v>
      </c>
      <c r="D6" s="429"/>
      <c r="E6" s="403">
        <v>0</v>
      </c>
      <c r="F6" s="404"/>
    </row>
    <row r="7" spans="2:10" x14ac:dyDescent="0.25">
      <c r="B7" s="171" t="s">
        <v>102</v>
      </c>
      <c r="C7" s="403">
        <f>13000*7</f>
        <v>91000</v>
      </c>
      <c r="D7" s="429"/>
      <c r="E7" s="403">
        <f>4000*7</f>
        <v>28000</v>
      </c>
      <c r="F7" s="404"/>
    </row>
    <row r="8" spans="2:10" ht="14.4" thickBot="1" x14ac:dyDescent="0.3">
      <c r="B8" s="157" t="s">
        <v>103</v>
      </c>
      <c r="C8" s="403">
        <f>65000*7</f>
        <v>455000</v>
      </c>
      <c r="D8" s="429"/>
      <c r="E8" s="403">
        <v>50000</v>
      </c>
      <c r="F8" s="404"/>
      <c r="J8" t="s">
        <v>163</v>
      </c>
    </row>
    <row r="9" spans="2:10" ht="14.4" thickBot="1" x14ac:dyDescent="0.3">
      <c r="B9" s="407" t="s">
        <v>116</v>
      </c>
      <c r="C9" s="408"/>
      <c r="D9" s="408"/>
      <c r="E9" s="408"/>
      <c r="F9" s="409"/>
      <c r="J9" t="s">
        <v>164</v>
      </c>
    </row>
    <row r="10" spans="2:10" ht="16.2" thickBot="1" x14ac:dyDescent="0.3">
      <c r="B10" s="152" t="s">
        <v>111</v>
      </c>
      <c r="C10" s="153" t="s">
        <v>109</v>
      </c>
      <c r="D10" s="154" t="s">
        <v>106</v>
      </c>
      <c r="E10" s="155" t="s">
        <v>107</v>
      </c>
      <c r="F10" s="156" t="s">
        <v>108</v>
      </c>
    </row>
    <row r="11" spans="2:10" x14ac:dyDescent="0.25">
      <c r="B11" s="166" t="s">
        <v>100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101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104</v>
      </c>
      <c r="C13" s="405" t="s">
        <v>110</v>
      </c>
      <c r="D13" s="405"/>
      <c r="E13" s="405"/>
      <c r="F13" s="406"/>
    </row>
    <row r="14" spans="2:10" x14ac:dyDescent="0.25">
      <c r="B14" s="181" t="s">
        <v>102</v>
      </c>
      <c r="C14" s="405" t="s">
        <v>112</v>
      </c>
      <c r="D14" s="405"/>
      <c r="E14" s="405"/>
      <c r="F14" s="406"/>
    </row>
    <row r="15" spans="2:10" ht="14.4" thickBot="1" x14ac:dyDescent="0.3">
      <c r="B15" s="157" t="s">
        <v>103</v>
      </c>
      <c r="C15" s="423" t="s">
        <v>114</v>
      </c>
      <c r="D15" s="424"/>
      <c r="E15" s="424"/>
      <c r="F15" s="425"/>
    </row>
    <row r="16" spans="2:10" ht="14.4" thickBot="1" x14ac:dyDescent="0.3"/>
    <row r="17" spans="2:6" ht="14.4" thickBot="1" x14ac:dyDescent="0.3">
      <c r="B17" s="407" t="s">
        <v>98</v>
      </c>
      <c r="C17" s="408"/>
      <c r="D17" s="408"/>
      <c r="E17" s="408"/>
      <c r="F17" s="409"/>
    </row>
    <row r="18" spans="2:6" ht="14.4" thickBot="1" x14ac:dyDescent="0.3">
      <c r="B18" s="151" t="s">
        <v>105</v>
      </c>
      <c r="C18" s="410" t="s">
        <v>42</v>
      </c>
      <c r="D18" s="411"/>
      <c r="E18" s="410" t="s">
        <v>99</v>
      </c>
      <c r="F18" s="412"/>
    </row>
    <row r="19" spans="2:6" x14ac:dyDescent="0.25">
      <c r="B19" s="166" t="s">
        <v>100</v>
      </c>
      <c r="C19" s="426">
        <v>0</v>
      </c>
      <c r="D19" s="427"/>
      <c r="E19" s="426">
        <v>0</v>
      </c>
      <c r="F19" s="428"/>
    </row>
    <row r="20" spans="2:6" x14ac:dyDescent="0.25">
      <c r="B20" s="171" t="s">
        <v>101</v>
      </c>
      <c r="C20" s="415">
        <v>70000</v>
      </c>
      <c r="D20" s="416"/>
      <c r="E20" s="417">
        <f>6000*7</f>
        <v>42000</v>
      </c>
      <c r="F20" s="418"/>
    </row>
    <row r="21" spans="2:6" x14ac:dyDescent="0.25">
      <c r="B21" s="175" t="s">
        <v>104</v>
      </c>
      <c r="C21" s="415">
        <f>46500*7</f>
        <v>325500</v>
      </c>
      <c r="D21" s="416"/>
      <c r="E21" s="415">
        <v>0</v>
      </c>
      <c r="F21" s="419"/>
    </row>
    <row r="22" spans="2:6" x14ac:dyDescent="0.25">
      <c r="B22" s="171" t="s">
        <v>102</v>
      </c>
      <c r="C22" s="415">
        <f>13000*7</f>
        <v>91000</v>
      </c>
      <c r="D22" s="416"/>
      <c r="E22" s="415">
        <f>4000*7</f>
        <v>28000</v>
      </c>
      <c r="F22" s="419"/>
    </row>
    <row r="23" spans="2:6" ht="14.4" thickBot="1" x14ac:dyDescent="0.3">
      <c r="B23" s="157" t="s">
        <v>103</v>
      </c>
      <c r="C23" s="420">
        <f>65000*7</f>
        <v>455000</v>
      </c>
      <c r="D23" s="421"/>
      <c r="E23" s="420">
        <f>7000*7</f>
        <v>49000</v>
      </c>
      <c r="F23" s="422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111</v>
      </c>
      <c r="C25" s="153" t="s">
        <v>109</v>
      </c>
      <c r="D25" s="154" t="s">
        <v>106</v>
      </c>
      <c r="E25" s="155" t="s">
        <v>107</v>
      </c>
      <c r="F25" s="156" t="s">
        <v>108</v>
      </c>
    </row>
    <row r="26" spans="2:6" x14ac:dyDescent="0.25">
      <c r="B26" s="166" t="s">
        <v>100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101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104</v>
      </c>
      <c r="C28" s="413" t="s">
        <v>110</v>
      </c>
      <c r="D28" s="413"/>
      <c r="E28" s="413"/>
      <c r="F28" s="414"/>
    </row>
    <row r="29" spans="2:6" x14ac:dyDescent="0.25">
      <c r="B29" s="171" t="s">
        <v>102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103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407" t="s">
        <v>115</v>
      </c>
      <c r="C35" s="408"/>
      <c r="D35" s="408"/>
      <c r="E35" s="408"/>
      <c r="F35" s="409"/>
    </row>
    <row r="36" spans="2:6" ht="14.4" thickBot="1" x14ac:dyDescent="0.3">
      <c r="B36" s="151" t="s">
        <v>118</v>
      </c>
      <c r="C36" s="410" t="s">
        <v>42</v>
      </c>
      <c r="D36" s="411"/>
      <c r="E36" s="410" t="s">
        <v>99</v>
      </c>
      <c r="F36" s="412"/>
    </row>
    <row r="37" spans="2:6" x14ac:dyDescent="0.25">
      <c r="B37" s="166" t="s">
        <v>119</v>
      </c>
      <c r="C37" s="394" t="s">
        <v>122</v>
      </c>
      <c r="D37" s="395"/>
      <c r="E37" s="395"/>
      <c r="F37" s="396"/>
    </row>
    <row r="38" spans="2:6" x14ac:dyDescent="0.25">
      <c r="B38" s="171" t="s">
        <v>120</v>
      </c>
      <c r="C38" s="397" t="s">
        <v>121</v>
      </c>
      <c r="D38" s="398"/>
      <c r="E38" s="398"/>
      <c r="F38" s="399"/>
    </row>
    <row r="39" spans="2:6" x14ac:dyDescent="0.25">
      <c r="B39" s="171" t="s">
        <v>123</v>
      </c>
      <c r="C39" s="397" t="s">
        <v>124</v>
      </c>
      <c r="D39" s="398"/>
      <c r="E39" s="398"/>
      <c r="F39" s="399"/>
    </row>
    <row r="40" spans="2:6" ht="14.4" thickBot="1" x14ac:dyDescent="0.3">
      <c r="B40" s="157" t="s">
        <v>125</v>
      </c>
      <c r="C40" s="400" t="s">
        <v>126</v>
      </c>
      <c r="D40" s="401"/>
      <c r="E40" s="401"/>
      <c r="F40" s="402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170</v>
      </c>
      <c r="B2" t="s">
        <v>171</v>
      </c>
    </row>
    <row r="3" spans="1:14" x14ac:dyDescent="0.25">
      <c r="B3" t="s">
        <v>42</v>
      </c>
    </row>
    <row r="7" spans="1:14" x14ac:dyDescent="0.25">
      <c r="N7" t="s">
        <v>172</v>
      </c>
    </row>
    <row r="8" spans="1:14" x14ac:dyDescent="0.25">
      <c r="A8" t="s">
        <v>173</v>
      </c>
      <c r="N8" t="s">
        <v>174</v>
      </c>
    </row>
    <row r="9" spans="1:14" x14ac:dyDescent="0.25">
      <c r="A9" t="s">
        <v>175</v>
      </c>
      <c r="D9" s="212" t="s">
        <v>176</v>
      </c>
      <c r="E9" s="212"/>
      <c r="N9" t="s">
        <v>177</v>
      </c>
    </row>
    <row r="10" spans="1:14" x14ac:dyDescent="0.25">
      <c r="N10" t="s">
        <v>178</v>
      </c>
    </row>
    <row r="15" spans="1:14" x14ac:dyDescent="0.25">
      <c r="A15" t="s">
        <v>179</v>
      </c>
      <c r="B15" t="s">
        <v>180</v>
      </c>
    </row>
    <row r="19" spans="1:12" x14ac:dyDescent="0.25">
      <c r="A19" s="39" t="s">
        <v>181</v>
      </c>
      <c r="B19" s="39" t="s">
        <v>172</v>
      </c>
      <c r="C19" s="39" t="s">
        <v>77</v>
      </c>
      <c r="D19" s="39" t="s">
        <v>182</v>
      </c>
      <c r="E19" s="39" t="s">
        <v>183</v>
      </c>
      <c r="F19" s="39" t="s">
        <v>184</v>
      </c>
      <c r="G19" s="39" t="s">
        <v>21</v>
      </c>
      <c r="H19" s="39" t="s">
        <v>185</v>
      </c>
      <c r="I19" s="39" t="s">
        <v>186</v>
      </c>
      <c r="J19" s="39" t="s">
        <v>187</v>
      </c>
      <c r="K19" s="39" t="s">
        <v>188</v>
      </c>
      <c r="L19" s="39" t="s">
        <v>189</v>
      </c>
    </row>
    <row r="20" spans="1:12" x14ac:dyDescent="0.25">
      <c r="A20" t="s">
        <v>190</v>
      </c>
      <c r="H20" s="148">
        <f>'תחשיב לפי שווי שומה (2)'!B8</f>
        <v>9000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191</v>
      </c>
      <c r="H21" s="149">
        <f>H20</f>
        <v>9000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192</v>
      </c>
      <c r="H22" s="149">
        <f>H21</f>
        <v>9000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193</v>
      </c>
      <c r="H23" s="149">
        <f>H22</f>
        <v>9000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194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שווי מגרש ברוטו נטו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2025-11-17T09:57:17Z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