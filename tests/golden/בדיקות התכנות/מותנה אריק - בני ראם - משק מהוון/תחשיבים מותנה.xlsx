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מותנה אריק - בני ראם/פרוייקט בדיקת התכנות/בדיקת התכנות/"/>
    </mc:Choice>
  </mc:AlternateContent>
  <xr:revisionPtr revIDLastSave="651" documentId="8_{E9A5D54E-385F-4F6C-AF2C-D62B03C85759}" xr6:coauthVersionLast="47" xr6:coauthVersionMax="47" xr10:uidLastSave="{FC20C12A-31A3-4530-A106-2FA60F8D170B}"/>
  <bookViews>
    <workbookView xWindow="-110" yWindow="-110" windowWidth="34620" windowHeight="13900" activeTab="4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2" i="4" l="1"/>
  <c r="L71" i="4"/>
  <c r="F77" i="4"/>
  <c r="L93" i="4"/>
  <c r="L87" i="4"/>
  <c r="M82" i="4"/>
  <c r="M81" i="4"/>
  <c r="O79" i="4"/>
  <c r="M79" i="4"/>
  <c r="F83" i="4"/>
  <c r="F82" i="4"/>
  <c r="M38" i="4"/>
  <c r="M36" i="4"/>
  <c r="J16" i="4"/>
  <c r="J86" i="3"/>
  <c r="F92" i="3"/>
  <c r="D92" i="3"/>
  <c r="D89" i="3"/>
  <c r="D87" i="3"/>
  <c r="D85" i="3"/>
  <c r="D83" i="3"/>
  <c r="L3" i="8"/>
  <c r="F3" i="4"/>
  <c r="I80" i="4"/>
  <c r="I82" i="4" s="1"/>
  <c r="I83" i="4" s="1"/>
  <c r="F80" i="4"/>
  <c r="I70" i="4"/>
  <c r="I69" i="4"/>
  <c r="F70" i="4"/>
  <c r="A70" i="4" s="1"/>
  <c r="H71" i="4"/>
  <c r="G71" i="4"/>
  <c r="I71" i="4" s="1"/>
  <c r="I74" i="4" s="1"/>
  <c r="J70" i="4"/>
  <c r="E70" i="4"/>
  <c r="E71" i="4" s="1"/>
  <c r="E15" i="4"/>
  <c r="D15" i="4"/>
  <c r="D69" i="4"/>
  <c r="D71" i="4" s="1"/>
  <c r="F71" i="4" s="1"/>
  <c r="F69" i="4" l="1"/>
  <c r="A69" i="4" s="1"/>
  <c r="A71" i="4" s="1"/>
  <c r="B59" i="4"/>
  <c r="B61" i="4" s="1"/>
  <c r="H24" i="4"/>
  <c r="C67" i="5"/>
  <c r="C65" i="5"/>
  <c r="C64" i="5"/>
  <c r="D28" i="5"/>
  <c r="E28" i="5" s="1"/>
  <c r="D27" i="5"/>
  <c r="J27" i="5"/>
  <c r="J28" i="5"/>
  <c r="K28" i="5"/>
  <c r="I25" i="5"/>
  <c r="K25" i="5" s="1"/>
  <c r="K24" i="5"/>
  <c r="E25" i="5"/>
  <c r="C25" i="5"/>
  <c r="I30" i="5"/>
  <c r="K30" i="5" s="1"/>
  <c r="C30" i="5"/>
  <c r="E30" i="5" s="1"/>
  <c r="I27" i="5"/>
  <c r="C27" i="5"/>
  <c r="E27" i="5" s="1"/>
  <c r="K26" i="5"/>
  <c r="E26" i="5"/>
  <c r="E24" i="5"/>
  <c r="L23" i="5"/>
  <c r="I31" i="5" s="1"/>
  <c r="K31" i="5" s="1"/>
  <c r="F23" i="5"/>
  <c r="C31" i="5" s="1"/>
  <c r="E31" i="5" s="1"/>
  <c r="J15" i="5"/>
  <c r="E15" i="5"/>
  <c r="J14" i="5"/>
  <c r="E14" i="5"/>
  <c r="E6" i="4"/>
  <c r="D6" i="4"/>
  <c r="D3" i="4"/>
  <c r="J71" i="4" s="1"/>
  <c r="F81" i="4" s="1"/>
  <c r="F3" i="8"/>
  <c r="H7" i="8"/>
  <c r="G7" i="8"/>
  <c r="F7" i="8"/>
  <c r="S56" i="3"/>
  <c r="W54" i="3"/>
  <c r="U54" i="3"/>
  <c r="Y54" i="3" s="1"/>
  <c r="U52" i="3"/>
  <c r="Y52" i="3" s="1"/>
  <c r="S51" i="3"/>
  <c r="S53" i="3" s="1"/>
  <c r="S55" i="3" s="1"/>
  <c r="S57" i="3" s="1"/>
  <c r="U50" i="3"/>
  <c r="S50" i="3"/>
  <c r="S49" i="3"/>
  <c r="U49" i="3" s="1"/>
  <c r="S48" i="3"/>
  <c r="U48" i="3" s="1"/>
  <c r="S47" i="3"/>
  <c r="W47" i="3" s="1"/>
  <c r="W58" i="3" s="1"/>
  <c r="G49" i="3"/>
  <c r="N16" i="10"/>
  <c r="N20" i="10" s="1"/>
  <c r="J14" i="10"/>
  <c r="L12" i="10"/>
  <c r="J12" i="10"/>
  <c r="D36" i="3"/>
  <c r="D33" i="3"/>
  <c r="L24" i="9"/>
  <c r="J24" i="9"/>
  <c r="L23" i="9"/>
  <c r="L22" i="9"/>
  <c r="L21" i="9"/>
  <c r="L20" i="9"/>
  <c r="C42" i="6"/>
  <c r="B8" i="6"/>
  <c r="H20" i="9" s="1"/>
  <c r="H21" i="9" s="1"/>
  <c r="K27" i="5" l="1"/>
  <c r="K15" i="5"/>
  <c r="M15" i="5" s="1"/>
  <c r="K33" i="5" s="1"/>
  <c r="K14" i="5"/>
  <c r="M14" i="5" s="1"/>
  <c r="E33" i="5" s="1"/>
  <c r="E32" i="5"/>
  <c r="K32" i="5"/>
  <c r="Y58" i="3"/>
  <c r="U47" i="3"/>
  <c r="U51" i="3" s="1"/>
  <c r="U58" i="3" s="1"/>
  <c r="J16" i="10"/>
  <c r="J20" i="10" s="1"/>
  <c r="L16" i="10"/>
  <c r="L20" i="10" s="1"/>
  <c r="D38" i="3"/>
  <c r="B5" i="6" s="1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H13" i="4"/>
  <c r="G13" i="4"/>
  <c r="J13" i="4"/>
  <c r="D21" i="4"/>
  <c r="E21" i="4"/>
  <c r="G21" i="4"/>
  <c r="H21" i="4"/>
  <c r="J21" i="4"/>
  <c r="K13" i="4"/>
  <c r="K21" i="4"/>
  <c r="E25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E34" i="5" l="1"/>
  <c r="E35" i="5" s="1"/>
  <c r="N14" i="5" s="1"/>
  <c r="K34" i="5"/>
  <c r="K35" i="5" s="1"/>
  <c r="N15" i="5" s="1"/>
  <c r="N16" i="5" s="1"/>
  <c r="N18" i="5" s="1"/>
  <c r="H23" i="9"/>
  <c r="J23" i="9" s="1"/>
  <c r="J22" i="9"/>
  <c r="D42" i="6"/>
  <c r="C35" i="6"/>
  <c r="D35" i="6" s="1"/>
  <c r="H22" i="4"/>
  <c r="K22" i="4"/>
  <c r="J22" i="4"/>
  <c r="D22" i="4"/>
  <c r="G22" i="4"/>
  <c r="E22" i="4"/>
  <c r="C15" i="6" l="1"/>
  <c r="D24" i="4"/>
  <c r="D9" i="6" l="1"/>
  <c r="U21" i="4" l="1"/>
  <c r="T21" i="4"/>
  <c r="S21" i="4"/>
  <c r="R21" i="4"/>
  <c r="Q21" i="4"/>
  <c r="P21" i="4"/>
  <c r="O21" i="4"/>
  <c r="N21" i="4"/>
  <c r="M21" i="4"/>
  <c r="L21" i="4"/>
  <c r="D22" i="3" l="1"/>
  <c r="D10" i="3"/>
  <c r="D7" i="3"/>
  <c r="D6" i="3"/>
  <c r="D5" i="3"/>
  <c r="D4" i="3"/>
  <c r="B8" i="3" l="1"/>
  <c r="B9" i="3" s="1"/>
  <c r="D11" i="3" s="1"/>
  <c r="D13" i="3" s="1"/>
  <c r="U13" i="4" l="1"/>
  <c r="T13" i="4"/>
  <c r="S13" i="4"/>
  <c r="Q13" i="4"/>
  <c r="O13" i="4"/>
  <c r="N13" i="4"/>
  <c r="M13" i="4"/>
  <c r="L13" i="4"/>
  <c r="R13" i="4"/>
  <c r="P13" i="4"/>
  <c r="H24" i="3"/>
  <c r="H25" i="3" s="1"/>
  <c r="U22" i="4" l="1"/>
  <c r="T22" i="4"/>
  <c r="Q22" i="4"/>
  <c r="R22" i="4"/>
  <c r="P22" i="4"/>
  <c r="S22" i="4"/>
  <c r="O22" i="4"/>
  <c r="N22" i="4"/>
  <c r="M22" i="4"/>
  <c r="L22" i="4"/>
  <c r="E49" i="4"/>
  <c r="G48" i="4"/>
  <c r="G47" i="4"/>
  <c r="G43" i="4"/>
  <c r="E44" i="4"/>
  <c r="D44" i="4"/>
  <c r="G44" i="4" l="1"/>
  <c r="E51" i="4"/>
  <c r="G42" i="4"/>
  <c r="D49" i="4"/>
  <c r="G49" i="4" s="1"/>
  <c r="G12" i="6"/>
  <c r="G13" i="6" s="1"/>
  <c r="G51" i="4" l="1"/>
  <c r="D51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4" i="3"/>
  <c r="B55" i="3" s="1"/>
  <c r="D56" i="3" s="1"/>
  <c r="D49" i="3"/>
  <c r="D52" i="3"/>
  <c r="D51" i="3"/>
  <c r="D50" i="3"/>
  <c r="F18" i="6"/>
  <c r="D28" i="3" l="1"/>
  <c r="B4" i="6" s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3" i="3"/>
  <c r="D48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1" i="4" l="1"/>
  <c r="D66" i="3"/>
  <c r="B65" i="3"/>
  <c r="B67" i="3" s="1"/>
  <c r="D67" i="3" s="1"/>
  <c r="D64" i="3"/>
  <c r="D63" i="3"/>
  <c r="D62" i="3"/>
  <c r="E29" i="4" l="1"/>
  <c r="D69" i="3"/>
  <c r="D70" i="3" s="1"/>
  <c r="E26" i="4"/>
  <c r="B69" i="3"/>
  <c r="E35" i="4"/>
  <c r="G18" i="6" l="1"/>
  <c r="E30" i="4"/>
  <c r="E32" i="4" s="1"/>
  <c r="E34" i="4" s="1"/>
  <c r="E36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<sst xmlns="http://schemas.openxmlformats.org/spreadsheetml/2006/main" count="487" uniqueCount="314">
  <si>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</si>
  <si>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</si>
  <si>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</si>
  <si>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</si>
  <si>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</si>
  <si>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</si>
  <si>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</si>
  <si>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</si>
  <si>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</si>
  <si>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</si>
  <si>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</si>
  <si>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</si>
  <si>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</si>
  <si>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</si>
  <si>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</si>
  <si>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</si>
  <si>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</si>
  <si>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</si>
  <si>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</si>
  <si>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</si>
  <si>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</si>
  <si>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</si>
  <si>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</si>
  <si>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</si>
  <si>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מסחן</t>
  </si>
  <si>
    <t>סככת חניה</t>
  </si>
  <si>
    <t>מבנה עזר - יתרת שטח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</si>
  <si>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</si>
  <si>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</si>
  <si>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</si>
  <si>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</si>
  <si>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</si>
  <si>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</si>
  <si>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</si>
  <si>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</si>
  <si>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</si>
  <si>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</si>
  <si>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</si>
  <si>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</si>
  <si>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</si>
  <si>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</si>
  <si>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</si>
  <si>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</si>
  <si>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</si>
  <si>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</si>
  <si>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</si>
  <si>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</si>
  <si>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</si>
  <si>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</si>
  <si>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</si>
  <si>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</si>
  <si>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</si>
  <si>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מגורים עיקרי בהרחבה</t>
  </si>
  <si>
    <t>חצר</t>
  </si>
  <si>
    <t>יתרת חצר עד 2500</t>
  </si>
  <si>
    <t>עיקרי</t>
  </si>
  <si>
    <t>שירות - מרתף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</si>
  <si>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</si>
  <si>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</si>
  <si>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</si>
  <si>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</si>
  <si>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</si>
  <si>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</si>
  <si>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</si>
  <si>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</si>
  <si>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</si>
  <si>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</si>
  <si>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</si>
  <si>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</si>
  <si>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</si>
  <si>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</si>
  <si>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</si>
  <si>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</si>
  <si>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</si>
  <si>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</si>
  <si>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</si>
  <si>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</si>
  <si>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</si>
  <si>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</si>
  <si>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</si>
  <si>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</si>
  <si>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</si>
  <si>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</si>
  <si>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</si>
  <si>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</si>
  <si>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</si>
  <si>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</si>
  <si>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</si>
  <si>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</si>
  <si>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</si>
  <si>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</si>
  <si>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</si>
  <si>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</si>
  <si>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שווי מ"ר אקו'</t>
  </si>
  <si>
    <t>לפי שומת הררי 2021</t>
  </si>
  <si>
    <t>יתרת ש"ש</t>
  </si>
  <si>
    <t>לפי ברנס</t>
  </si>
  <si>
    <t>ש"ש עיליים</t>
  </si>
  <si>
    <t>ש"ש תת"ק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</si>
  <si>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</si>
  <si>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</si>
  <si>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</si>
  <si>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</si>
  <si>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</si>
  <si>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</si>
  <si>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</si>
  <si>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</si>
  <si>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</si>
  <si>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</si>
  <si>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</si>
  <si>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</si>
  <si>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</si>
  <si>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</si>
  <si>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</si>
  <si>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</si>
  <si>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</si>
  <si>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</si>
  <si>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</si>
  <si>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</si>
  <si>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</si>
  <si>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</si>
  <si>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</si>
  <si>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</si>
  <si>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</si>
  <si>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</si>
  <si>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</si>
  <si>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</si>
  <si>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</si>
  <si>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</si>
  <si>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</si>
  <si>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</si>
  <si>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</si>
  <si>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</si>
  <si>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</si>
  <si>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</si>
  <si>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</si>
  <si>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</si>
  <si>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</si>
  <si>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</si>
  <si>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</si>
  <si>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</si>
  <si>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</si>
  <si>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</si>
  <si>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</si>
  <si>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</si>
  <si>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</si>
  <si>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</si>
  <si>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</si>
  <si>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</si>
  <si>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</si>
  <si>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</si>
  <si>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</si>
  <si>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</si>
  <si>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</si>
  <si>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</si>
  <si>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</si>
  <si>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</si>
  <si>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</si>
  <si>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</si>
  <si>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</si>
  <si>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</si>
  <si>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</si>
  <si>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</si>
  <si>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</si>
  <si>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</si>
  <si>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</si>
  <si>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</si>
  <si>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</si>
  <si>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פל"ח</t>
  </si>
  <si>
    <t>בתים</t>
  </si>
  <si>
    <t>פיצול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</si>
  <si>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</si>
  <si>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</si>
  <si>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</si>
  <si>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</si>
  <si>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</si>
  <si>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</si>
  <si>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</si>
  <si>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</si>
  <si>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</si>
  <si>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</si>
  <si>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</si>
  <si>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</si>
  <si>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</si>
  <si>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</si>
  <si>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</si>
  <si>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</si>
  <si>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</si>
  <si>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</si>
  <si>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</si>
  <si>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</si>
  <si>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</si>
  <si>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</si>
  <si>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</si>
  <si>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</si>
  <si>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</si>
  <si>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</si>
  <si>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</si>
  <si>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</si>
  <si>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</si>
  <si>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</si>
  <si>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</si>
  <si>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</si>
  <si>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</si>
  <si>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</si>
  <si>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</si>
  <si>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פיצול מגרש ריק +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</si>
  <si>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</si>
  <si>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</si>
  <si>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</si>
  <si>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</si>
  <si>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</si>
  <si>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</si>
  <si>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כמפורט בכל אפשרות</t>
  </si>
  <si>
    <t>תחשיבי פיצול</t>
  </si>
  <si>
    <t>סעיף</t>
  </si>
  <si>
    <t>מ"ר בנוי</t>
  </si>
  <si>
    <t>פטור</t>
  </si>
  <si>
    <t>זכויות חוזיות</t>
  </si>
  <si>
    <t>עלות לרמ"י ליח'</t>
  </si>
  <si>
    <t>סה"כ רמ"י</t>
  </si>
  <si>
    <t>עלות ליח'</t>
  </si>
  <si>
    <t>היטל השבחה</t>
  </si>
  <si>
    <t>הסדרה</t>
  </si>
  <si>
    <t xml:space="preserve">בית שלישי </t>
  </si>
  <si>
    <t>יח"ד הורים</t>
  </si>
  <si>
    <t>היוון</t>
  </si>
  <si>
    <t>חוזה חכירה לאחר הסדרה והיוון</t>
  </si>
  <si>
    <t>פיצול בית 1</t>
  </si>
  <si>
    <t>חוזה חכירה לאחר פיצול</t>
  </si>
  <si>
    <t>רכישת דמי היתר בעקבות פיצול</t>
  </si>
  <si>
    <t>מצב בנוי לאחר פיצול</t>
  </si>
  <si>
    <t>יתרת זכויות / רכישת דמי היתר</t>
  </si>
  <si>
    <t>סה"כ היטל השבחה</t>
  </si>
  <si>
    <t>סה"כ מס רכישה</t>
  </si>
  <si>
    <t>משמ/86/בר</t>
  </si>
  <si>
    <t>בר/224</t>
  </si>
  <si>
    <t>בר/2020</t>
  </si>
  <si>
    <t>בר/309</t>
  </si>
  <si>
    <t>בר/14/224</t>
  </si>
  <si>
    <t>שמאי מכריע</t>
  </si>
  <si>
    <t>מהות</t>
  </si>
  <si>
    <t>שטח</t>
  </si>
  <si>
    <t>שירות</t>
  </si>
  <si>
    <t>מרתף</t>
  </si>
  <si>
    <t>שווי מר למועד</t>
  </si>
  <si>
    <t>בר/מק/3/309</t>
  </si>
  <si>
    <t>הערות</t>
  </si>
  <si>
    <t>מצב קודם חצר שולית 2800 * 0.15</t>
  </si>
  <si>
    <t>מבנה 1 - בית מגורים ראשון + שלישי + רביעי</t>
  </si>
  <si>
    <t>מבנה 2 - בית מגורים שני</t>
  </si>
  <si>
    <t>מבנה 2.1 - פרגולה</t>
  </si>
  <si>
    <t>מבנה 3 - מחסן חקלאי</t>
  </si>
  <si>
    <t>גוש חלקה</t>
  </si>
  <si>
    <t>יום מכירה</t>
  </si>
  <si>
    <t>תמורה מוצהרת בש"ח</t>
  </si>
  <si>
    <t>בניכוי יזמות</t>
  </si>
  <si>
    <t>ישוב</t>
  </si>
  <si>
    <t>שטח מגרש</t>
  </si>
  <si>
    <t>תרומת הבנוי</t>
  </si>
  <si>
    <t>יתרת מגרש</t>
  </si>
  <si>
    <t>מקדם זמן</t>
  </si>
  <si>
    <t>שווי מתואם</t>
  </si>
  <si>
    <t>שווי מ"ר מבונה</t>
  </si>
  <si>
    <t>005463-0056</t>
  </si>
  <si>
    <t>בני ראם</t>
  </si>
  <si>
    <t>005460-0037</t>
  </si>
  <si>
    <t>ממוצע</t>
  </si>
  <si>
    <t>ניתוח שטח אקו'</t>
  </si>
  <si>
    <t>ממד</t>
  </si>
  <si>
    <t>תכסית</t>
  </si>
  <si>
    <t>חצר ממגרש 500</t>
  </si>
  <si>
    <t>סה"כ שטח אקו'</t>
  </si>
  <si>
    <t>שווי מגרש מתואם</t>
  </si>
  <si>
    <t>שווי מ"ר מבונה אקו'</t>
  </si>
  <si>
    <t>בהתאמה לבעלות /0.97</t>
  </si>
  <si>
    <t>מקדם התאמה לנחלה</t>
  </si>
  <si>
    <t>שווי לנחלה</t>
  </si>
  <si>
    <t>לשומה</t>
  </si>
  <si>
    <t>עיקרי שולי</t>
  </si>
  <si>
    <t>שווי מר"מ הרחבה שמאי מכריע</t>
  </si>
  <si>
    <t>מועד קובע</t>
  </si>
  <si>
    <t>שנים</t>
  </si>
  <si>
    <t>מקדם זמן לשנה</t>
  </si>
  <si>
    <t>מקדם משוקלל</t>
  </si>
  <si>
    <t>שווי מר"מ לנחלה</t>
  </si>
  <si>
    <t>מקדם לנחלה (שמאי מכריע)</t>
  </si>
  <si>
    <t>שומת פיצול מגרש</t>
  </si>
  <si>
    <t>מפלסים תחתונים</t>
  </si>
  <si>
    <t>מוצע</t>
  </si>
  <si>
    <t>בנוי</t>
  </si>
  <si>
    <t>פער</t>
  </si>
  <si>
    <t>היתר בניה</t>
  </si>
  <si>
    <t>חוזה חכירה</t>
  </si>
  <si>
    <t>בנוי בפועל</t>
  </si>
  <si>
    <t>מבנה</t>
  </si>
  <si>
    <t>רכשתי דמי היתר</t>
  </si>
  <si>
    <t>הולך לרמ"י עם מפה</t>
  </si>
  <si>
    <t xml:space="preserve">חוזה </t>
  </si>
  <si>
    <t>רק להסדיר ללא תשלום</t>
  </si>
  <si>
    <t>קיים במשק</t>
  </si>
  <si>
    <t>לרכוש</t>
  </si>
  <si>
    <t>בנוי לפי רמ"י</t>
  </si>
  <si>
    <t>היתר שנת 2000</t>
  </si>
  <si>
    <t>מבנה 3 - מחסן חלקאי</t>
  </si>
  <si>
    <t>היתר שנת 1975 - חקלאי</t>
  </si>
  <si>
    <t>מדד</t>
  </si>
  <si>
    <t>ממודד</t>
  </si>
  <si>
    <t>היטל השבחה יחידה צמודה</t>
  </si>
  <si>
    <t>מצב קודם</t>
  </si>
  <si>
    <t>מצב חדש</t>
  </si>
  <si>
    <t>שווי מ"ר ממודד</t>
  </si>
  <si>
    <t>סה"כ היטל</t>
  </si>
  <si>
    <t>חוזה חכירה מעודכן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</si>
</sst>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</numFmts>
  <fonts count="2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8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165" fontId="0" fillId="0" borderId="11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0" fillId="0" borderId="32" xfId="0" applyBorder="1"/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0" fontId="16" fillId="0" borderId="72" xfId="0" applyFont="1" applyBorder="1" applyAlignment="1">
      <alignment horizontal="center" vertical="center"/>
    </xf>
    <xf numFmtId="0" fontId="16" fillId="0" borderId="73" xfId="0" applyFont="1" applyBorder="1" applyAlignment="1">
      <alignment horizontal="center" vertical="center"/>
    </xf>
    <xf numFmtId="0" fontId="16" fillId="0" borderId="74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164" fontId="0" fillId="0" borderId="49" xfId="2" applyNumberFormat="1" applyFont="1" applyBorder="1"/>
    <xf numFmtId="164" fontId="0" fillId="0" borderId="52" xfId="2" applyNumberFormat="1" applyFont="1" applyBorder="1"/>
    <xf numFmtId="9" fontId="0" fillId="0" borderId="49" xfId="3" applyFont="1" applyBorder="1"/>
    <xf numFmtId="0" fontId="0" fillId="0" borderId="22" xfId="0" applyBorder="1"/>
    <xf numFmtId="0" fontId="0" fillId="0" borderId="69" xfId="0" applyBorder="1"/>
    <xf numFmtId="164" fontId="0" fillId="0" borderId="46" xfId="2" applyNumberFormat="1" applyFont="1" applyBorder="1"/>
    <xf numFmtId="164" fontId="0" fillId="0" borderId="13" xfId="2" applyNumberFormat="1" applyFont="1" applyBorder="1"/>
    <xf numFmtId="9" fontId="0" fillId="0" borderId="46" xfId="3" applyFont="1" applyBorder="1"/>
    <xf numFmtId="0" fontId="0" fillId="0" borderId="26" xfId="0" applyBorder="1"/>
    <xf numFmtId="0" fontId="0" fillId="0" borderId="76" xfId="0" applyBorder="1"/>
    <xf numFmtId="164" fontId="0" fillId="0" borderId="77" xfId="2" applyNumberFormat="1" applyFont="1" applyBorder="1"/>
    <xf numFmtId="164" fontId="0" fillId="0" borderId="28" xfId="2" applyNumberFormat="1" applyFont="1" applyBorder="1"/>
    <xf numFmtId="9" fontId="0" fillId="0" borderId="77" xfId="3" applyFont="1" applyBorder="1"/>
    <xf numFmtId="0" fontId="6" fillId="0" borderId="78" xfId="0" applyFont="1" applyBorder="1"/>
    <xf numFmtId="164" fontId="6" fillId="0" borderId="47" xfId="2" applyNumberFormat="1" applyFont="1" applyBorder="1"/>
    <xf numFmtId="164" fontId="6" fillId="0" borderId="35" xfId="2" applyNumberFormat="1" applyFont="1" applyBorder="1"/>
    <xf numFmtId="9" fontId="6" fillId="0" borderId="47" xfId="3" applyFont="1" applyBorder="1"/>
    <xf numFmtId="10" fontId="0" fillId="0" borderId="58" xfId="0" applyNumberFormat="1" applyBorder="1"/>
    <xf numFmtId="0" fontId="0" fillId="0" borderId="51" xfId="0" applyBorder="1"/>
    <xf numFmtId="164" fontId="8" fillId="0" borderId="49" xfId="2" applyNumberFormat="1" applyFont="1" applyBorder="1"/>
    <xf numFmtId="164" fontId="8" fillId="0" borderId="52" xfId="2" applyNumberFormat="1" applyFont="1" applyBorder="1"/>
    <xf numFmtId="9" fontId="8" fillId="0" borderId="49" xfId="3" applyFont="1" applyBorder="1"/>
    <xf numFmtId="0" fontId="0" fillId="0" borderId="30" xfId="0" applyBorder="1"/>
    <xf numFmtId="0" fontId="0" fillId="0" borderId="71" xfId="0" applyBorder="1"/>
    <xf numFmtId="164" fontId="0" fillId="0" borderId="70" xfId="2" applyNumberFormat="1" applyFont="1" applyBorder="1"/>
    <xf numFmtId="164" fontId="0" fillId="0" borderId="16" xfId="2" applyNumberFormat="1" applyFont="1" applyBorder="1"/>
    <xf numFmtId="9" fontId="0" fillId="0" borderId="70" xfId="3" applyFont="1" applyBorder="1"/>
    <xf numFmtId="0" fontId="0" fillId="0" borderId="58" xfId="0" applyBorder="1"/>
    <xf numFmtId="164" fontId="6" fillId="0" borderId="48" xfId="0" applyNumberFormat="1" applyFont="1" applyBorder="1"/>
    <xf numFmtId="164" fontId="6" fillId="0" borderId="19" xfId="0" applyNumberFormat="1" applyFont="1" applyBorder="1"/>
    <xf numFmtId="0" fontId="0" fillId="0" borderId="0" xfId="0" applyAlignment="1">
      <alignment horizontal="center"/>
    </xf>
    <xf numFmtId="0" fontId="19" fillId="13" borderId="79" xfId="0" applyFont="1" applyFill="1" applyBorder="1" applyAlignment="1">
      <alignment horizontal="center" vertical="center" wrapText="1"/>
    </xf>
    <xf numFmtId="0" fontId="19" fillId="13" borderId="80" xfId="0" applyFont="1" applyFill="1" applyBorder="1" applyAlignment="1">
      <alignment horizontal="center" vertical="center" wrapText="1"/>
    </xf>
    <xf numFmtId="0" fontId="19" fillId="13" borderId="36" xfId="0" applyFont="1" applyFill="1" applyBorder="1" applyAlignment="1">
      <alignment horizontal="center" vertical="center" wrapText="1"/>
    </xf>
    <xf numFmtId="0" fontId="20" fillId="0" borderId="79" xfId="0" applyFont="1" applyBorder="1" applyAlignment="1">
      <alignment wrapText="1"/>
    </xf>
    <xf numFmtId="14" fontId="20" fillId="0" borderId="79" xfId="0" applyNumberFormat="1" applyFont="1" applyBorder="1" applyAlignment="1">
      <alignment wrapText="1"/>
    </xf>
    <xf numFmtId="3" fontId="20" fillId="0" borderId="79" xfId="0" applyNumberFormat="1" applyFont="1" applyBorder="1" applyAlignment="1">
      <alignment wrapText="1"/>
    </xf>
    <xf numFmtId="3" fontId="20" fillId="0" borderId="80" xfId="0" applyNumberFormat="1" applyFont="1" applyBorder="1" applyAlignment="1">
      <alignment wrapText="1"/>
    </xf>
    <xf numFmtId="3" fontId="20" fillId="0" borderId="36" xfId="0" applyNumberFormat="1" applyFont="1" applyBorder="1" applyAlignment="1">
      <alignment wrapText="1"/>
    </xf>
    <xf numFmtId="0" fontId="20" fillId="0" borderId="36" xfId="0" applyFont="1" applyBorder="1" applyAlignment="1">
      <alignment wrapText="1"/>
    </xf>
    <xf numFmtId="164" fontId="0" fillId="0" borderId="36" xfId="0" applyNumberFormat="1" applyBorder="1"/>
    <xf numFmtId="0" fontId="20" fillId="0" borderId="81" xfId="0" applyFont="1" applyBorder="1" applyAlignment="1">
      <alignment wrapText="1"/>
    </xf>
    <xf numFmtId="14" fontId="20" fillId="0" borderId="81" xfId="0" applyNumberFormat="1" applyFont="1" applyBorder="1" applyAlignment="1">
      <alignment wrapText="1"/>
    </xf>
    <xf numFmtId="3" fontId="20" fillId="0" borderId="81" xfId="0" applyNumberFormat="1" applyFont="1" applyBorder="1" applyAlignment="1">
      <alignment wrapText="1"/>
    </xf>
    <xf numFmtId="3" fontId="20" fillId="0" borderId="82" xfId="0" applyNumberFormat="1" applyFont="1" applyBorder="1" applyAlignment="1">
      <alignment wrapText="1"/>
    </xf>
    <xf numFmtId="0" fontId="20" fillId="0" borderId="83" xfId="0" applyFont="1" applyBorder="1" applyAlignment="1">
      <alignment wrapText="1"/>
    </xf>
    <xf numFmtId="3" fontId="20" fillId="0" borderId="83" xfId="0" applyNumberFormat="1" applyFont="1" applyBorder="1" applyAlignment="1">
      <alignment wrapText="1"/>
    </xf>
    <xf numFmtId="0" fontId="20" fillId="0" borderId="0" xfId="0" applyFont="1"/>
    <xf numFmtId="0" fontId="0" fillId="0" borderId="22" xfId="0" applyBorder="1" applyAlignment="1">
      <alignment horizontal="right"/>
    </xf>
    <xf numFmtId="3" fontId="0" fillId="0" borderId="22" xfId="0" applyNumberFormat="1" applyBorder="1"/>
    <xf numFmtId="164" fontId="0" fillId="0" borderId="22" xfId="2" applyNumberFormat="1" applyFont="1" applyBorder="1"/>
    <xf numFmtId="164" fontId="6" fillId="0" borderId="22" xfId="0" applyNumberFormat="1" applyFont="1" applyBorder="1"/>
    <xf numFmtId="0" fontId="0" fillId="0" borderId="36" xfId="0" applyBorder="1"/>
    <xf numFmtId="164" fontId="0" fillId="0" borderId="0" xfId="2" applyNumberFormat="1" applyFont="1" applyBorder="1"/>
    <xf numFmtId="0" fontId="6" fillId="0" borderId="7" xfId="0" applyFont="1" applyBorder="1"/>
    <xf numFmtId="164" fontId="6" fillId="0" borderId="0" xfId="0" applyNumberFormat="1" applyFont="1"/>
    <xf numFmtId="164" fontId="6" fillId="0" borderId="34" xfId="0" applyNumberFormat="1" applyFont="1" applyBorder="1"/>
    <xf numFmtId="165" fontId="0" fillId="0" borderId="34" xfId="1" applyNumberFormat="1" applyFont="1" applyBorder="1"/>
    <xf numFmtId="0" fontId="0" fillId="0" borderId="34" xfId="0" applyBorder="1"/>
    <xf numFmtId="0" fontId="0" fillId="0" borderId="35" xfId="0" applyBorder="1"/>
    <xf numFmtId="164" fontId="6" fillId="0" borderId="36" xfId="0" applyNumberFormat="1" applyFont="1" applyBorder="1"/>
    <xf numFmtId="165" fontId="0" fillId="0" borderId="36" xfId="1" applyNumberFormat="1" applyFont="1" applyBorder="1"/>
    <xf numFmtId="165" fontId="0" fillId="0" borderId="22" xfId="1" applyNumberFormat="1" applyFont="1" applyBorder="1"/>
    <xf numFmtId="165" fontId="0" fillId="0" borderId="22" xfId="0" applyNumberFormat="1" applyBorder="1"/>
    <xf numFmtId="165" fontId="0" fillId="0" borderId="20" xfId="1" applyNumberFormat="1" applyFont="1" applyBorder="1"/>
    <xf numFmtId="165" fontId="6" fillId="0" borderId="0" xfId="1" applyNumberFormat="1" applyFont="1" applyBorder="1"/>
    <xf numFmtId="165" fontId="0" fillId="0" borderId="83" xfId="1" applyNumberFormat="1" applyFont="1" applyBorder="1"/>
    <xf numFmtId="0" fontId="0" fillId="0" borderId="83" xfId="0" applyBorder="1"/>
    <xf numFmtId="0" fontId="0" fillId="0" borderId="0" xfId="0" applyAlignment="1">
      <alignment horizontal="left" vertic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56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0" fillId="0" borderId="72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6" fillId="0" borderId="5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165" fontId="21" fillId="0" borderId="0" xfId="1" applyNumberFormat="1" applyFont="1" applyAlignment="1">
      <alignment horizontal="center"/>
    </xf>
    <xf numFmtId="0" fontId="6" fillId="0" borderId="22" xfId="0" applyFont="1" applyBorder="1" applyAlignment="1">
      <alignment horizontal="center"/>
    </xf>
    <xf numFmtId="0" fontId="0" fillId="0" borderId="8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65" fontId="0" fillId="0" borderId="60" xfId="1" applyNumberFormat="1" applyFont="1" applyBorder="1" applyAlignment="1">
      <alignment horizontal="center" vertical="center"/>
    </xf>
    <xf numFmtId="165" fontId="0" fillId="0" borderId="48" xfId="1" applyNumberFormat="1" applyFont="1" applyBorder="1" applyAlignment="1">
      <alignment horizontal="center" vertical="center"/>
    </xf>
    <xf numFmtId="165" fontId="0" fillId="0" borderId="19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/>
    </xf>
    <xf numFmtId="165" fontId="0" fillId="0" borderId="22" xfId="0" applyNumberFormat="1" applyBorder="1" applyAlignment="1">
      <alignment horizontal="center" vertic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704850</xdr:colOff>
      <xdr:row>1</xdr:row>
      <xdr:rowOff>66675</xdr:rowOff>
    </xdr:from>
    <xdr:to>
      <xdr:col>19</xdr:col>
      <xdr:colOff>816410</xdr:colOff>
      <xdr:row>32</xdr:row>
      <xdr:rowOff>21698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D8AC6EB5-AFFA-87DE-EC68-BDC306088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210405" y="247650"/>
          <a:ext cx="7668695" cy="532140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78985</xdr:colOff>
      <xdr:row>41</xdr:row>
      <xdr:rowOff>63745</xdr:rowOff>
    </xdr:from>
    <xdr:to>
      <xdr:col>3</xdr:col>
      <xdr:colOff>1230</xdr:colOff>
      <xdr:row>45</xdr:row>
      <xdr:rowOff>16501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4A852FB6-720B-5367-538A-EA0C22B09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24448404" y="7647110"/>
          <a:ext cx="2493995" cy="617308"/>
        </a:xfrm>
        <a:prstGeom prst="rect">
          <a:avLst/>
        </a:prstGeom>
      </xdr:spPr>
    </xdr:pic>
    <xdr:clientData/>
  </xdr:twoCellAnchor>
  <xdr:twoCellAnchor editAs="oneCell">
    <xdr:from>
      <xdr:col>11</xdr:col>
      <xdr:colOff>223911</xdr:colOff>
      <xdr:row>23</xdr:row>
      <xdr:rowOff>44789</xdr:rowOff>
    </xdr:from>
    <xdr:to>
      <xdr:col>22</xdr:col>
      <xdr:colOff>22111</xdr:colOff>
      <xdr:row>37</xdr:row>
      <xdr:rowOff>21854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7DE0BB66-D3BB-9B87-EEE2-2735A9C6F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9337578" y="4580154"/>
          <a:ext cx="7319434" cy="2340145"/>
        </a:xfrm>
        <a:prstGeom prst="rect">
          <a:avLst/>
        </a:prstGeom>
      </xdr:spPr>
    </xdr:pic>
    <xdr:clientData/>
  </xdr:twoCellAnchor>
  <xdr:twoCellAnchor editAs="oneCell">
    <xdr:from>
      <xdr:col>14</xdr:col>
      <xdr:colOff>263770</xdr:colOff>
      <xdr:row>12</xdr:row>
      <xdr:rowOff>0</xdr:rowOff>
    </xdr:from>
    <xdr:to>
      <xdr:col>25</xdr:col>
      <xdr:colOff>59024</xdr:colOff>
      <xdr:row>13</xdr:row>
      <xdr:rowOff>96800</xdr:rowOff>
    </xdr:to>
    <xdr:pic>
      <xdr:nvPicPr>
        <xdr:cNvPr id="5" name="תמונה 4">
          <a:extLst>
            <a:ext uri="{FF2B5EF4-FFF2-40B4-BE49-F238E27FC236}">
              <a16:creationId xmlns:a16="http://schemas.microsoft.com/office/drawing/2014/main" id="{4F54B73C-9368-4145-F6C5-059688836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907308036" y="2249365"/>
          <a:ext cx="7125694" cy="605875"/>
        </a:xfrm>
        <a:prstGeom prst="rect">
          <a:avLst/>
        </a:prstGeom>
      </xdr:spPr>
    </xdr:pic>
    <xdr:clientData/>
  </xdr:twoCellAnchor>
  <xdr:twoCellAnchor editAs="oneCell">
    <xdr:from>
      <xdr:col>1</xdr:col>
      <xdr:colOff>73270</xdr:colOff>
      <xdr:row>46</xdr:row>
      <xdr:rowOff>0</xdr:rowOff>
    </xdr:from>
    <xdr:to>
      <xdr:col>8</xdr:col>
      <xdr:colOff>168064</xdr:colOff>
      <xdr:row>56</xdr:row>
      <xdr:rowOff>92420</xdr:rowOff>
    </xdr:to>
    <xdr:pic>
      <xdr:nvPicPr>
        <xdr:cNvPr id="6" name="תמונה 5">
          <a:extLst>
            <a:ext uri="{FF2B5EF4-FFF2-40B4-BE49-F238E27FC236}">
              <a16:creationId xmlns:a16="http://schemas.microsoft.com/office/drawing/2014/main" id="{2C607365-8AEC-7A23-C9FD-D33D0E934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919582355" y="8425962"/>
          <a:ext cx="7365759" cy="1777612"/>
        </a:xfrm>
        <a:prstGeom prst="rect">
          <a:avLst/>
        </a:prstGeom>
      </xdr:spPr>
    </xdr:pic>
    <xdr:clientData/>
  </xdr:twoCellAnchor>
  <xdr:twoCellAnchor editAs="oneCell">
    <xdr:from>
      <xdr:col>1</xdr:col>
      <xdr:colOff>50618</xdr:colOff>
      <xdr:row>76</xdr:row>
      <xdr:rowOff>11701</xdr:rowOff>
    </xdr:from>
    <xdr:to>
      <xdr:col>15</xdr:col>
      <xdr:colOff>57896</xdr:colOff>
      <xdr:row>102</xdr:row>
      <xdr:rowOff>59432</xdr:rowOff>
    </xdr:to>
    <xdr:pic>
      <xdr:nvPicPr>
        <xdr:cNvPr id="7" name="תמונה 6">
          <a:extLst>
            <a:ext uri="{FF2B5EF4-FFF2-40B4-BE49-F238E27FC236}">
              <a16:creationId xmlns:a16="http://schemas.microsoft.com/office/drawing/2014/main" id="{A4C7B6A5-BC49-7EFC-1BEA-551FAE8D4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13988094" y="14040665"/>
          <a:ext cx="13150145" cy="46564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576670</xdr:colOff>
      <xdr:row>10</xdr:row>
      <xdr:rowOff>16602</xdr:rowOff>
    </xdr:from>
    <xdr:to>
      <xdr:col>12</xdr:col>
      <xdr:colOff>472984</xdr:colOff>
      <xdr:row>22</xdr:row>
      <xdr:rowOff>19485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ACBAA9C3-BB18-97A3-4AD2-8841D27147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4500" r="8707" b="2521"/>
        <a:stretch>
          <a:fillRect/>
        </a:stretch>
      </xdr:blipFill>
      <xdr:spPr>
        <a:xfrm>
          <a:off x="10958793896" y="1584145"/>
          <a:ext cx="5390334" cy="2092940"/>
        </a:xfrm>
        <a:prstGeom prst="rect">
          <a:avLst/>
        </a:prstGeom>
      </xdr:spPr>
    </xdr:pic>
    <xdr:clientData/>
  </xdr:twoCellAnchor>
  <xdr:twoCellAnchor editAs="oneCell">
    <xdr:from>
      <xdr:col>7</xdr:col>
      <xdr:colOff>212271</xdr:colOff>
      <xdr:row>22</xdr:row>
      <xdr:rowOff>76200</xdr:rowOff>
    </xdr:from>
    <xdr:to>
      <xdr:col>17</xdr:col>
      <xdr:colOff>93922</xdr:colOff>
      <xdr:row>47</xdr:row>
      <xdr:rowOff>134508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C5DF1012-3338-932E-C43E-B5C08B343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5844651" y="3907971"/>
          <a:ext cx="8034506" cy="440306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I27" sqref="I27"/>
    </sheetView>
  </sheetViews>
  <sheetFormatPr defaultColWidth="8.6640625" defaultRowHeight="20" x14ac:dyDescent="0.4"/>
  <cols>
    <col min="1" max="1" width="35.83203125" style="1" bestFit="1" customWidth="1"/>
    <col min="2" max="2" width="21.83203125" style="1" bestFit="1" customWidth="1"/>
    <col min="3" max="3" width="21.6640625" style="1" bestFit="1" customWidth="1"/>
    <col min="4" max="4" width="23.4140625" style="1" customWidth="1"/>
    <col min="5" max="5" width="21.6640625" style="1" bestFit="1" customWidth="1"/>
    <col min="6" max="6" width="21.33203125" style="1" customWidth="1"/>
    <col min="7" max="7" width="19.33203125" style="1" bestFit="1" customWidth="1"/>
    <col min="8" max="8" width="23.08203125" style="1" customWidth="1"/>
    <col min="9" max="9" width="35.1640625" style="1" customWidth="1"/>
    <col min="10" max="10" width="21.83203125" style="1" bestFit="1" customWidth="1"/>
    <col min="11" max="11" width="21.6640625" style="75" bestFit="1" customWidth="1"/>
    <col min="12" max="12" width="20" style="1" bestFit="1" customWidth="1"/>
    <col min="13" max="13" width="18.5" style="1" bestFit="1" customWidth="1"/>
    <col min="14" max="14" width="10.83203125" style="1" bestFit="1" customWidth="1"/>
    <col min="15" max="16384" width="8.6640625" style="1"/>
  </cols>
  <sheetData>
    <row r="2" spans="1:11" x14ac:dyDescent="0.4">
      <c r="A2" s="1" t="s">
        <v>45</v>
      </c>
      <c r="B2" s="76">
        <f>'מ"ר אקו'' נחלה'!I14</f>
        <v>1022.5</v>
      </c>
      <c r="K2" s="1"/>
    </row>
    <row r="3" spans="1:11" x14ac:dyDescent="0.4">
      <c r="A3" s="1" t="s">
        <v>17</v>
      </c>
      <c r="B3" s="76">
        <f>'מ"ר אקו'' נחלה'!D14</f>
        <v>972.5</v>
      </c>
      <c r="K3" s="1"/>
    </row>
    <row r="4" spans="1:11" x14ac:dyDescent="0.4">
      <c r="A4" s="1" t="s">
        <v>91</v>
      </c>
      <c r="B4" s="76">
        <f>'מ"ר אקו'' נחלה'!D28</f>
        <v>144.55000000000001</v>
      </c>
      <c r="K4" s="1"/>
    </row>
    <row r="5" spans="1:11" x14ac:dyDescent="0.4">
      <c r="A5" s="1" t="s">
        <v>196</v>
      </c>
      <c r="B5" s="76">
        <f>'מ"ר אקו'' נחלה'!D38</f>
        <v>106</v>
      </c>
      <c r="K5" s="1"/>
    </row>
    <row r="6" spans="1:11" x14ac:dyDescent="0.4">
      <c r="A6" s="1" t="s">
        <v>3</v>
      </c>
      <c r="B6" s="1">
        <f>'מ"ר אקו'' נחלה'!D70</f>
        <v>806.25</v>
      </c>
      <c r="F6" s="7"/>
      <c r="K6" s="1"/>
    </row>
    <row r="7" spans="1:11" x14ac:dyDescent="0.4">
      <c r="A7" s="1" t="s">
        <v>57</v>
      </c>
      <c r="B7" s="1">
        <f>'מ"ר אקו'' נחלה'!D57</f>
        <v>286.8</v>
      </c>
      <c r="C7" s="1" t="s">
        <v>58</v>
      </c>
      <c r="D7" s="75">
        <f>'מ"ר אקו'' נחלה'!I50</f>
        <v>207.5</v>
      </c>
      <c r="F7" s="75"/>
      <c r="K7" s="1"/>
    </row>
    <row r="8" spans="1:11" x14ac:dyDescent="0.4">
      <c r="A8" s="1" t="s">
        <v>12</v>
      </c>
      <c r="B8" s="129">
        <f>'ניתוח איזור לעסקאות דמה'!C7</f>
        <v>8500</v>
      </c>
      <c r="C8" s="1" t="s">
        <v>84</v>
      </c>
      <c r="D8" s="5">
        <v>2500</v>
      </c>
      <c r="F8" s="75"/>
      <c r="K8" s="1"/>
    </row>
    <row r="9" spans="1:11" x14ac:dyDescent="0.4">
      <c r="A9" s="3"/>
      <c r="B9" s="5"/>
      <c r="C9" s="1" t="s">
        <v>92</v>
      </c>
      <c r="D9" s="1" t="e">
        <f>'ניתוח איזור לעסקאות דמה'!#REF!</f>
        <v>#REF!</v>
      </c>
      <c r="E9" s="8">
        <v>1.17</v>
      </c>
    </row>
    <row r="10" spans="1:11" x14ac:dyDescent="0.4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67</v>
      </c>
      <c r="J10" s="2"/>
    </row>
    <row r="11" spans="1:11" x14ac:dyDescent="0.4">
      <c r="A11" s="77" t="s">
        <v>16</v>
      </c>
      <c r="B11" s="77">
        <f>B6</f>
        <v>806.25</v>
      </c>
      <c r="C11" s="78">
        <v>3.7499999999999999E-2</v>
      </c>
      <c r="D11" s="77">
        <f t="shared" ref="D11:D21" si="0">C11*B11</f>
        <v>30.234375</v>
      </c>
      <c r="E11" s="77">
        <v>1</v>
      </c>
      <c r="F11" s="79">
        <f>D11*$B$8*E11</f>
        <v>256992.1875</v>
      </c>
      <c r="G11" s="75">
        <f>'מ"ר אקו'' נחלה'!D71*-3.75%</f>
        <v>-6562.5</v>
      </c>
      <c r="H11" s="88">
        <f>SUM(F11:G11)</f>
        <v>250429.6875</v>
      </c>
      <c r="I11" s="9"/>
      <c r="J11" s="75"/>
    </row>
    <row r="12" spans="1:11" x14ac:dyDescent="0.4">
      <c r="A12" s="82" t="s">
        <v>63</v>
      </c>
      <c r="B12" s="114">
        <f>D7</f>
        <v>207.5</v>
      </c>
      <c r="C12" s="115">
        <v>0.29249999999999998</v>
      </c>
      <c r="D12" s="82">
        <f t="shared" si="0"/>
        <v>60.693749999999994</v>
      </c>
      <c r="E12" s="82">
        <v>1</v>
      </c>
      <c r="F12" s="84">
        <f>D12*$B$8*E12</f>
        <v>515896.87499999994</v>
      </c>
      <c r="G12" s="75">
        <f>-'מ"ר אקו'' נחלה'!D58*C12</f>
        <v>-29250</v>
      </c>
      <c r="H12" s="6">
        <f>SUM(F12:G12)</f>
        <v>486646.87499999994</v>
      </c>
      <c r="J12" s="87"/>
    </row>
    <row r="13" spans="1:11" x14ac:dyDescent="0.4">
      <c r="A13" s="82" t="s">
        <v>64</v>
      </c>
      <c r="B13" s="114">
        <f>B7-B12</f>
        <v>79.300000000000011</v>
      </c>
      <c r="C13" s="115">
        <v>0.33</v>
      </c>
      <c r="D13" s="82">
        <f t="shared" si="0"/>
        <v>26.169000000000004</v>
      </c>
      <c r="E13" s="82">
        <v>1</v>
      </c>
      <c r="F13" s="84">
        <f>D13*$B$8*E13</f>
        <v>222436.50000000003</v>
      </c>
      <c r="G13" s="87">
        <f>G12*53/245</f>
        <v>-6327.5510204081629</v>
      </c>
      <c r="H13" s="6">
        <f>SUM(F13:G13)</f>
        <v>216108.94897959186</v>
      </c>
      <c r="I13" s="9"/>
      <c r="J13" s="75"/>
    </row>
    <row r="14" spans="1:11" x14ac:dyDescent="0.4">
      <c r="A14" s="111" t="s">
        <v>65</v>
      </c>
      <c r="B14" s="112">
        <f>SUM(B12:B13)</f>
        <v>286.8</v>
      </c>
      <c r="C14" s="113"/>
      <c r="D14" s="113"/>
      <c r="E14" s="113"/>
      <c r="F14" s="113">
        <f>SUM(F12:F13)</f>
        <v>738333.375</v>
      </c>
      <c r="G14" s="116"/>
      <c r="H14" s="89">
        <f>SUM(H12:H13)</f>
        <v>702755.82397959183</v>
      </c>
      <c r="J14" s="75"/>
    </row>
    <row r="15" spans="1:11" x14ac:dyDescent="0.4">
      <c r="A15" s="77" t="s">
        <v>7</v>
      </c>
      <c r="B15" s="77">
        <f>'מ"ר אקו'' נחלה'!I50</f>
        <v>207.5</v>
      </c>
      <c r="C15" s="80">
        <f>C35</f>
        <v>0.42499999999999999</v>
      </c>
      <c r="D15" s="77">
        <f>B15*C15</f>
        <v>88.1875</v>
      </c>
      <c r="E15" s="77">
        <v>1</v>
      </c>
      <c r="F15" s="79">
        <f>D15*$B$8</f>
        <v>749593.75</v>
      </c>
      <c r="G15" s="9"/>
      <c r="J15" s="86"/>
    </row>
    <row r="16" spans="1:11" x14ac:dyDescent="0.4">
      <c r="A16" s="77" t="s">
        <v>5</v>
      </c>
      <c r="B16" s="81">
        <f>B3+B4-B5</f>
        <v>1011.05</v>
      </c>
      <c r="C16" s="80">
        <v>0.33</v>
      </c>
      <c r="D16" s="77">
        <f t="shared" si="0"/>
        <v>333.6465</v>
      </c>
      <c r="E16" s="77">
        <v>1</v>
      </c>
      <c r="F16" s="79">
        <f>D16*$B$8*E16</f>
        <v>2835995.25</v>
      </c>
      <c r="G16" s="75">
        <f>-'מ"ר אקו'' נחלה'!D15*C16</f>
        <v>-81510</v>
      </c>
      <c r="H16" s="88">
        <f>SUM(F16:G16)</f>
        <v>2754485.25</v>
      </c>
      <c r="J16" s="137"/>
    </row>
    <row r="17" spans="1:10" x14ac:dyDescent="0.4">
      <c r="A17" s="1" t="s">
        <v>9</v>
      </c>
      <c r="B17" s="1">
        <v>1</v>
      </c>
      <c r="C17" s="7">
        <v>0.91</v>
      </c>
      <c r="D17" s="1">
        <f t="shared" si="0"/>
        <v>0.91</v>
      </c>
      <c r="E17" s="77">
        <v>1</v>
      </c>
      <c r="F17" s="5">
        <v>1486</v>
      </c>
      <c r="G17" s="9"/>
      <c r="I17" s="6"/>
      <c r="J17" s="6"/>
    </row>
    <row r="18" spans="1:10" x14ac:dyDescent="0.4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7">
        <v>1</v>
      </c>
      <c r="F18" s="5">
        <f>F17/2</f>
        <v>743</v>
      </c>
      <c r="G18" s="9" t="e">
        <f>F18*#REF!*5%*1.17</f>
        <v>#REF!</v>
      </c>
      <c r="I18" s="75"/>
      <c r="J18" s="75"/>
    </row>
    <row r="19" spans="1:10" x14ac:dyDescent="0.4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7">
        <v>1</v>
      </c>
      <c r="F19" s="5">
        <f>D19*$B$8*E19</f>
        <v>5414.5</v>
      </c>
      <c r="I19" s="75"/>
      <c r="J19" s="6"/>
    </row>
    <row r="20" spans="1:10" x14ac:dyDescent="0.4">
      <c r="A20" s="82" t="s">
        <v>13</v>
      </c>
      <c r="B20" s="82">
        <v>7.4999999999999997E-2</v>
      </c>
      <c r="C20" s="83">
        <v>0.91</v>
      </c>
      <c r="D20" s="82">
        <f t="shared" si="0"/>
        <v>6.8250000000000005E-2</v>
      </c>
      <c r="E20" s="77">
        <v>1</v>
      </c>
      <c r="F20" s="84">
        <f>D20*$B$8*E20</f>
        <v>580.125</v>
      </c>
      <c r="G20" s="9"/>
      <c r="I20" s="6"/>
      <c r="J20" s="9"/>
    </row>
    <row r="21" spans="1:10" x14ac:dyDescent="0.4">
      <c r="A21" s="1" t="s">
        <v>71</v>
      </c>
      <c r="B21" s="1">
        <v>1</v>
      </c>
      <c r="C21" s="7">
        <v>0.05</v>
      </c>
      <c r="D21" s="1">
        <f t="shared" si="0"/>
        <v>0.05</v>
      </c>
      <c r="E21" s="77">
        <v>1</v>
      </c>
      <c r="F21" s="5">
        <f>D21*$D$8*E21</f>
        <v>125</v>
      </c>
      <c r="I21" s="9"/>
    </row>
    <row r="22" spans="1:10" x14ac:dyDescent="0.4">
      <c r="A22" s="1" t="s">
        <v>46</v>
      </c>
      <c r="B22" s="1">
        <v>0.3</v>
      </c>
      <c r="C22" s="7">
        <v>0.91</v>
      </c>
      <c r="D22" s="1">
        <f>C22*B22</f>
        <v>0.27300000000000002</v>
      </c>
      <c r="E22" s="77">
        <v>1</v>
      </c>
      <c r="F22" s="5">
        <f>D22*$B$8*E22</f>
        <v>2320.5</v>
      </c>
    </row>
    <row r="23" spans="1:10" x14ac:dyDescent="0.4">
      <c r="A23" s="82" t="s">
        <v>85</v>
      </c>
      <c r="B23" s="82">
        <v>1</v>
      </c>
      <c r="C23" s="83">
        <v>0.91</v>
      </c>
      <c r="D23" s="82">
        <f>C23*B23</f>
        <v>0.91</v>
      </c>
      <c r="E23" s="77">
        <v>1</v>
      </c>
      <c r="F23" s="84">
        <f>E23*D23*$D$8</f>
        <v>2275</v>
      </c>
      <c r="I23" s="6"/>
    </row>
    <row r="24" spans="1:10" x14ac:dyDescent="0.4">
      <c r="A24" s="1" t="s">
        <v>47</v>
      </c>
      <c r="B24" s="1">
        <v>1</v>
      </c>
      <c r="C24" s="7">
        <v>0.05</v>
      </c>
      <c r="D24" s="1">
        <f>C24*B24</f>
        <v>0.05</v>
      </c>
      <c r="E24" s="77">
        <v>1</v>
      </c>
      <c r="F24" s="5">
        <f>D24*E24*B8</f>
        <v>425</v>
      </c>
      <c r="I24" s="9"/>
    </row>
    <row r="25" spans="1:10" x14ac:dyDescent="0.4">
      <c r="C25" s="7"/>
      <c r="F25" s="5"/>
      <c r="J25" s="9"/>
    </row>
    <row r="26" spans="1:10" x14ac:dyDescent="0.4">
      <c r="C26" s="7"/>
      <c r="F26" s="5"/>
    </row>
    <row r="27" spans="1:10" x14ac:dyDescent="0.4">
      <c r="A27" s="1" t="s">
        <v>48</v>
      </c>
      <c r="B27" s="85"/>
      <c r="C27" s="8"/>
      <c r="D27" s="185"/>
      <c r="E27" s="185"/>
      <c r="F27" s="5"/>
      <c r="I27" s="75"/>
    </row>
    <row r="29" spans="1:10" x14ac:dyDescent="0.4">
      <c r="A29" s="2" t="s">
        <v>155</v>
      </c>
      <c r="C29" s="75"/>
    </row>
    <row r="30" spans="1:10" x14ac:dyDescent="0.4">
      <c r="A30" s="2"/>
      <c r="B30" s="2" t="s">
        <v>157</v>
      </c>
      <c r="C30" s="2" t="s">
        <v>21</v>
      </c>
      <c r="D30" s="2" t="s">
        <v>156</v>
      </c>
    </row>
    <row r="31" spans="1:10" x14ac:dyDescent="0.4">
      <c r="A31" s="1" t="s">
        <v>153</v>
      </c>
      <c r="B31" s="5">
        <f>'מ"ר אקו'' נחלה'!D57*'תחשיב לפי שווי שומה (2)'!$B$8</f>
        <v>2437800</v>
      </c>
      <c r="C31" s="190">
        <v>1</v>
      </c>
      <c r="D31" s="6">
        <f>C31*$B$8</f>
        <v>8500</v>
      </c>
    </row>
    <row r="32" spans="1:10" x14ac:dyDescent="0.4">
      <c r="A32" s="1" t="s">
        <v>152</v>
      </c>
      <c r="B32" s="6">
        <f>350*$B$8*C32</f>
        <v>446250</v>
      </c>
      <c r="C32" s="190">
        <v>0.15</v>
      </c>
      <c r="D32" s="6">
        <f>C32*$B$8</f>
        <v>1275</v>
      </c>
    </row>
    <row r="33" spans="1:6" x14ac:dyDescent="0.4">
      <c r="C33" s="75"/>
    </row>
    <row r="34" spans="1:6" x14ac:dyDescent="0.4">
      <c r="A34" s="1" t="s">
        <v>150</v>
      </c>
      <c r="B34" s="6">
        <f>B31-B32</f>
        <v>1991550</v>
      </c>
      <c r="C34" s="190">
        <f>C31-C32</f>
        <v>0.85</v>
      </c>
      <c r="D34" s="6">
        <f>C34*$B$8</f>
        <v>7225</v>
      </c>
    </row>
    <row r="35" spans="1:6" x14ac:dyDescent="0.4">
      <c r="A35" s="1" t="s">
        <v>151</v>
      </c>
      <c r="B35" s="6">
        <f>B34*50%</f>
        <v>995775</v>
      </c>
      <c r="C35" s="190">
        <f>C34*50%</f>
        <v>0.42499999999999999</v>
      </c>
      <c r="D35" s="6">
        <f>C35*$B$8</f>
        <v>3612.5</v>
      </c>
    </row>
    <row r="37" spans="1:6" x14ac:dyDescent="0.4">
      <c r="A37" s="2" t="s">
        <v>159</v>
      </c>
      <c r="C37" s="75"/>
    </row>
    <row r="38" spans="1:6" x14ac:dyDescent="0.4">
      <c r="A38" s="2"/>
      <c r="B38" s="2" t="s">
        <v>157</v>
      </c>
      <c r="C38" s="2" t="s">
        <v>21</v>
      </c>
      <c r="D38" s="2" t="s">
        <v>156</v>
      </c>
    </row>
    <row r="39" spans="1:6" x14ac:dyDescent="0.4">
      <c r="A39" s="1" t="s">
        <v>153</v>
      </c>
      <c r="B39" s="5">
        <f>'מ"ר אקו'' נחלה'!D57*'תחשיב לפי שווי שומה (2)'!$B$8</f>
        <v>2437800</v>
      </c>
      <c r="C39" s="190">
        <v>1</v>
      </c>
      <c r="D39" s="6">
        <f>C39*$B$8</f>
        <v>8500</v>
      </c>
    </row>
    <row r="40" spans="1:6" x14ac:dyDescent="0.4">
      <c r="A40" s="1" t="s">
        <v>160</v>
      </c>
      <c r="B40" s="6">
        <f>B39*70%</f>
        <v>1706460</v>
      </c>
      <c r="C40" s="190">
        <v>0.7</v>
      </c>
      <c r="D40" s="6">
        <f>C40*$B$8</f>
        <v>5950</v>
      </c>
    </row>
    <row r="41" spans="1:6" x14ac:dyDescent="0.4">
      <c r="C41" s="75"/>
    </row>
    <row r="42" spans="1:6" x14ac:dyDescent="0.4">
      <c r="A42" s="1" t="s">
        <v>150</v>
      </c>
      <c r="B42" s="6">
        <f>B39-B40</f>
        <v>731340</v>
      </c>
      <c r="C42" s="190">
        <f>C39-C40</f>
        <v>0.30000000000000004</v>
      </c>
      <c r="D42" s="6">
        <f>C42*$B$8</f>
        <v>2550.0000000000005</v>
      </c>
      <c r="F42" s="6"/>
    </row>
    <row r="43" spans="1:6" x14ac:dyDescent="0.4">
      <c r="A43" s="1" t="s">
        <v>151</v>
      </c>
      <c r="B43" s="6">
        <f>B42*50%</f>
        <v>365670</v>
      </c>
      <c r="C43" s="190">
        <f>C42*50%</f>
        <v>0.15000000000000002</v>
      </c>
      <c r="D43" s="6">
        <f>C43*$B$8</f>
        <v>1275.0000000000002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H8:O23"/>
  <sheetViews>
    <sheetView rightToLeft="1" workbookViewId="0">
      <selection activeCell="H29" sqref="H28:H29"/>
    </sheetView>
  </sheetViews>
  <sheetFormatPr defaultRowHeight="14" x14ac:dyDescent="0.3"/>
  <sheetData>
    <row r="8" spans="8:15" ht="14.5" thickBot="1" x14ac:dyDescent="0.35"/>
    <row r="9" spans="8:15" ht="14.5" thickBot="1" x14ac:dyDescent="0.35">
      <c r="H9" s="312" t="s">
        <v>203</v>
      </c>
      <c r="I9" s="313"/>
      <c r="J9" s="313"/>
      <c r="K9" s="313"/>
      <c r="L9" s="313"/>
      <c r="M9" s="313"/>
      <c r="N9" s="313"/>
      <c r="O9" s="314"/>
    </row>
    <row r="10" spans="8:15" x14ac:dyDescent="0.3">
      <c r="H10" s="315" t="s">
        <v>204</v>
      </c>
      <c r="I10" s="316"/>
      <c r="J10" s="315" t="s">
        <v>205</v>
      </c>
      <c r="K10" s="316"/>
      <c r="L10" s="319" t="s">
        <v>206</v>
      </c>
      <c r="M10" s="320"/>
      <c r="N10" s="315" t="s">
        <v>5</v>
      </c>
      <c r="O10" s="316"/>
    </row>
    <row r="11" spans="8:15" ht="14.5" thickBot="1" x14ac:dyDescent="0.35">
      <c r="H11" s="317"/>
      <c r="I11" s="318"/>
      <c r="J11" s="317"/>
      <c r="K11" s="318"/>
      <c r="L11" s="321"/>
      <c r="M11" s="322"/>
      <c r="N11" s="317"/>
      <c r="O11" s="318"/>
    </row>
    <row r="12" spans="8:15" x14ac:dyDescent="0.3">
      <c r="H12" s="307" t="s">
        <v>207</v>
      </c>
      <c r="I12" s="308"/>
      <c r="J12" s="309">
        <f>240000</f>
        <v>240000</v>
      </c>
      <c r="K12" s="309"/>
      <c r="L12" s="309">
        <f>240000</f>
        <v>240000</v>
      </c>
      <c r="M12" s="309"/>
      <c r="N12" s="309">
        <v>2700000</v>
      </c>
      <c r="O12" s="310"/>
    </row>
    <row r="13" spans="8:15" x14ac:dyDescent="0.3">
      <c r="H13" s="294"/>
      <c r="I13" s="295"/>
      <c r="J13" s="305"/>
      <c r="K13" s="305"/>
      <c r="L13" s="305"/>
      <c r="M13" s="305"/>
      <c r="N13" s="305"/>
      <c r="O13" s="311"/>
    </row>
    <row r="14" spans="8:15" x14ac:dyDescent="0.3">
      <c r="H14" s="294" t="s">
        <v>208</v>
      </c>
      <c r="I14" s="295"/>
      <c r="J14" s="305">
        <f>1000000</f>
        <v>1000000</v>
      </c>
      <c r="K14" s="305"/>
      <c r="L14" s="305">
        <v>1730000</v>
      </c>
      <c r="M14" s="305"/>
      <c r="N14" s="295" t="s">
        <v>209</v>
      </c>
      <c r="O14" s="299"/>
    </row>
    <row r="15" spans="8:15" x14ac:dyDescent="0.3">
      <c r="H15" s="294"/>
      <c r="I15" s="295"/>
      <c r="J15" s="305"/>
      <c r="K15" s="305"/>
      <c r="L15" s="305"/>
      <c r="M15" s="305"/>
      <c r="N15" s="295"/>
      <c r="O15" s="299"/>
    </row>
    <row r="16" spans="8:15" x14ac:dyDescent="0.3">
      <c r="H16" s="294" t="s">
        <v>210</v>
      </c>
      <c r="I16" s="295"/>
      <c r="J16" s="298">
        <f>(J14+J12)*0.06</f>
        <v>74400</v>
      </c>
      <c r="K16" s="298"/>
      <c r="L16" s="298">
        <f>(L14+L12)*0.06</f>
        <v>118200</v>
      </c>
      <c r="M16" s="298"/>
      <c r="N16" s="298">
        <f>N12*0.06</f>
        <v>162000</v>
      </c>
      <c r="O16" s="306"/>
    </row>
    <row r="17" spans="8:15" x14ac:dyDescent="0.3">
      <c r="H17" s="294"/>
      <c r="I17" s="295"/>
      <c r="J17" s="298"/>
      <c r="K17" s="298"/>
      <c r="L17" s="298"/>
      <c r="M17" s="298"/>
      <c r="N17" s="298"/>
      <c r="O17" s="306"/>
    </row>
    <row r="18" spans="8:15" x14ac:dyDescent="0.3">
      <c r="H18" s="294" t="s">
        <v>211</v>
      </c>
      <c r="I18" s="295"/>
      <c r="J18" s="295" t="s">
        <v>209</v>
      </c>
      <c r="K18" s="295"/>
      <c r="L18" s="298">
        <v>144000</v>
      </c>
      <c r="M18" s="298"/>
      <c r="N18" s="295" t="s">
        <v>209</v>
      </c>
      <c r="O18" s="299"/>
    </row>
    <row r="19" spans="8:15" x14ac:dyDescent="0.3">
      <c r="H19" s="294"/>
      <c r="I19" s="295"/>
      <c r="J19" s="295"/>
      <c r="K19" s="295"/>
      <c r="L19" s="298"/>
      <c r="M19" s="298"/>
      <c r="N19" s="295"/>
      <c r="O19" s="299"/>
    </row>
    <row r="20" spans="8:15" x14ac:dyDescent="0.3">
      <c r="H20" s="301" t="s">
        <v>8</v>
      </c>
      <c r="I20" s="302"/>
      <c r="J20" s="303">
        <f>SUM(J12:K19)</f>
        <v>1314400</v>
      </c>
      <c r="K20" s="302"/>
      <c r="L20" s="303">
        <f>SUM(L12:M19)</f>
        <v>2232200</v>
      </c>
      <c r="M20" s="302"/>
      <c r="N20" s="303">
        <f>SUM(N12:O19)</f>
        <v>2862000</v>
      </c>
      <c r="O20" s="304"/>
    </row>
    <row r="21" spans="8:15" x14ac:dyDescent="0.3">
      <c r="H21" s="301"/>
      <c r="I21" s="302"/>
      <c r="J21" s="302"/>
      <c r="K21" s="302"/>
      <c r="L21" s="302"/>
      <c r="M21" s="302"/>
      <c r="N21" s="302"/>
      <c r="O21" s="304"/>
    </row>
    <row r="22" spans="8:15" x14ac:dyDescent="0.3">
      <c r="H22" s="294" t="s">
        <v>212</v>
      </c>
      <c r="I22" s="295"/>
      <c r="J22" s="298">
        <v>500000</v>
      </c>
      <c r="K22" s="295"/>
      <c r="L22" s="298">
        <v>1500000</v>
      </c>
      <c r="M22" s="295"/>
      <c r="N22" s="295" t="s">
        <v>213</v>
      </c>
      <c r="O22" s="299"/>
    </row>
    <row r="23" spans="8:15" ht="14.5" thickBot="1" x14ac:dyDescent="0.35">
      <c r="H23" s="296"/>
      <c r="I23" s="297"/>
      <c r="J23" s="297"/>
      <c r="K23" s="297"/>
      <c r="L23" s="297"/>
      <c r="M23" s="297"/>
      <c r="N23" s="297"/>
      <c r="O23" s="300"/>
    </row>
  </sheetData>
  <mergeCells count="29">
    <mergeCell ref="H12:I13"/>
    <mergeCell ref="J12:K13"/>
    <mergeCell ref="L12:M13"/>
    <mergeCell ref="N12:O13"/>
    <mergeCell ref="H9:O9"/>
    <mergeCell ref="H10:I11"/>
    <mergeCell ref="J10:K11"/>
    <mergeCell ref="L10:M11"/>
    <mergeCell ref="N10:O11"/>
    <mergeCell ref="H14:I15"/>
    <mergeCell ref="J14:K15"/>
    <mergeCell ref="L14:M15"/>
    <mergeCell ref="N14:O15"/>
    <mergeCell ref="H16:I17"/>
    <mergeCell ref="J16:K17"/>
    <mergeCell ref="L16:M17"/>
    <mergeCell ref="N16:O17"/>
    <mergeCell ref="H22:I23"/>
    <mergeCell ref="J22:K23"/>
    <mergeCell ref="L22:M23"/>
    <mergeCell ref="N22:O23"/>
    <mergeCell ref="H18:I19"/>
    <mergeCell ref="J18:K19"/>
    <mergeCell ref="L18:M19"/>
    <mergeCell ref="N18:O19"/>
    <mergeCell ref="H20:I21"/>
    <mergeCell ref="J20:K21"/>
    <mergeCell ref="L20:M21"/>
    <mergeCell ref="N20:O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Y92"/>
  <sheetViews>
    <sheetView rightToLeft="1" topLeftCell="A62" workbookViewId="0">
      <selection activeCell="J87" sqref="J87"/>
    </sheetView>
  </sheetViews>
  <sheetFormatPr defaultRowHeight="14" x14ac:dyDescent="0.3"/>
  <cols>
    <col min="1" max="1" width="20.08203125" customWidth="1"/>
    <col min="2" max="2" width="9.83203125" bestFit="1" customWidth="1"/>
    <col min="3" max="3" width="6.58203125" customWidth="1"/>
    <col min="4" max="4" width="11.5" customWidth="1"/>
    <col min="6" max="6" width="19.4140625" bestFit="1" customWidth="1"/>
    <col min="7" max="7" width="12.4140625" bestFit="1" customWidth="1"/>
    <col min="10" max="10" width="9.83203125" bestFit="1" customWidth="1"/>
    <col min="11" max="11" width="12.1640625" bestFit="1" customWidth="1"/>
    <col min="13" max="13" width="10.6640625" bestFit="1" customWidth="1"/>
    <col min="14" max="14" width="8.83203125" customWidth="1"/>
    <col min="15" max="15" width="12.9140625" customWidth="1"/>
    <col min="18" max="18" width="8.83203125" customWidth="1"/>
    <col min="19" max="19" width="9.83203125" customWidth="1"/>
    <col min="20" max="20" width="13" bestFit="1" customWidth="1"/>
    <col min="21" max="21" width="12" customWidth="1"/>
    <col min="22" max="22" width="15.58203125" customWidth="1"/>
    <col min="23" max="23" width="11" customWidth="1"/>
    <col min="24" max="24" width="13.1640625" bestFit="1" customWidth="1"/>
    <col min="25" max="25" width="9.5" bestFit="1" customWidth="1"/>
  </cols>
  <sheetData>
    <row r="1" spans="1:10" ht="14.5" thickBot="1" x14ac:dyDescent="0.35"/>
    <row r="2" spans="1:10" x14ac:dyDescent="0.3">
      <c r="A2" s="10" t="s">
        <v>19</v>
      </c>
      <c r="B2" s="11">
        <v>2500</v>
      </c>
      <c r="C2" s="12" t="s">
        <v>128</v>
      </c>
      <c r="D2" s="13"/>
      <c r="F2" s="10" t="s">
        <v>19</v>
      </c>
      <c r="G2" s="11">
        <v>3000</v>
      </c>
      <c r="H2" s="12"/>
      <c r="I2" s="13"/>
    </row>
    <row r="3" spans="1:10" x14ac:dyDescent="0.3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3">
      <c r="A4" s="18" t="s">
        <v>55</v>
      </c>
      <c r="B4" s="19">
        <v>450</v>
      </c>
      <c r="C4" s="20">
        <v>1</v>
      </c>
      <c r="D4" s="21">
        <f>C4*B4</f>
        <v>450</v>
      </c>
      <c r="F4" s="18" t="str">
        <f t="shared" ref="F4:H7" si="0">A4</f>
        <v>עיקרי</v>
      </c>
      <c r="G4" s="19">
        <f t="shared" si="0"/>
        <v>450</v>
      </c>
      <c r="H4" s="20">
        <f t="shared" si="0"/>
        <v>1</v>
      </c>
      <c r="I4" s="21">
        <f>H4*G4</f>
        <v>450</v>
      </c>
    </row>
    <row r="5" spans="1:10" x14ac:dyDescent="0.3">
      <c r="A5" s="18" t="s">
        <v>23</v>
      </c>
      <c r="B5" s="19">
        <v>25</v>
      </c>
      <c r="C5" s="20">
        <v>0.9</v>
      </c>
      <c r="D5" s="21">
        <f>C5*B5</f>
        <v>22.5</v>
      </c>
      <c r="F5" s="18" t="str">
        <f t="shared" si="0"/>
        <v>מרחבים מוגנים</v>
      </c>
      <c r="G5" s="19">
        <f t="shared" si="0"/>
        <v>25</v>
      </c>
      <c r="H5" s="20">
        <f t="shared" si="0"/>
        <v>0.9</v>
      </c>
      <c r="I5" s="21">
        <f>H5*G5</f>
        <v>22.5</v>
      </c>
    </row>
    <row r="6" spans="1:10" x14ac:dyDescent="0.3">
      <c r="A6" s="18" t="s">
        <v>95</v>
      </c>
      <c r="B6" s="19">
        <v>125</v>
      </c>
      <c r="C6" s="20">
        <v>0.4</v>
      </c>
      <c r="D6" s="21">
        <f>C6*B6</f>
        <v>50</v>
      </c>
      <c r="F6" s="18" t="str">
        <f t="shared" si="0"/>
        <v>יתרת ש"ש</v>
      </c>
      <c r="G6" s="19">
        <f t="shared" si="0"/>
        <v>125</v>
      </c>
      <c r="H6" s="20">
        <f t="shared" si="0"/>
        <v>0.4</v>
      </c>
      <c r="I6" s="21">
        <f>H6*G6</f>
        <v>50</v>
      </c>
    </row>
    <row r="7" spans="1:10" x14ac:dyDescent="0.3">
      <c r="A7" s="18" t="s">
        <v>26</v>
      </c>
      <c r="B7" s="19"/>
      <c r="C7" s="20">
        <v>0.5</v>
      </c>
      <c r="D7" s="21">
        <f>C7*B7</f>
        <v>0</v>
      </c>
      <c r="F7" s="18" t="str">
        <f t="shared" si="0"/>
        <v>מבנה עזר - יתרת שטח</v>
      </c>
      <c r="G7" s="19">
        <f t="shared" si="0"/>
        <v>0</v>
      </c>
      <c r="H7" s="20">
        <f t="shared" si="0"/>
        <v>0.5</v>
      </c>
      <c r="I7" s="21">
        <f>H7*G7</f>
        <v>0</v>
      </c>
    </row>
    <row r="8" spans="1:10" x14ac:dyDescent="0.3">
      <c r="A8" s="22" t="s">
        <v>27</v>
      </c>
      <c r="B8" s="23">
        <f>SUM(B4:B7)</f>
        <v>600</v>
      </c>
      <c r="C8" s="24"/>
      <c r="D8" s="25"/>
      <c r="E8" s="91"/>
      <c r="F8" s="22" t="s">
        <v>27</v>
      </c>
      <c r="G8" s="23">
        <f>SUM(G4:G7)</f>
        <v>600</v>
      </c>
      <c r="H8" s="24"/>
      <c r="I8" s="25"/>
    </row>
    <row r="9" spans="1:10" x14ac:dyDescent="0.3">
      <c r="A9" s="26" t="s">
        <v>28</v>
      </c>
      <c r="B9" s="27">
        <f>B2-B8</f>
        <v>1900</v>
      </c>
      <c r="C9" s="28"/>
      <c r="D9" s="29"/>
      <c r="F9" s="26" t="s">
        <v>28</v>
      </c>
      <c r="G9" s="27">
        <f>G2-G8</f>
        <v>2400</v>
      </c>
      <c r="H9" s="28"/>
      <c r="I9" s="29"/>
    </row>
    <row r="10" spans="1:10" x14ac:dyDescent="0.3">
      <c r="A10" s="22" t="s">
        <v>29</v>
      </c>
      <c r="B10" s="23">
        <v>1000</v>
      </c>
      <c r="C10" s="24">
        <v>0.25</v>
      </c>
      <c r="D10" s="25">
        <f>C10*B10</f>
        <v>250</v>
      </c>
      <c r="F10" s="22" t="s">
        <v>29</v>
      </c>
      <c r="G10" s="23">
        <f>B10</f>
        <v>1000</v>
      </c>
      <c r="H10" s="24">
        <v>0.25</v>
      </c>
      <c r="I10" s="25">
        <f>H10*G10</f>
        <v>250</v>
      </c>
    </row>
    <row r="11" spans="1:10" x14ac:dyDescent="0.3">
      <c r="A11" s="18" t="s">
        <v>30</v>
      </c>
      <c r="B11" s="19">
        <v>1000</v>
      </c>
      <c r="C11" s="20">
        <v>0.2</v>
      </c>
      <c r="D11" s="21">
        <f>C11*B11</f>
        <v>200</v>
      </c>
      <c r="F11" s="18" t="s">
        <v>30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3">
      <c r="A12" s="18"/>
      <c r="B12" s="19"/>
      <c r="C12" s="20"/>
      <c r="D12" s="21"/>
      <c r="F12" s="18" t="s">
        <v>72</v>
      </c>
      <c r="G12" s="19">
        <v>500</v>
      </c>
      <c r="H12" s="20">
        <v>0.1</v>
      </c>
      <c r="I12" s="21">
        <f>G12*H12</f>
        <v>50</v>
      </c>
    </row>
    <row r="13" spans="1:10" x14ac:dyDescent="0.3">
      <c r="A13" s="30" t="s">
        <v>31</v>
      </c>
      <c r="B13" s="31">
        <f>SUM(B4:B11)</f>
        <v>5100</v>
      </c>
      <c r="C13" s="32"/>
      <c r="D13" s="33">
        <f>SUM(D4:D12)</f>
        <v>972.5</v>
      </c>
      <c r="F13" s="30" t="s">
        <v>31</v>
      </c>
      <c r="G13" s="31">
        <f>SUM(G4:G11)</f>
        <v>5600</v>
      </c>
      <c r="H13" s="32"/>
      <c r="I13" s="33">
        <f>SUM(I4:I12)</f>
        <v>1022.5</v>
      </c>
      <c r="J13" s="74"/>
    </row>
    <row r="14" spans="1:10" ht="14.5" thickBot="1" x14ac:dyDescent="0.35">
      <c r="A14" s="34" t="s">
        <v>32</v>
      </c>
      <c r="B14" s="35"/>
      <c r="C14" s="36"/>
      <c r="D14" s="37">
        <f>D13</f>
        <v>972.5</v>
      </c>
      <c r="E14" s="72"/>
      <c r="F14" s="34" t="s">
        <v>32</v>
      </c>
      <c r="G14" s="35"/>
      <c r="H14" s="36"/>
      <c r="I14" s="37">
        <f>I13</f>
        <v>1022.5</v>
      </c>
    </row>
    <row r="15" spans="1:10" x14ac:dyDescent="0.3">
      <c r="A15" t="s">
        <v>66</v>
      </c>
      <c r="D15" s="17">
        <v>247000</v>
      </c>
      <c r="F15" t="s">
        <v>66</v>
      </c>
      <c r="I15" s="17">
        <v>263000</v>
      </c>
    </row>
    <row r="16" spans="1:10" ht="14.5" thickBot="1" x14ac:dyDescent="0.35">
      <c r="D16" s="17"/>
      <c r="I16" s="17"/>
    </row>
    <row r="17" spans="1:9" x14ac:dyDescent="0.3">
      <c r="A17" s="10" t="s">
        <v>69</v>
      </c>
      <c r="B17" s="11">
        <v>2500</v>
      </c>
      <c r="C17" s="12" t="s">
        <v>96</v>
      </c>
      <c r="D17" s="13"/>
      <c r="I17" s="17"/>
    </row>
    <row r="18" spans="1:9" x14ac:dyDescent="0.3">
      <c r="A18" s="14"/>
      <c r="B18" s="15" t="s">
        <v>20</v>
      </c>
      <c r="C18" s="15" t="s">
        <v>21</v>
      </c>
      <c r="D18" s="16" t="s">
        <v>22</v>
      </c>
      <c r="I18" s="17"/>
    </row>
    <row r="19" spans="1:9" x14ac:dyDescent="0.3">
      <c r="A19" s="18" t="s">
        <v>55</v>
      </c>
      <c r="B19" s="19">
        <v>85</v>
      </c>
      <c r="C19" s="20">
        <v>1</v>
      </c>
      <c r="D19" s="21">
        <f>C19*B19</f>
        <v>85</v>
      </c>
      <c r="I19" s="17"/>
    </row>
    <row r="20" spans="1:9" x14ac:dyDescent="0.3">
      <c r="A20" s="18" t="s">
        <v>68</v>
      </c>
      <c r="B20" s="19">
        <v>12</v>
      </c>
      <c r="C20" s="20">
        <v>0.9</v>
      </c>
      <c r="D20" s="21">
        <f>C20*B20</f>
        <v>10.8</v>
      </c>
      <c r="I20" s="17"/>
    </row>
    <row r="21" spans="1:9" x14ac:dyDescent="0.3">
      <c r="A21" s="18" t="s">
        <v>97</v>
      </c>
      <c r="B21" s="19">
        <v>47.5</v>
      </c>
      <c r="C21" s="20">
        <v>0.5</v>
      </c>
      <c r="D21" s="21">
        <f>C21*B21</f>
        <v>23.75</v>
      </c>
      <c r="I21" s="17"/>
    </row>
    <row r="22" spans="1:9" x14ac:dyDescent="0.3">
      <c r="A22" s="18" t="s">
        <v>98</v>
      </c>
      <c r="B22" s="19">
        <v>180</v>
      </c>
      <c r="C22" s="20">
        <v>0.3</v>
      </c>
      <c r="D22" s="21">
        <f>C22*B22</f>
        <v>54</v>
      </c>
      <c r="I22" s="17"/>
    </row>
    <row r="23" spans="1:9" x14ac:dyDescent="0.3">
      <c r="A23" s="18"/>
      <c r="B23" s="19"/>
      <c r="C23" s="20"/>
      <c r="D23" s="21"/>
      <c r="I23" s="17"/>
    </row>
    <row r="24" spans="1:9" x14ac:dyDescent="0.3">
      <c r="A24" s="18"/>
      <c r="B24" s="19"/>
      <c r="C24" s="20"/>
      <c r="D24" s="21"/>
      <c r="H24">
        <f>876+73</f>
        <v>949</v>
      </c>
      <c r="I24" s="17"/>
    </row>
    <row r="25" spans="1:9" x14ac:dyDescent="0.3">
      <c r="A25" s="22" t="s">
        <v>70</v>
      </c>
      <c r="B25" s="23">
        <v>-145</v>
      </c>
      <c r="C25" s="24">
        <v>0.2</v>
      </c>
      <c r="D25" s="25">
        <f>B25*C25</f>
        <v>-29</v>
      </c>
      <c r="H25">
        <f>H24+137</f>
        <v>1086</v>
      </c>
      <c r="I25" s="17"/>
    </row>
    <row r="26" spans="1:9" x14ac:dyDescent="0.3">
      <c r="A26" s="18"/>
      <c r="B26" s="19"/>
      <c r="C26" s="20"/>
      <c r="D26" s="21"/>
      <c r="I26" s="17"/>
    </row>
    <row r="27" spans="1:9" x14ac:dyDescent="0.3">
      <c r="A27" s="30" t="s">
        <v>88</v>
      </c>
      <c r="B27" s="31"/>
      <c r="C27" s="32"/>
      <c r="D27" s="33"/>
      <c r="I27" s="17"/>
    </row>
    <row r="28" spans="1:9" ht="14.5" thickBot="1" x14ac:dyDescent="0.35">
      <c r="A28" s="34" t="s">
        <v>32</v>
      </c>
      <c r="B28" s="35"/>
      <c r="C28" s="36"/>
      <c r="D28" s="37">
        <f>SUM(D19:D27)</f>
        <v>144.55000000000001</v>
      </c>
      <c r="I28" s="17"/>
    </row>
    <row r="29" spans="1:9" ht="14.5" thickBot="1" x14ac:dyDescent="0.35">
      <c r="D29" s="17"/>
      <c r="I29" s="17"/>
    </row>
    <row r="30" spans="1:9" ht="14.5" thickBot="1" x14ac:dyDescent="0.35">
      <c r="A30" s="323" t="s">
        <v>196</v>
      </c>
      <c r="B30" s="324"/>
      <c r="C30" s="324"/>
      <c r="D30" s="325"/>
      <c r="I30" s="17"/>
    </row>
    <row r="31" spans="1:9" x14ac:dyDescent="0.3">
      <c r="A31" s="212" t="s">
        <v>197</v>
      </c>
      <c r="B31" s="12"/>
      <c r="C31" s="12"/>
      <c r="D31" s="213">
        <v>186</v>
      </c>
      <c r="I31" s="17"/>
    </row>
    <row r="32" spans="1:9" x14ac:dyDescent="0.3">
      <c r="A32" s="18" t="s">
        <v>198</v>
      </c>
      <c r="D32" s="214">
        <v>160</v>
      </c>
      <c r="I32" s="17"/>
    </row>
    <row r="33" spans="1:25" ht="14.5" thickBot="1" x14ac:dyDescent="0.35">
      <c r="A33" s="101" t="s">
        <v>199</v>
      </c>
      <c r="B33" s="103"/>
      <c r="C33" s="103"/>
      <c r="D33" s="215">
        <f>D31-D32</f>
        <v>26</v>
      </c>
      <c r="I33" s="17"/>
    </row>
    <row r="34" spans="1:25" x14ac:dyDescent="0.3">
      <c r="A34" s="10" t="s">
        <v>200</v>
      </c>
      <c r="B34" s="12"/>
      <c r="C34" s="12"/>
      <c r="D34" s="213">
        <v>240</v>
      </c>
      <c r="I34" s="17"/>
    </row>
    <row r="35" spans="1:25" x14ac:dyDescent="0.3">
      <c r="A35" s="18" t="s">
        <v>198</v>
      </c>
      <c r="D35" s="214">
        <v>160</v>
      </c>
      <c r="I35" s="17"/>
    </row>
    <row r="36" spans="1:25" ht="14.5" thickBot="1" x14ac:dyDescent="0.35">
      <c r="A36" s="101" t="s">
        <v>199</v>
      </c>
      <c r="B36" s="103"/>
      <c r="C36" s="103"/>
      <c r="D36" s="215">
        <f>D34-D35</f>
        <v>80</v>
      </c>
      <c r="I36" s="17"/>
    </row>
    <row r="37" spans="1:25" ht="14.5" thickBot="1" x14ac:dyDescent="0.35">
      <c r="A37" s="18"/>
      <c r="D37" s="214"/>
      <c r="I37" s="17"/>
    </row>
    <row r="38" spans="1:25" ht="14.5" thickBot="1" x14ac:dyDescent="0.35">
      <c r="A38" s="216" t="s">
        <v>201</v>
      </c>
      <c r="B38" s="217"/>
      <c r="C38" s="217"/>
      <c r="D38" s="218">
        <f>D36+D33</f>
        <v>106</v>
      </c>
      <c r="I38" s="17"/>
    </row>
    <row r="39" spans="1:25" x14ac:dyDescent="0.3">
      <c r="D39" s="17"/>
      <c r="I39" s="17"/>
    </row>
    <row r="40" spans="1:25" x14ac:dyDescent="0.3">
      <c r="D40" s="17"/>
      <c r="I40" s="17"/>
    </row>
    <row r="41" spans="1:25" x14ac:dyDescent="0.3">
      <c r="A41" t="s">
        <v>202</v>
      </c>
      <c r="D41" s="17">
        <f>D14+D28-D38</f>
        <v>1011.05</v>
      </c>
      <c r="I41" s="17"/>
    </row>
    <row r="42" spans="1:25" x14ac:dyDescent="0.3">
      <c r="D42" s="17"/>
      <c r="I42" s="17"/>
    </row>
    <row r="43" spans="1:25" x14ac:dyDescent="0.3">
      <c r="D43" s="17"/>
      <c r="I43" s="17"/>
    </row>
    <row r="44" spans="1:25" x14ac:dyDescent="0.3">
      <c r="D44" s="17"/>
      <c r="I44" s="17"/>
    </row>
    <row r="45" spans="1:25" ht="14.5" thickBot="1" x14ac:dyDescent="0.35">
      <c r="D45" s="17"/>
      <c r="I45" s="17"/>
    </row>
    <row r="46" spans="1:25" ht="14.5" thickBot="1" x14ac:dyDescent="0.35">
      <c r="A46" s="39" t="s">
        <v>158</v>
      </c>
      <c r="O46" s="219" t="s">
        <v>214</v>
      </c>
      <c r="P46" s="220" t="s">
        <v>215</v>
      </c>
      <c r="Q46" s="220" t="s">
        <v>216</v>
      </c>
      <c r="R46" s="220" t="s">
        <v>217</v>
      </c>
      <c r="S46" s="221" t="s">
        <v>218</v>
      </c>
      <c r="T46" s="219" t="s">
        <v>219</v>
      </c>
      <c r="U46" s="222" t="s">
        <v>220</v>
      </c>
      <c r="V46" s="219" t="s">
        <v>221</v>
      </c>
      <c r="W46" s="222" t="s">
        <v>222</v>
      </c>
      <c r="X46" s="219" t="s">
        <v>221</v>
      </c>
      <c r="Y46" s="222" t="s">
        <v>210</v>
      </c>
    </row>
    <row r="47" spans="1:25" x14ac:dyDescent="0.3">
      <c r="A47" s="10" t="s">
        <v>51</v>
      </c>
      <c r="B47" s="99">
        <v>350</v>
      </c>
      <c r="C47" s="12" t="s">
        <v>74</v>
      </c>
      <c r="D47" s="13"/>
      <c r="F47" s="10" t="s">
        <v>59</v>
      </c>
      <c r="G47" s="12"/>
      <c r="H47" s="12"/>
      <c r="I47" s="13"/>
      <c r="J47" t="s">
        <v>62</v>
      </c>
      <c r="O47" s="326" t="s">
        <v>223</v>
      </c>
      <c r="P47" s="223" t="s">
        <v>14</v>
      </c>
      <c r="Q47" s="223">
        <v>300</v>
      </c>
      <c r="R47" s="223">
        <v>160</v>
      </c>
      <c r="S47" s="224">
        <f>Q47-R47</f>
        <v>140</v>
      </c>
      <c r="T47" s="225">
        <v>3000</v>
      </c>
      <c r="U47" s="226">
        <f>S47*T47</f>
        <v>420000</v>
      </c>
      <c r="V47" s="225">
        <v>0</v>
      </c>
      <c r="W47" s="226">
        <f>S47*V47</f>
        <v>0</v>
      </c>
      <c r="X47" s="227">
        <v>0</v>
      </c>
      <c r="Y47" s="226">
        <v>0</v>
      </c>
    </row>
    <row r="48" spans="1:25" x14ac:dyDescent="0.3">
      <c r="A48" s="22" t="s">
        <v>52</v>
      </c>
      <c r="B48" s="40">
        <v>220</v>
      </c>
      <c r="C48" s="24">
        <v>1</v>
      </c>
      <c r="D48" s="25">
        <f t="shared" ref="D48:D53" si="1">B48*C48</f>
        <v>220</v>
      </c>
      <c r="F48" s="18" t="str">
        <f>A48</f>
        <v>מגורים עיקרי בהרחבה</v>
      </c>
      <c r="G48">
        <v>160</v>
      </c>
      <c r="H48">
        <v>1</v>
      </c>
      <c r="I48" s="21">
        <f>G48*H48</f>
        <v>160</v>
      </c>
      <c r="J48" s="17"/>
      <c r="K48" s="17"/>
      <c r="O48" s="328"/>
      <c r="P48" s="228" t="s">
        <v>15</v>
      </c>
      <c r="Q48" s="228">
        <v>197</v>
      </c>
      <c r="R48" s="228">
        <v>160</v>
      </c>
      <c r="S48" s="229">
        <f>Q48-R48</f>
        <v>37</v>
      </c>
      <c r="T48" s="230">
        <v>3000</v>
      </c>
      <c r="U48" s="231">
        <f>S48*T48</f>
        <v>111000</v>
      </c>
      <c r="V48" s="230">
        <v>0</v>
      </c>
      <c r="W48" s="231">
        <v>0</v>
      </c>
      <c r="X48" s="232">
        <v>0</v>
      </c>
      <c r="Y48" s="231">
        <v>0</v>
      </c>
    </row>
    <row r="49" spans="1:25" x14ac:dyDescent="0.3">
      <c r="A49" s="18" t="s">
        <v>56</v>
      </c>
      <c r="B49" s="19">
        <v>40</v>
      </c>
      <c r="C49" s="20">
        <v>0.5</v>
      </c>
      <c r="D49" s="21">
        <f t="shared" si="1"/>
        <v>20</v>
      </c>
      <c r="F49" s="18" t="s">
        <v>53</v>
      </c>
      <c r="G49" s="91">
        <f>B47-G48</f>
        <v>190</v>
      </c>
      <c r="H49">
        <v>0.25</v>
      </c>
      <c r="I49" s="21">
        <f>G49*H49</f>
        <v>47.5</v>
      </c>
      <c r="J49" s="17"/>
      <c r="K49" s="17"/>
      <c r="O49" s="328"/>
      <c r="P49" s="228" t="s">
        <v>224</v>
      </c>
      <c r="Q49" s="228">
        <v>130</v>
      </c>
      <c r="R49" s="228">
        <v>0</v>
      </c>
      <c r="S49" s="229">
        <f>Q49-R49</f>
        <v>130</v>
      </c>
      <c r="T49" s="230">
        <v>3000</v>
      </c>
      <c r="U49" s="231">
        <f>S49*T49</f>
        <v>390000</v>
      </c>
      <c r="V49" s="230">
        <v>0</v>
      </c>
      <c r="W49" s="231">
        <v>0</v>
      </c>
      <c r="X49" s="232">
        <v>0</v>
      </c>
      <c r="Y49" s="231">
        <v>0</v>
      </c>
    </row>
    <row r="50" spans="1:25" ht="14.5" thickBot="1" x14ac:dyDescent="0.35">
      <c r="A50" s="18" t="s">
        <v>23</v>
      </c>
      <c r="B50" s="19">
        <v>12</v>
      </c>
      <c r="C50" s="20">
        <v>0.9</v>
      </c>
      <c r="D50" s="21">
        <f t="shared" si="1"/>
        <v>10.8</v>
      </c>
      <c r="F50" s="43" t="s">
        <v>60</v>
      </c>
      <c r="G50" s="108"/>
      <c r="H50" s="108"/>
      <c r="I50" s="109">
        <f>I48+I49</f>
        <v>207.5</v>
      </c>
      <c r="J50" s="17">
        <f>'תחשיב לפי שווי שומה (2)'!B8</f>
        <v>8500</v>
      </c>
      <c r="K50" s="17">
        <f>I50*J50</f>
        <v>1763750</v>
      </c>
      <c r="L50" s="110">
        <v>0.29249999999999998</v>
      </c>
      <c r="M50" s="91">
        <f>K50*L50</f>
        <v>515896.87499999994</v>
      </c>
      <c r="O50" s="328"/>
      <c r="P50" s="233" t="s">
        <v>225</v>
      </c>
      <c r="Q50" s="233">
        <v>55</v>
      </c>
      <c r="R50" s="233">
        <v>0</v>
      </c>
      <c r="S50" s="234">
        <f>Q50-R50</f>
        <v>55</v>
      </c>
      <c r="T50" s="235">
        <v>3000</v>
      </c>
      <c r="U50" s="236">
        <f>S50*T50</f>
        <v>165000</v>
      </c>
      <c r="V50" s="235">
        <v>0</v>
      </c>
      <c r="W50" s="236">
        <v>0</v>
      </c>
      <c r="X50" s="237">
        <v>0</v>
      </c>
      <c r="Y50" s="236">
        <v>0</v>
      </c>
    </row>
    <row r="51" spans="1:25" ht="15" thickTop="1" thickBot="1" x14ac:dyDescent="0.35">
      <c r="A51" s="18" t="s">
        <v>24</v>
      </c>
      <c r="B51" s="19">
        <v>11</v>
      </c>
      <c r="C51" s="20">
        <v>0.5</v>
      </c>
      <c r="D51" s="21">
        <f t="shared" si="1"/>
        <v>5.5</v>
      </c>
      <c r="F51" s="101" t="s">
        <v>61</v>
      </c>
      <c r="G51" s="103"/>
      <c r="H51" s="103"/>
      <c r="I51" s="104">
        <f>D57-I50</f>
        <v>79.300000000000011</v>
      </c>
      <c r="J51" s="17">
        <f>J50</f>
        <v>8500</v>
      </c>
      <c r="K51" s="17">
        <f>I51*J51</f>
        <v>674050.00000000012</v>
      </c>
      <c r="L51" s="110">
        <v>0.33</v>
      </c>
      <c r="M51" s="91">
        <f>K51*L51</f>
        <v>222436.50000000006</v>
      </c>
      <c r="O51" s="327"/>
      <c r="P51" s="329" t="s">
        <v>8</v>
      </c>
      <c r="Q51" s="330"/>
      <c r="R51" s="331"/>
      <c r="S51" s="238">
        <f>SUM(S47:S50)</f>
        <v>362</v>
      </c>
      <c r="T51" s="239">
        <v>3000</v>
      </c>
      <c r="U51" s="240">
        <f>SUM(U47:U50)</f>
        <v>1086000</v>
      </c>
      <c r="V51" s="239">
        <v>0</v>
      </c>
      <c r="W51" s="240">
        <v>0</v>
      </c>
      <c r="X51" s="241">
        <v>0</v>
      </c>
      <c r="Y51" s="240">
        <v>0</v>
      </c>
    </row>
    <row r="52" spans="1:25" x14ac:dyDescent="0.3">
      <c r="A52" s="18" t="s">
        <v>25</v>
      </c>
      <c r="B52" s="19">
        <v>30</v>
      </c>
      <c r="C52" s="20">
        <v>0.35</v>
      </c>
      <c r="D52" s="21">
        <f t="shared" si="1"/>
        <v>10.5</v>
      </c>
      <c r="M52" s="91">
        <f>SUM(M50:M51)</f>
        <v>738333.375</v>
      </c>
      <c r="O52" s="307" t="s">
        <v>226</v>
      </c>
      <c r="P52" s="223" t="s">
        <v>226</v>
      </c>
      <c r="Q52" s="242">
        <v>3.7499999999999999E-2</v>
      </c>
      <c r="R52" s="243"/>
      <c r="S52" s="224">
        <v>375</v>
      </c>
      <c r="T52" s="244">
        <v>240000</v>
      </c>
      <c r="U52" s="245">
        <f>T52</f>
        <v>240000</v>
      </c>
      <c r="V52" s="244">
        <v>0</v>
      </c>
      <c r="W52" s="245">
        <v>0</v>
      </c>
      <c r="X52" s="246">
        <v>0.06</v>
      </c>
      <c r="Y52" s="245">
        <f>U52*6%</f>
        <v>14400</v>
      </c>
    </row>
    <row r="53" spans="1:25" ht="14.5" thickBot="1" x14ac:dyDescent="0.35">
      <c r="A53" s="100" t="s">
        <v>26</v>
      </c>
      <c r="B53" s="71"/>
      <c r="C53" s="28">
        <v>0.5</v>
      </c>
      <c r="D53" s="29">
        <f t="shared" si="1"/>
        <v>0</v>
      </c>
      <c r="O53" s="296"/>
      <c r="P53" s="247" t="s">
        <v>227</v>
      </c>
      <c r="Q53" s="247"/>
      <c r="R53" s="247"/>
      <c r="S53" s="248">
        <f>SUM(S51:S52)</f>
        <v>737</v>
      </c>
      <c r="T53" s="249"/>
      <c r="U53" s="250"/>
      <c r="V53" s="249"/>
      <c r="W53" s="250"/>
      <c r="X53" s="251"/>
      <c r="Y53" s="250">
        <v>0</v>
      </c>
    </row>
    <row r="54" spans="1:25" x14ac:dyDescent="0.3">
      <c r="A54" s="22" t="s">
        <v>27</v>
      </c>
      <c r="B54" s="23">
        <f>SUM(B48:B53)-B49</f>
        <v>273</v>
      </c>
      <c r="C54" s="24"/>
      <c r="D54" s="25"/>
      <c r="O54" s="326" t="s">
        <v>170</v>
      </c>
      <c r="P54" s="223" t="s">
        <v>228</v>
      </c>
      <c r="Q54" s="252"/>
      <c r="R54" s="243"/>
      <c r="S54" s="224">
        <v>-160</v>
      </c>
      <c r="T54" s="225">
        <v>950000</v>
      </c>
      <c r="U54" s="226">
        <f>T54</f>
        <v>950000</v>
      </c>
      <c r="V54" s="225">
        <v>450000</v>
      </c>
      <c r="W54" s="226">
        <f>V54</f>
        <v>450000</v>
      </c>
      <c r="X54" s="227">
        <v>0.06</v>
      </c>
      <c r="Y54" s="226">
        <f>U54*6%</f>
        <v>57000</v>
      </c>
    </row>
    <row r="55" spans="1:25" ht="14.5" thickBot="1" x14ac:dyDescent="0.35">
      <c r="A55" s="18" t="s">
        <v>28</v>
      </c>
      <c r="B55" s="19">
        <f>B47-B54</f>
        <v>77</v>
      </c>
      <c r="C55" s="20"/>
      <c r="D55" s="21"/>
      <c r="O55" s="327"/>
      <c r="P55" s="247" t="s">
        <v>229</v>
      </c>
      <c r="Q55" s="247"/>
      <c r="R55" s="247"/>
      <c r="S55" s="248">
        <f>SUM(S53:S54)</f>
        <v>577</v>
      </c>
      <c r="T55" s="249"/>
      <c r="U55" s="250"/>
      <c r="V55" s="249"/>
      <c r="W55" s="250"/>
      <c r="X55" s="251"/>
      <c r="Y55" s="250"/>
    </row>
    <row r="56" spans="1:25" x14ac:dyDescent="0.3">
      <c r="A56" s="26" t="s">
        <v>29</v>
      </c>
      <c r="B56" s="105">
        <v>80</v>
      </c>
      <c r="C56" s="106">
        <v>0.25</v>
      </c>
      <c r="D56" s="107">
        <f>B56*C56</f>
        <v>20</v>
      </c>
      <c r="O56" s="326" t="s">
        <v>230</v>
      </c>
      <c r="P56" s="223" t="s">
        <v>231</v>
      </c>
      <c r="Q56" s="223"/>
      <c r="R56" s="223"/>
      <c r="S56" s="224">
        <f>-Q48-Q49-Q50</f>
        <v>-382</v>
      </c>
      <c r="T56" s="225"/>
      <c r="U56" s="226"/>
      <c r="V56" s="225"/>
      <c r="W56" s="226">
        <v>0</v>
      </c>
      <c r="X56" s="227">
        <v>0</v>
      </c>
      <c r="Y56" s="226">
        <v>0</v>
      </c>
    </row>
    <row r="57" spans="1:25" ht="14.5" thickBot="1" x14ac:dyDescent="0.35">
      <c r="A57" s="101" t="s">
        <v>31</v>
      </c>
      <c r="B57" s="102"/>
      <c r="C57" s="103"/>
      <c r="D57" s="104">
        <f>SUM(D48:D56)</f>
        <v>286.8</v>
      </c>
      <c r="F57" s="91"/>
      <c r="O57" s="327"/>
      <c r="P57" s="247" t="s">
        <v>232</v>
      </c>
      <c r="Q57" s="247"/>
      <c r="R57" s="247"/>
      <c r="S57" s="248">
        <f>SUM(S55:S56)</f>
        <v>195</v>
      </c>
      <c r="T57" s="249">
        <v>0</v>
      </c>
      <c r="U57" s="250">
        <v>0</v>
      </c>
      <c r="V57" s="249"/>
      <c r="W57" s="250">
        <v>0</v>
      </c>
      <c r="X57" s="251">
        <v>0</v>
      </c>
      <c r="Y57" s="250">
        <v>0</v>
      </c>
    </row>
    <row r="58" spans="1:25" ht="14.5" thickBot="1" x14ac:dyDescent="0.35">
      <c r="A58" s="18" t="s">
        <v>75</v>
      </c>
      <c r="B58" s="19"/>
      <c r="D58" s="91">
        <v>100000</v>
      </c>
      <c r="T58" s="216" t="s">
        <v>220</v>
      </c>
      <c r="U58" s="253">
        <f>SUM(U51:U57)</f>
        <v>2276000</v>
      </c>
      <c r="V58" s="217" t="s">
        <v>233</v>
      </c>
      <c r="W58" s="253">
        <f>SUM(W47:W57)</f>
        <v>450000</v>
      </c>
      <c r="X58" s="217" t="s">
        <v>234</v>
      </c>
      <c r="Y58" s="254">
        <f>SUM(Y51:Y57)</f>
        <v>71400</v>
      </c>
    </row>
    <row r="60" spans="1:25" ht="14.5" thickBot="1" x14ac:dyDescent="0.35">
      <c r="A60" t="s">
        <v>94</v>
      </c>
      <c r="B60">
        <v>2500</v>
      </c>
      <c r="F60" t="str">
        <f>A60</f>
        <v>לפי שומת הררי 2021</v>
      </c>
      <c r="G60">
        <v>3000</v>
      </c>
    </row>
    <row r="61" spans="1:25" x14ac:dyDescent="0.3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25" x14ac:dyDescent="0.3">
      <c r="A62" s="18" t="s">
        <v>14</v>
      </c>
      <c r="B62">
        <v>160</v>
      </c>
      <c r="C62">
        <v>1</v>
      </c>
      <c r="D62" s="21">
        <f t="shared" ref="D62:D67" si="2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25" x14ac:dyDescent="0.3">
      <c r="A63" s="18" t="s">
        <v>15</v>
      </c>
      <c r="B63">
        <v>160</v>
      </c>
      <c r="C63">
        <v>1</v>
      </c>
      <c r="D63" s="21">
        <f t="shared" si="2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25" x14ac:dyDescent="0.3">
      <c r="A64" s="18" t="s">
        <v>33</v>
      </c>
      <c r="B64">
        <v>55</v>
      </c>
      <c r="C64">
        <v>1</v>
      </c>
      <c r="D64" s="21">
        <f t="shared" si="2"/>
        <v>55</v>
      </c>
      <c r="F64" s="18" t="s">
        <v>33</v>
      </c>
      <c r="G64">
        <v>55</v>
      </c>
      <c r="H64">
        <v>1</v>
      </c>
      <c r="I64" s="21">
        <f>H64*G64</f>
        <v>55</v>
      </c>
    </row>
    <row r="65" spans="1:9" x14ac:dyDescent="0.3">
      <c r="A65" s="18" t="s">
        <v>27</v>
      </c>
      <c r="B65" s="40">
        <f>SUM(B62:B64)</f>
        <v>375</v>
      </c>
      <c r="D65" s="21"/>
      <c r="F65" s="18" t="s">
        <v>27</v>
      </c>
      <c r="G65" s="40">
        <f>SUM(G62:G64)</f>
        <v>375</v>
      </c>
      <c r="I65" s="21"/>
    </row>
    <row r="66" spans="1:9" x14ac:dyDescent="0.3">
      <c r="A66" s="18" t="s">
        <v>34</v>
      </c>
      <c r="B66">
        <v>1125</v>
      </c>
      <c r="C66" s="20">
        <v>0.25</v>
      </c>
      <c r="D66" s="21">
        <f t="shared" si="2"/>
        <v>281.25</v>
      </c>
      <c r="F66" s="18" t="s">
        <v>34</v>
      </c>
      <c r="G66">
        <v>1125</v>
      </c>
      <c r="H66" s="20">
        <v>0.25</v>
      </c>
      <c r="I66" s="21">
        <f>H66*G66</f>
        <v>281.25</v>
      </c>
    </row>
    <row r="67" spans="1:9" x14ac:dyDescent="0.3">
      <c r="A67" s="18" t="s">
        <v>54</v>
      </c>
      <c r="B67">
        <f>B60-B65-B66</f>
        <v>1000</v>
      </c>
      <c r="C67" s="20">
        <v>0.15</v>
      </c>
      <c r="D67" s="21">
        <f t="shared" si="2"/>
        <v>150</v>
      </c>
      <c r="F67" s="18" t="s">
        <v>54</v>
      </c>
      <c r="G67">
        <v>1000</v>
      </c>
      <c r="H67" s="20">
        <v>0.15</v>
      </c>
      <c r="I67" s="21">
        <f>H67*G67</f>
        <v>150</v>
      </c>
    </row>
    <row r="68" spans="1:9" x14ac:dyDescent="0.3">
      <c r="A68" s="18"/>
      <c r="C68" s="20"/>
      <c r="D68" s="21"/>
      <c r="F68" s="18" t="s">
        <v>73</v>
      </c>
      <c r="G68">
        <v>500</v>
      </c>
      <c r="H68" s="20">
        <v>0.1</v>
      </c>
      <c r="I68" s="128">
        <f>G68*H68</f>
        <v>50</v>
      </c>
    </row>
    <row r="69" spans="1:9" x14ac:dyDescent="0.3">
      <c r="A69" s="43" t="s">
        <v>31</v>
      </c>
      <c r="B69" s="40">
        <f>SUM(B62:B67)</f>
        <v>2875</v>
      </c>
      <c r="C69" s="40"/>
      <c r="D69" s="44">
        <f>SUM(D62:D67)</f>
        <v>806.25</v>
      </c>
      <c r="F69" s="43" t="s">
        <v>31</v>
      </c>
      <c r="G69" s="40">
        <f>SUM(G62:G68)</f>
        <v>3375</v>
      </c>
      <c r="H69" s="40"/>
      <c r="I69" s="44">
        <f>SUM(I62:I68)</f>
        <v>856.25</v>
      </c>
    </row>
    <row r="70" spans="1:9" ht="14.5" thickBot="1" x14ac:dyDescent="0.35">
      <c r="A70" s="34" t="s">
        <v>32</v>
      </c>
      <c r="B70" s="45"/>
      <c r="C70" s="45"/>
      <c r="D70" s="46">
        <f>D69</f>
        <v>806.25</v>
      </c>
      <c r="E70" s="72"/>
      <c r="F70" s="34" t="s">
        <v>32</v>
      </c>
      <c r="G70" s="45"/>
      <c r="H70" s="45"/>
      <c r="I70" s="46">
        <f>I69</f>
        <v>856.25</v>
      </c>
    </row>
    <row r="71" spans="1:9" x14ac:dyDescent="0.3">
      <c r="A71" t="s">
        <v>66</v>
      </c>
      <c r="D71" s="17">
        <v>175000</v>
      </c>
      <c r="F71" t="s">
        <v>66</v>
      </c>
      <c r="I71" s="17">
        <v>190000</v>
      </c>
    </row>
    <row r="81" spans="1:10" x14ac:dyDescent="0.3">
      <c r="A81" t="s">
        <v>308</v>
      </c>
    </row>
    <row r="82" spans="1:10" x14ac:dyDescent="0.3">
      <c r="A82" t="s">
        <v>309</v>
      </c>
    </row>
    <row r="83" spans="1:10" x14ac:dyDescent="0.3">
      <c r="A83" t="s">
        <v>53</v>
      </c>
      <c r="B83">
        <v>55</v>
      </c>
      <c r="C83">
        <v>0.2</v>
      </c>
      <c r="D83">
        <f>C83*B83</f>
        <v>11</v>
      </c>
    </row>
    <row r="85" spans="1:10" x14ac:dyDescent="0.3">
      <c r="A85" t="s">
        <v>310</v>
      </c>
      <c r="B85">
        <v>55</v>
      </c>
      <c r="C85">
        <v>1</v>
      </c>
      <c r="D85">
        <f>C85*B85</f>
        <v>55</v>
      </c>
    </row>
    <row r="86" spans="1:10" x14ac:dyDescent="0.3">
      <c r="J86">
        <f>55*2200</f>
        <v>121000</v>
      </c>
    </row>
    <row r="87" spans="1:10" x14ac:dyDescent="0.3">
      <c r="A87" t="s">
        <v>150</v>
      </c>
      <c r="D87">
        <f>D85-D83</f>
        <v>44</v>
      </c>
    </row>
    <row r="89" spans="1:10" x14ac:dyDescent="0.3">
      <c r="A89" t="s">
        <v>151</v>
      </c>
      <c r="D89">
        <f>D87/2</f>
        <v>22</v>
      </c>
    </row>
    <row r="90" spans="1:10" x14ac:dyDescent="0.3">
      <c r="A90" t="s">
        <v>311</v>
      </c>
      <c r="D90">
        <v>5560</v>
      </c>
    </row>
    <row r="92" spans="1:10" x14ac:dyDescent="0.3">
      <c r="A92" t="s">
        <v>312</v>
      </c>
      <c r="D92">
        <f>D90*D89</f>
        <v>122320</v>
      </c>
      <c r="F92">
        <f>D90*0.4</f>
        <v>2224</v>
      </c>
    </row>
  </sheetData>
  <mergeCells count="6">
    <mergeCell ref="A30:D30"/>
    <mergeCell ref="O56:O57"/>
    <mergeCell ref="O54:O55"/>
    <mergeCell ref="O47:O51"/>
    <mergeCell ref="P51:R51"/>
    <mergeCell ref="O52:O5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B2:O75"/>
  <sheetViews>
    <sheetView rightToLeft="1" topLeftCell="A19" zoomScale="70" zoomScaleNormal="70" workbookViewId="0">
      <selection activeCell="O47" sqref="O47:P57"/>
    </sheetView>
  </sheetViews>
  <sheetFormatPr defaultRowHeight="14" x14ac:dyDescent="0.3"/>
  <cols>
    <col min="1" max="1" width="5.33203125" customWidth="1"/>
    <col min="2" max="2" width="22.58203125" bestFit="1" customWidth="1"/>
    <col min="3" max="3" width="11.08203125" bestFit="1" customWidth="1"/>
    <col min="4" max="4" width="19.5" style="17" customWidth="1"/>
    <col min="5" max="5" width="10.83203125" style="17" bestFit="1" customWidth="1"/>
    <col min="6" max="6" width="8.33203125" style="17" bestFit="1" customWidth="1"/>
    <col min="7" max="7" width="8.58203125" bestFit="1" customWidth="1"/>
    <col min="8" max="8" width="14.58203125" bestFit="1" customWidth="1"/>
    <col min="9" max="9" width="12.08203125" bestFit="1" customWidth="1"/>
    <col min="10" max="10" width="14.58203125" bestFit="1" customWidth="1"/>
    <col min="11" max="11" width="13.08203125" bestFit="1" customWidth="1"/>
    <col min="14" max="14" width="11.08203125" bestFit="1" customWidth="1"/>
  </cols>
  <sheetData>
    <row r="2" spans="2:14" ht="17" x14ac:dyDescent="0.6">
      <c r="B2" s="39" t="s">
        <v>154</v>
      </c>
      <c r="C2" s="39"/>
      <c r="D2" s="131"/>
    </row>
    <row r="3" spans="2:14" x14ac:dyDescent="0.3">
      <c r="B3" t="s">
        <v>93</v>
      </c>
      <c r="C3" s="148"/>
      <c r="D3" s="148"/>
      <c r="G3" s="189"/>
      <c r="H3" s="148"/>
      <c r="I3" s="149"/>
      <c r="J3" s="149"/>
    </row>
    <row r="4" spans="2:14" x14ac:dyDescent="0.3">
      <c r="B4" t="s">
        <v>129</v>
      </c>
      <c r="C4" s="186"/>
      <c r="D4" s="38"/>
      <c r="G4" s="189"/>
      <c r="J4" s="149"/>
    </row>
    <row r="5" spans="2:14" x14ac:dyDescent="0.3">
      <c r="B5" t="s">
        <v>130</v>
      </c>
    </row>
    <row r="6" spans="2:14" x14ac:dyDescent="0.3">
      <c r="B6" t="s">
        <v>131</v>
      </c>
      <c r="C6" s="149"/>
      <c r="D6" s="148"/>
    </row>
    <row r="7" spans="2:14" x14ac:dyDescent="0.3">
      <c r="B7" t="s">
        <v>145</v>
      </c>
      <c r="C7">
        <v>8500</v>
      </c>
    </row>
    <row r="8" spans="2:14" x14ac:dyDescent="0.3">
      <c r="C8" s="149"/>
    </row>
    <row r="9" spans="2:14" x14ac:dyDescent="0.3">
      <c r="B9" s="39" t="s">
        <v>132</v>
      </c>
      <c r="C9" s="150"/>
    </row>
    <row r="10" spans="2:14" ht="28" x14ac:dyDescent="0.6">
      <c r="B10" s="39" t="s">
        <v>134</v>
      </c>
      <c r="C10" s="39" t="s">
        <v>133</v>
      </c>
      <c r="D10" s="131" t="s">
        <v>135</v>
      </c>
      <c r="E10" s="131" t="s">
        <v>136</v>
      </c>
      <c r="F10" s="131" t="s">
        <v>137</v>
      </c>
      <c r="G10" s="131" t="s">
        <v>138</v>
      </c>
      <c r="H10" s="188" t="s">
        <v>139</v>
      </c>
      <c r="I10" s="131" t="s">
        <v>140</v>
      </c>
      <c r="J10" s="131" t="s">
        <v>141</v>
      </c>
      <c r="K10" s="131" t="s">
        <v>142</v>
      </c>
      <c r="L10" s="131" t="s">
        <v>143</v>
      </c>
      <c r="M10" s="131" t="s">
        <v>144</v>
      </c>
    </row>
    <row r="11" spans="2:14" x14ac:dyDescent="0.3">
      <c r="B11" s="187"/>
    </row>
    <row r="12" spans="2:14" ht="14.5" thickBot="1" x14ac:dyDescent="0.35"/>
    <row r="13" spans="2:14" ht="14.5" thickBot="1" x14ac:dyDescent="0.35">
      <c r="B13" s="256" t="s">
        <v>253</v>
      </c>
      <c r="C13" s="256" t="s">
        <v>254</v>
      </c>
      <c r="D13" s="256" t="s">
        <v>255</v>
      </c>
      <c r="E13" s="256" t="s">
        <v>256</v>
      </c>
      <c r="F13" s="256" t="s">
        <v>257</v>
      </c>
      <c r="G13" s="256" t="s">
        <v>138</v>
      </c>
      <c r="H13" s="256" t="s">
        <v>258</v>
      </c>
      <c r="I13" s="257" t="s">
        <v>137</v>
      </c>
      <c r="J13" s="258" t="s">
        <v>259</v>
      </c>
      <c r="K13" s="258" t="s">
        <v>260</v>
      </c>
      <c r="L13" s="258" t="s">
        <v>261</v>
      </c>
      <c r="M13" s="258" t="s">
        <v>262</v>
      </c>
      <c r="N13" s="258" t="s">
        <v>263</v>
      </c>
    </row>
    <row r="14" spans="2:14" ht="14.5" thickBot="1" x14ac:dyDescent="0.35">
      <c r="B14" s="259" t="s">
        <v>264</v>
      </c>
      <c r="C14" s="260">
        <v>45553</v>
      </c>
      <c r="D14" s="261">
        <v>4300000</v>
      </c>
      <c r="E14" s="261">
        <f>D14/1.05</f>
        <v>4095238.0952380951</v>
      </c>
      <c r="F14" s="259" t="s">
        <v>265</v>
      </c>
      <c r="G14" s="259">
        <v>1995</v>
      </c>
      <c r="H14" s="259">
        <v>613</v>
      </c>
      <c r="I14" s="259">
        <v>220</v>
      </c>
      <c r="J14" s="262">
        <f>I14*7000</f>
        <v>1540000</v>
      </c>
      <c r="K14" s="263">
        <f>E14-J14</f>
        <v>2555238.0952380951</v>
      </c>
      <c r="L14" s="264">
        <v>1.07</v>
      </c>
      <c r="M14" s="263">
        <f>K14*L14</f>
        <v>2734104.7619047621</v>
      </c>
      <c r="N14" s="265">
        <f>E35</f>
        <v>9118.9411290669686</v>
      </c>
    </row>
    <row r="15" spans="2:14" ht="14.5" thickBot="1" x14ac:dyDescent="0.35">
      <c r="B15" s="266" t="s">
        <v>266</v>
      </c>
      <c r="C15" s="267">
        <v>45084</v>
      </c>
      <c r="D15" s="268">
        <v>4575000</v>
      </c>
      <c r="E15" s="268">
        <f t="shared" ref="E15" si="0">D15/1.05</f>
        <v>4357142.8571428573</v>
      </c>
      <c r="F15" s="266" t="s">
        <v>265</v>
      </c>
      <c r="G15" s="266">
        <v>1998</v>
      </c>
      <c r="H15" s="266">
        <v>831</v>
      </c>
      <c r="I15" s="266">
        <v>203</v>
      </c>
      <c r="J15" s="268">
        <f>I15*7500</f>
        <v>1522500</v>
      </c>
      <c r="K15" s="269">
        <f t="shared" ref="K15" si="1">E15-J15</f>
        <v>2834642.8571428573</v>
      </c>
      <c r="L15" s="270">
        <v>1.1399999999999999</v>
      </c>
      <c r="M15" s="271">
        <f>K15*L15</f>
        <v>3231492.8571428568</v>
      </c>
      <c r="N15" s="265">
        <f>K35</f>
        <v>9445.5229237278763</v>
      </c>
    </row>
    <row r="16" spans="2:14" ht="14.5" thickBot="1" x14ac:dyDescent="0.35">
      <c r="B16" s="332" t="s">
        <v>267</v>
      </c>
      <c r="C16" s="333"/>
      <c r="D16" s="333"/>
      <c r="E16" s="333"/>
      <c r="F16" s="333"/>
      <c r="G16" s="333"/>
      <c r="H16" s="333"/>
      <c r="I16" s="333"/>
      <c r="J16" s="333"/>
      <c r="K16" s="333"/>
      <c r="L16" s="333"/>
      <c r="M16" s="334"/>
      <c r="N16" s="265">
        <f>AVERAGE(N14:N15)</f>
        <v>9282.2320263974216</v>
      </c>
    </row>
    <row r="17" spans="2:14" ht="14.4" customHeight="1" thickBot="1" x14ac:dyDescent="0.35">
      <c r="B17" s="332" t="s">
        <v>276</v>
      </c>
      <c r="C17" s="333"/>
      <c r="D17" s="333"/>
      <c r="E17" s="333"/>
      <c r="F17" s="333"/>
      <c r="G17" s="333"/>
      <c r="H17" s="333"/>
      <c r="I17" s="333"/>
      <c r="J17" s="333"/>
      <c r="K17" s="333"/>
      <c r="L17" s="333"/>
      <c r="M17" s="334"/>
      <c r="N17" s="277">
        <v>0.9</v>
      </c>
    </row>
    <row r="18" spans="2:14" ht="14.5" thickBot="1" x14ac:dyDescent="0.35">
      <c r="B18" s="332" t="s">
        <v>277</v>
      </c>
      <c r="C18" s="333"/>
      <c r="D18" s="333"/>
      <c r="E18" s="333"/>
      <c r="F18" s="333"/>
      <c r="G18" s="333"/>
      <c r="H18" s="333"/>
      <c r="I18" s="333"/>
      <c r="J18" s="333"/>
      <c r="K18" s="333"/>
      <c r="L18" s="333"/>
      <c r="M18" s="334"/>
      <c r="N18" s="265">
        <f>N16*N17</f>
        <v>8354.0088237576801</v>
      </c>
    </row>
    <row r="19" spans="2:14" ht="14.5" thickBot="1" x14ac:dyDescent="0.35">
      <c r="B19" s="323" t="s">
        <v>278</v>
      </c>
      <c r="C19" s="324"/>
      <c r="D19" s="324"/>
      <c r="E19" s="324"/>
      <c r="F19" s="324"/>
      <c r="G19" s="324"/>
      <c r="H19" s="324"/>
      <c r="I19" s="324"/>
      <c r="J19" s="324"/>
      <c r="K19" s="324"/>
      <c r="L19" s="324"/>
      <c r="M19" s="325"/>
      <c r="N19" s="285">
        <v>8500</v>
      </c>
    </row>
    <row r="20" spans="2:14" x14ac:dyDescent="0.3">
      <c r="N20" s="150"/>
    </row>
    <row r="21" spans="2:14" x14ac:dyDescent="0.3">
      <c r="B21" s="272"/>
      <c r="D21"/>
      <c r="E21"/>
      <c r="F21"/>
    </row>
    <row r="22" spans="2:14" x14ac:dyDescent="0.3">
      <c r="B22" s="335" t="s">
        <v>268</v>
      </c>
      <c r="C22" s="335"/>
      <c r="D22" s="335"/>
      <c r="E22" s="335"/>
      <c r="F22" s="228" t="s">
        <v>258</v>
      </c>
      <c r="H22" s="335" t="s">
        <v>268</v>
      </c>
      <c r="I22" s="335"/>
      <c r="J22" s="335"/>
      <c r="K22" s="335"/>
      <c r="L22" s="228" t="s">
        <v>258</v>
      </c>
    </row>
    <row r="23" spans="2:14" x14ac:dyDescent="0.3">
      <c r="B23" s="228" t="s">
        <v>241</v>
      </c>
      <c r="C23" s="228" t="s">
        <v>242</v>
      </c>
      <c r="D23" s="228" t="s">
        <v>21</v>
      </c>
      <c r="E23" s="228" t="s">
        <v>8</v>
      </c>
      <c r="F23" s="228">
        <f>H14</f>
        <v>613</v>
      </c>
      <c r="H23" s="228" t="s">
        <v>241</v>
      </c>
      <c r="I23" s="228" t="s">
        <v>242</v>
      </c>
      <c r="J23" s="228" t="s">
        <v>21</v>
      </c>
      <c r="K23" s="228" t="s">
        <v>8</v>
      </c>
      <c r="L23" s="228">
        <f>H15</f>
        <v>831</v>
      </c>
    </row>
    <row r="24" spans="2:14" x14ac:dyDescent="0.3">
      <c r="B24" s="228" t="s">
        <v>55</v>
      </c>
      <c r="C24" s="228">
        <v>160</v>
      </c>
      <c r="D24" s="228">
        <v>1</v>
      </c>
      <c r="E24" s="228">
        <f>D24*C24</f>
        <v>160</v>
      </c>
      <c r="F24"/>
      <c r="H24" s="228" t="s">
        <v>55</v>
      </c>
      <c r="I24" s="228">
        <v>160</v>
      </c>
      <c r="J24" s="228">
        <v>1</v>
      </c>
      <c r="K24" s="228">
        <f>J24*I24</f>
        <v>160</v>
      </c>
    </row>
    <row r="25" spans="2:14" x14ac:dyDescent="0.3">
      <c r="B25" s="228" t="s">
        <v>279</v>
      </c>
      <c r="C25" s="228">
        <f>220-C24</f>
        <v>60</v>
      </c>
      <c r="D25" s="228">
        <v>0.35</v>
      </c>
      <c r="E25" s="228">
        <f>D25*C25</f>
        <v>21</v>
      </c>
      <c r="F25"/>
      <c r="H25" s="228" t="s">
        <v>279</v>
      </c>
      <c r="I25" s="228">
        <f>220-I24</f>
        <v>60</v>
      </c>
      <c r="J25" s="228">
        <v>0.35</v>
      </c>
      <c r="K25" s="228">
        <f>J25*I25</f>
        <v>21</v>
      </c>
    </row>
    <row r="26" spans="2:14" x14ac:dyDescent="0.3">
      <c r="B26" s="228" t="s">
        <v>269</v>
      </c>
      <c r="C26" s="228">
        <v>12</v>
      </c>
      <c r="D26" s="228">
        <v>0.9</v>
      </c>
      <c r="E26" s="228">
        <f t="shared" ref="E26:E31" si="2">D26*C26</f>
        <v>10.8</v>
      </c>
      <c r="F26"/>
      <c r="H26" s="228" t="s">
        <v>269</v>
      </c>
      <c r="I26" s="228">
        <v>12</v>
      </c>
      <c r="J26" s="228">
        <v>0.9</v>
      </c>
      <c r="K26" s="228">
        <f t="shared" ref="K26:K28" si="3">J26*I26</f>
        <v>10.8</v>
      </c>
    </row>
    <row r="27" spans="2:14" x14ac:dyDescent="0.3">
      <c r="B27" s="228" t="s">
        <v>95</v>
      </c>
      <c r="C27" s="228">
        <f>46-C26</f>
        <v>34</v>
      </c>
      <c r="D27" s="228">
        <f>0.5*0.35</f>
        <v>0.17499999999999999</v>
      </c>
      <c r="E27" s="228">
        <f t="shared" si="2"/>
        <v>5.9499999999999993</v>
      </c>
      <c r="F27"/>
      <c r="H27" s="228" t="s">
        <v>95</v>
      </c>
      <c r="I27" s="228">
        <f>46-I26</f>
        <v>34</v>
      </c>
      <c r="J27" s="228">
        <f>0.5*0.35</f>
        <v>0.17499999999999999</v>
      </c>
      <c r="K27" s="228">
        <f t="shared" si="3"/>
        <v>5.9499999999999993</v>
      </c>
    </row>
    <row r="28" spans="2:14" x14ac:dyDescent="0.3">
      <c r="B28" s="228" t="s">
        <v>244</v>
      </c>
      <c r="C28" s="228">
        <v>50</v>
      </c>
      <c r="D28" s="228">
        <f>0.5*0.35</f>
        <v>0.17499999999999999</v>
      </c>
      <c r="E28" s="228">
        <f t="shared" si="2"/>
        <v>8.75</v>
      </c>
      <c r="F28"/>
      <c r="H28" s="228" t="s">
        <v>244</v>
      </c>
      <c r="I28" s="228">
        <v>50</v>
      </c>
      <c r="J28" s="228">
        <f>0.5*0.35</f>
        <v>0.17499999999999999</v>
      </c>
      <c r="K28" s="228">
        <f t="shared" si="3"/>
        <v>8.75</v>
      </c>
    </row>
    <row r="29" spans="2:14" x14ac:dyDescent="0.3">
      <c r="B29" s="228" t="s">
        <v>270</v>
      </c>
      <c r="C29" s="228">
        <v>180</v>
      </c>
      <c r="D29" s="273" t="s">
        <v>209</v>
      </c>
      <c r="E29" s="273" t="s">
        <v>209</v>
      </c>
      <c r="F29"/>
      <c r="H29" s="228" t="s">
        <v>270</v>
      </c>
      <c r="I29" s="228">
        <v>180</v>
      </c>
      <c r="J29" s="273" t="s">
        <v>209</v>
      </c>
      <c r="K29" s="273" t="s">
        <v>209</v>
      </c>
    </row>
    <row r="30" spans="2:14" x14ac:dyDescent="0.3">
      <c r="B30" s="228" t="s">
        <v>271</v>
      </c>
      <c r="C30" s="228">
        <f>500-C29</f>
        <v>320</v>
      </c>
      <c r="D30" s="228">
        <v>0.25</v>
      </c>
      <c r="E30" s="228">
        <f t="shared" si="2"/>
        <v>80</v>
      </c>
      <c r="F30"/>
      <c r="H30" s="228" t="s">
        <v>271</v>
      </c>
      <c r="I30" s="228">
        <f>500-I29</f>
        <v>320</v>
      </c>
      <c r="J30" s="228">
        <v>0.25</v>
      </c>
      <c r="K30" s="228">
        <f t="shared" ref="K30:K31" si="4">J30*I30</f>
        <v>80</v>
      </c>
    </row>
    <row r="31" spans="2:14" x14ac:dyDescent="0.3">
      <c r="B31" s="228" t="s">
        <v>30</v>
      </c>
      <c r="C31" s="228">
        <f>F23-500</f>
        <v>113</v>
      </c>
      <c r="D31" s="228">
        <v>0.2</v>
      </c>
      <c r="E31" s="228">
        <f t="shared" si="2"/>
        <v>22.6</v>
      </c>
      <c r="F31"/>
      <c r="H31" s="228" t="s">
        <v>30</v>
      </c>
      <c r="I31" s="228">
        <f>L23-500</f>
        <v>331</v>
      </c>
      <c r="J31" s="228">
        <v>0.2</v>
      </c>
      <c r="K31" s="228">
        <f t="shared" si="4"/>
        <v>66.2</v>
      </c>
    </row>
    <row r="32" spans="2:14" x14ac:dyDescent="0.3">
      <c r="B32" s="335" t="s">
        <v>272</v>
      </c>
      <c r="C32" s="335"/>
      <c r="D32" s="335"/>
      <c r="E32" s="228">
        <f>SUM(E24:E31)</f>
        <v>309.10000000000002</v>
      </c>
      <c r="F32"/>
      <c r="H32" s="335" t="s">
        <v>272</v>
      </c>
      <c r="I32" s="335"/>
      <c r="J32" s="335"/>
      <c r="K32" s="228">
        <f>SUM(K24:K31)</f>
        <v>352.7</v>
      </c>
    </row>
    <row r="33" spans="2:11" x14ac:dyDescent="0.3">
      <c r="B33" s="335" t="s">
        <v>273</v>
      </c>
      <c r="C33" s="335"/>
      <c r="D33" s="335"/>
      <c r="E33" s="274">
        <f>M14</f>
        <v>2734104.7619047621</v>
      </c>
      <c r="F33"/>
      <c r="H33" s="335" t="s">
        <v>273</v>
      </c>
      <c r="I33" s="335"/>
      <c r="J33" s="335"/>
      <c r="K33" s="274">
        <f>M15</f>
        <v>3231492.8571428568</v>
      </c>
    </row>
    <row r="34" spans="2:11" x14ac:dyDescent="0.3">
      <c r="B34" s="335" t="s">
        <v>274</v>
      </c>
      <c r="C34" s="335"/>
      <c r="D34" s="335"/>
      <c r="E34" s="275">
        <f>E33/E32</f>
        <v>8845.3728951949597</v>
      </c>
      <c r="F34"/>
      <c r="H34" s="335" t="s">
        <v>274</v>
      </c>
      <c r="I34" s="335"/>
      <c r="J34" s="335"/>
      <c r="K34" s="275">
        <f>K33/K32</f>
        <v>9162.157236016039</v>
      </c>
    </row>
    <row r="35" spans="2:11" x14ac:dyDescent="0.3">
      <c r="B35" s="337" t="s">
        <v>275</v>
      </c>
      <c r="C35" s="337"/>
      <c r="D35" s="337"/>
      <c r="E35" s="276">
        <f>E34/0.97</f>
        <v>9118.9411290669686</v>
      </c>
      <c r="F35"/>
      <c r="H35" s="337" t="s">
        <v>275</v>
      </c>
      <c r="I35" s="337"/>
      <c r="J35" s="337"/>
      <c r="K35" s="276">
        <f>K34/0.97</f>
        <v>9445.5229237278763</v>
      </c>
    </row>
    <row r="41" spans="2:11" ht="14.5" thickBot="1" x14ac:dyDescent="0.35"/>
    <row r="42" spans="2:11" x14ac:dyDescent="0.3">
      <c r="B42" s="10"/>
      <c r="C42" s="12"/>
      <c r="D42" s="11"/>
      <c r="E42" s="11"/>
      <c r="F42" s="11"/>
      <c r="G42" s="12"/>
      <c r="H42" s="12"/>
      <c r="I42" s="13"/>
    </row>
    <row r="43" spans="2:11" x14ac:dyDescent="0.3">
      <c r="B43" s="18"/>
      <c r="D43" s="19"/>
      <c r="E43" s="19"/>
      <c r="F43" s="19"/>
      <c r="I43" s="21"/>
    </row>
    <row r="44" spans="2:11" x14ac:dyDescent="0.3">
      <c r="B44" s="18"/>
      <c r="D44" s="19"/>
      <c r="E44" s="19"/>
      <c r="F44" s="19"/>
      <c r="I44" s="21"/>
    </row>
    <row r="45" spans="2:11" x14ac:dyDescent="0.3">
      <c r="B45" s="18"/>
      <c r="D45" s="19"/>
      <c r="E45" s="19"/>
      <c r="F45" s="19"/>
      <c r="I45" s="21"/>
    </row>
    <row r="46" spans="2:11" x14ac:dyDescent="0.3">
      <c r="B46" s="18"/>
      <c r="D46" s="19"/>
      <c r="E46" s="19"/>
      <c r="F46" s="19"/>
      <c r="I46" s="21"/>
    </row>
    <row r="47" spans="2:11" x14ac:dyDescent="0.3">
      <c r="B47" s="18"/>
      <c r="D47"/>
      <c r="E47"/>
      <c r="F47" s="19"/>
      <c r="I47" s="21"/>
    </row>
    <row r="48" spans="2:11" x14ac:dyDescent="0.3">
      <c r="B48" s="18"/>
      <c r="D48"/>
      <c r="E48" s="19"/>
      <c r="F48" s="19"/>
      <c r="I48" s="21"/>
    </row>
    <row r="49" spans="2:9" x14ac:dyDescent="0.3">
      <c r="B49" s="18"/>
      <c r="D49" s="19"/>
      <c r="E49" s="19"/>
      <c r="F49" s="19"/>
      <c r="I49" s="21"/>
    </row>
    <row r="50" spans="2:9" x14ac:dyDescent="0.3">
      <c r="B50" s="18"/>
      <c r="D50" s="19"/>
      <c r="E50" s="19"/>
      <c r="F50" s="19"/>
      <c r="I50" s="21"/>
    </row>
    <row r="51" spans="2:9" x14ac:dyDescent="0.3">
      <c r="B51" s="18"/>
      <c r="D51" s="19"/>
      <c r="E51" s="19"/>
      <c r="F51" s="19"/>
      <c r="I51" s="21"/>
    </row>
    <row r="52" spans="2:9" x14ac:dyDescent="0.3">
      <c r="B52" s="18"/>
      <c r="D52" s="19"/>
      <c r="E52" s="19"/>
      <c r="F52" s="19"/>
      <c r="I52" s="21"/>
    </row>
    <row r="53" spans="2:9" x14ac:dyDescent="0.3">
      <c r="B53" s="18"/>
      <c r="D53" s="19"/>
      <c r="E53" s="19"/>
      <c r="F53" s="19"/>
      <c r="I53" s="21"/>
    </row>
    <row r="54" spans="2:9" x14ac:dyDescent="0.3">
      <c r="B54" s="18"/>
      <c r="D54" s="19"/>
      <c r="E54" s="19"/>
      <c r="F54" s="19"/>
      <c r="I54" s="21"/>
    </row>
    <row r="55" spans="2:9" x14ac:dyDescent="0.3">
      <c r="B55" s="18"/>
      <c r="D55" s="19"/>
      <c r="E55" s="19"/>
      <c r="F55" s="19"/>
      <c r="I55" s="21"/>
    </row>
    <row r="56" spans="2:9" x14ac:dyDescent="0.3">
      <c r="B56" s="18"/>
      <c r="D56" s="19"/>
      <c r="E56" s="19"/>
      <c r="F56" s="19"/>
      <c r="I56" s="21"/>
    </row>
    <row r="57" spans="2:9" x14ac:dyDescent="0.3">
      <c r="B57" s="18"/>
      <c r="D57" s="19"/>
      <c r="E57" s="19"/>
      <c r="F57" s="19"/>
      <c r="I57" s="21"/>
    </row>
    <row r="58" spans="2:9" x14ac:dyDescent="0.3">
      <c r="B58" s="18"/>
      <c r="D58" s="19"/>
      <c r="E58" s="19"/>
      <c r="F58" s="19"/>
      <c r="I58" s="21"/>
    </row>
    <row r="59" spans="2:9" x14ac:dyDescent="0.3">
      <c r="B59" s="18"/>
      <c r="D59" s="19"/>
      <c r="E59" s="19"/>
      <c r="F59" s="19"/>
      <c r="I59" s="21"/>
    </row>
    <row r="60" spans="2:9" x14ac:dyDescent="0.3">
      <c r="B60" s="18" t="s">
        <v>280</v>
      </c>
      <c r="C60">
        <v>7979</v>
      </c>
      <c r="D60" s="19"/>
      <c r="E60" s="19"/>
      <c r="F60" s="19"/>
      <c r="I60" s="21"/>
    </row>
    <row r="61" spans="2:9" x14ac:dyDescent="0.3">
      <c r="B61" s="18" t="s">
        <v>281</v>
      </c>
      <c r="C61" s="187">
        <v>44696</v>
      </c>
      <c r="D61" s="19"/>
      <c r="E61" s="19"/>
      <c r="F61" s="19"/>
      <c r="I61" s="21"/>
    </row>
    <row r="62" spans="2:9" x14ac:dyDescent="0.3">
      <c r="B62" s="18" t="s">
        <v>282</v>
      </c>
      <c r="C62">
        <v>3</v>
      </c>
      <c r="D62" s="19"/>
      <c r="E62" s="19"/>
      <c r="F62" s="19"/>
      <c r="I62" s="21"/>
    </row>
    <row r="63" spans="2:9" x14ac:dyDescent="0.3">
      <c r="B63" s="18" t="s">
        <v>283</v>
      </c>
      <c r="C63">
        <v>1.07</v>
      </c>
      <c r="D63" s="19"/>
      <c r="E63" s="19"/>
      <c r="F63" s="19"/>
      <c r="I63" s="21"/>
    </row>
    <row r="64" spans="2:9" x14ac:dyDescent="0.3">
      <c r="B64" s="18" t="s">
        <v>284</v>
      </c>
      <c r="C64">
        <f>C63^C62</f>
        <v>1.2250430000000001</v>
      </c>
      <c r="D64" s="19"/>
      <c r="E64" s="19"/>
      <c r="F64" s="19"/>
      <c r="I64" s="21"/>
    </row>
    <row r="65" spans="2:15" x14ac:dyDescent="0.3">
      <c r="B65" s="18" t="s">
        <v>262</v>
      </c>
      <c r="C65" s="278">
        <f>C64*C60</f>
        <v>9774.6180970000005</v>
      </c>
      <c r="D65" s="19"/>
      <c r="E65" s="19"/>
      <c r="F65" s="19"/>
      <c r="I65" s="21"/>
    </row>
    <row r="66" spans="2:15" x14ac:dyDescent="0.3">
      <c r="B66" s="18" t="s">
        <v>286</v>
      </c>
      <c r="C66">
        <v>0.85</v>
      </c>
      <c r="D66" s="19"/>
      <c r="E66" s="19"/>
      <c r="F66" s="19"/>
      <c r="I66" s="21"/>
    </row>
    <row r="67" spans="2:15" x14ac:dyDescent="0.3">
      <c r="B67" s="279" t="s">
        <v>285</v>
      </c>
      <c r="C67" s="280">
        <f>C65*C66</f>
        <v>8308.4253824500011</v>
      </c>
      <c r="D67" s="19"/>
      <c r="E67" s="19"/>
      <c r="F67" s="19"/>
      <c r="I67" s="21"/>
    </row>
    <row r="68" spans="2:15" ht="14.5" thickBot="1" x14ac:dyDescent="0.35">
      <c r="B68" s="101" t="s">
        <v>278</v>
      </c>
      <c r="C68" s="281">
        <v>8500</v>
      </c>
      <c r="D68" s="282"/>
      <c r="E68" s="282"/>
      <c r="F68" s="282"/>
      <c r="G68" s="283"/>
      <c r="H68" s="283"/>
      <c r="I68" s="284"/>
    </row>
    <row r="75" spans="2:15" ht="13.75" customHeight="1" x14ac:dyDescent="0.4">
      <c r="B75" s="336" t="s">
        <v>287</v>
      </c>
      <c r="C75" s="336"/>
      <c r="D75" s="336"/>
      <c r="E75" s="336"/>
      <c r="F75" s="336"/>
      <c r="G75" s="336"/>
      <c r="H75" s="336"/>
      <c r="I75" s="336"/>
      <c r="J75" s="336"/>
      <c r="K75" s="336"/>
      <c r="L75" s="336"/>
      <c r="M75" s="336"/>
      <c r="N75" s="336"/>
      <c r="O75" s="336"/>
    </row>
  </sheetData>
  <mergeCells count="15">
    <mergeCell ref="B75:O75"/>
    <mergeCell ref="B33:D33"/>
    <mergeCell ref="H33:J33"/>
    <mergeCell ref="B34:D34"/>
    <mergeCell ref="H34:J34"/>
    <mergeCell ref="B35:D35"/>
    <mergeCell ref="H35:J35"/>
    <mergeCell ref="B16:M16"/>
    <mergeCell ref="B22:E22"/>
    <mergeCell ref="H22:K22"/>
    <mergeCell ref="B32:D32"/>
    <mergeCell ref="H32:J32"/>
    <mergeCell ref="B17:M17"/>
    <mergeCell ref="B18:M18"/>
    <mergeCell ref="B19:M19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U93"/>
  <sheetViews>
    <sheetView rightToLeft="1" tabSelected="1" topLeftCell="A66" zoomScale="115" zoomScaleNormal="115" workbookViewId="0">
      <selection activeCell="F77" sqref="F77:F83"/>
    </sheetView>
  </sheetViews>
  <sheetFormatPr defaultRowHeight="14" x14ac:dyDescent="0.3"/>
  <cols>
    <col min="1" max="1" width="19.83203125" customWidth="1"/>
    <col min="2" max="2" width="6" customWidth="1"/>
    <col min="3" max="3" width="8.9140625" customWidth="1"/>
    <col min="4" max="4" width="17.5" hidden="1" customWidth="1"/>
    <col min="5" max="5" width="2.1640625" style="17" hidden="1" customWidth="1"/>
    <col min="6" max="6" width="14.08203125" style="17" customWidth="1"/>
    <col min="7" max="7" width="14.6640625" hidden="1" customWidth="1"/>
    <col min="8" max="8" width="12.6640625" hidden="1" customWidth="1"/>
    <col min="9" max="9" width="12.6640625" customWidth="1"/>
    <col min="10" max="10" width="13.4140625" customWidth="1"/>
    <col min="11" max="11" width="11.1640625" customWidth="1"/>
    <col min="12" max="12" width="11.58203125" customWidth="1"/>
    <col min="13" max="13" width="11.1640625" customWidth="1"/>
    <col min="14" max="14" width="10.33203125" customWidth="1"/>
    <col min="15" max="15" width="10.5" bestFit="1" customWidth="1"/>
    <col min="16" max="22" width="9.58203125" customWidth="1"/>
  </cols>
  <sheetData>
    <row r="1" spans="1:21" ht="16.5" customHeight="1" thickBot="1" x14ac:dyDescent="0.35">
      <c r="D1" s="66"/>
      <c r="E1"/>
      <c r="F1"/>
    </row>
    <row r="2" spans="1:21" ht="79.25" customHeight="1" thickBot="1" x14ac:dyDescent="0.35">
      <c r="A2" s="120" t="s">
        <v>35</v>
      </c>
      <c r="B2" s="191" t="s">
        <v>161</v>
      </c>
      <c r="C2" s="120" t="s">
        <v>162</v>
      </c>
      <c r="D2" s="92" t="s">
        <v>249</v>
      </c>
      <c r="E2" s="97" t="s">
        <v>250</v>
      </c>
      <c r="F2" s="92" t="s">
        <v>249</v>
      </c>
      <c r="G2" s="92" t="s">
        <v>251</v>
      </c>
      <c r="H2" s="92" t="s">
        <v>252</v>
      </c>
      <c r="I2" s="92" t="s">
        <v>250</v>
      </c>
      <c r="J2" s="47" t="s">
        <v>304</v>
      </c>
      <c r="K2" s="47"/>
      <c r="L2" s="117"/>
      <c r="M2" s="117"/>
      <c r="N2" s="117"/>
      <c r="O2" s="117"/>
      <c r="P2" s="47"/>
      <c r="Q2" s="47"/>
      <c r="R2" s="47"/>
      <c r="S2" s="117"/>
      <c r="T2" s="117"/>
      <c r="U2" s="118"/>
    </row>
    <row r="3" spans="1:21" x14ac:dyDescent="0.3">
      <c r="A3" s="121" t="s">
        <v>149</v>
      </c>
      <c r="B3" s="192"/>
      <c r="C3" s="121"/>
      <c r="D3" s="93">
        <f>113*2</f>
        <v>226</v>
      </c>
      <c r="E3" s="144">
        <v>185</v>
      </c>
      <c r="F3" s="93">
        <f>112*2</f>
        <v>224</v>
      </c>
      <c r="G3" s="93">
        <v>9</v>
      </c>
      <c r="H3" s="64">
        <v>139</v>
      </c>
      <c r="I3" s="64">
        <v>185</v>
      </c>
      <c r="J3" s="64">
        <v>139</v>
      </c>
      <c r="K3" s="64"/>
      <c r="L3" s="49"/>
      <c r="M3" s="49"/>
      <c r="N3" s="49"/>
      <c r="O3" s="49"/>
      <c r="P3" s="48"/>
      <c r="Q3" s="48"/>
      <c r="R3" s="48"/>
      <c r="S3" s="49"/>
      <c r="T3" s="49"/>
      <c r="U3" s="50"/>
    </row>
    <row r="4" spans="1:21" x14ac:dyDescent="0.3">
      <c r="A4" s="121" t="s">
        <v>82</v>
      </c>
      <c r="B4" s="192"/>
      <c r="C4" s="121"/>
      <c r="D4" s="93">
        <v>113</v>
      </c>
      <c r="E4" s="144"/>
      <c r="F4" s="93"/>
      <c r="G4" s="93"/>
      <c r="H4" s="64"/>
      <c r="I4" s="64"/>
      <c r="J4" s="64"/>
      <c r="K4" s="64"/>
      <c r="L4" s="49"/>
      <c r="M4" s="49"/>
      <c r="N4" s="49"/>
      <c r="O4" s="49"/>
      <c r="P4" s="48"/>
      <c r="Q4" s="48"/>
      <c r="R4" s="48"/>
      <c r="S4" s="49"/>
      <c r="T4" s="49"/>
      <c r="U4" s="50"/>
    </row>
    <row r="5" spans="1:21" x14ac:dyDescent="0.3">
      <c r="A5" s="121" t="s">
        <v>77</v>
      </c>
      <c r="B5" s="192"/>
      <c r="C5" s="121"/>
      <c r="D5" s="93">
        <v>113</v>
      </c>
      <c r="E5" s="144"/>
      <c r="F5" s="93"/>
      <c r="G5" s="93"/>
      <c r="H5" s="64"/>
      <c r="I5" s="64"/>
      <c r="J5" s="64"/>
      <c r="K5" s="64"/>
      <c r="L5" s="49"/>
      <c r="M5" s="49"/>
      <c r="N5" s="49"/>
      <c r="O5" s="49"/>
      <c r="P5" s="48"/>
      <c r="Q5" s="48"/>
      <c r="R5" s="48"/>
      <c r="S5" s="49"/>
      <c r="T5" s="49"/>
      <c r="U5" s="50"/>
    </row>
    <row r="6" spans="1:21" x14ac:dyDescent="0.3">
      <c r="A6" s="121" t="s">
        <v>100</v>
      </c>
      <c r="B6" s="192"/>
      <c r="C6" s="121"/>
      <c r="D6" s="93">
        <f>23+7+15</f>
        <v>45</v>
      </c>
      <c r="E6" s="144">
        <f>17*2</f>
        <v>34</v>
      </c>
      <c r="F6" s="93">
        <v>45</v>
      </c>
      <c r="G6" s="93"/>
      <c r="H6" s="64"/>
      <c r="I6" s="64">
        <v>26</v>
      </c>
      <c r="J6" s="64"/>
      <c r="K6" s="64"/>
      <c r="L6" s="49"/>
      <c r="M6" s="49"/>
      <c r="N6" s="49"/>
      <c r="O6" s="49"/>
      <c r="P6" s="48"/>
      <c r="Q6" s="48"/>
      <c r="R6" s="48"/>
      <c r="S6" s="49"/>
      <c r="T6" s="49"/>
      <c r="U6" s="50"/>
    </row>
    <row r="7" spans="1:21" x14ac:dyDescent="0.3">
      <c r="A7" s="121" t="s">
        <v>146</v>
      </c>
      <c r="B7" s="192"/>
      <c r="C7" s="121"/>
      <c r="D7" s="93"/>
      <c r="E7" s="64"/>
      <c r="F7" s="93"/>
      <c r="G7" s="93"/>
      <c r="H7" s="64"/>
      <c r="I7" s="64"/>
      <c r="J7" s="64"/>
      <c r="K7" s="64"/>
      <c r="L7" s="49"/>
      <c r="M7" s="49"/>
      <c r="N7" s="49"/>
      <c r="O7" s="49"/>
      <c r="P7" s="48"/>
      <c r="Q7" s="48"/>
      <c r="R7" s="48"/>
      <c r="S7" s="49"/>
      <c r="T7" s="49"/>
      <c r="U7" s="50"/>
    </row>
    <row r="8" spans="1:21" x14ac:dyDescent="0.3">
      <c r="A8" s="121" t="s">
        <v>147</v>
      </c>
      <c r="B8" s="192"/>
      <c r="C8" s="121"/>
      <c r="D8" s="94"/>
      <c r="E8" s="54"/>
      <c r="F8" s="94"/>
      <c r="G8" s="94"/>
      <c r="H8" s="54"/>
      <c r="I8" s="54"/>
      <c r="J8" s="54"/>
      <c r="K8" s="54"/>
      <c r="L8" s="52"/>
      <c r="M8" s="52"/>
      <c r="N8" s="52"/>
      <c r="O8" s="52"/>
      <c r="P8" s="51"/>
      <c r="Q8" s="51"/>
      <c r="R8" s="51"/>
      <c r="S8" s="52"/>
      <c r="T8" s="52"/>
      <c r="U8" s="53"/>
    </row>
    <row r="9" spans="1:21" x14ac:dyDescent="0.3">
      <c r="A9" s="121" t="s">
        <v>148</v>
      </c>
      <c r="B9" s="193"/>
      <c r="C9" s="208"/>
      <c r="D9" s="95"/>
      <c r="E9" s="56"/>
      <c r="F9" s="95"/>
      <c r="G9" s="94"/>
      <c r="H9" s="54"/>
      <c r="I9" s="54"/>
      <c r="J9" s="54"/>
      <c r="K9" s="54"/>
      <c r="L9" s="52"/>
      <c r="M9" s="52"/>
      <c r="N9" s="52"/>
      <c r="O9" s="52"/>
      <c r="P9" s="51"/>
      <c r="Q9" s="51"/>
      <c r="R9" s="51"/>
      <c r="S9" s="52"/>
      <c r="T9" s="52"/>
      <c r="U9" s="53"/>
    </row>
    <row r="10" spans="1:21" x14ac:dyDescent="0.3">
      <c r="A10" s="122" t="s">
        <v>50</v>
      </c>
      <c r="B10" s="194"/>
      <c r="C10" s="123"/>
      <c r="D10" s="95"/>
      <c r="E10" s="56"/>
      <c r="F10" s="95"/>
      <c r="G10" s="94"/>
      <c r="H10" s="54"/>
      <c r="I10" s="54"/>
      <c r="J10" s="54"/>
      <c r="K10" s="54"/>
      <c r="L10" s="52"/>
      <c r="M10" s="52"/>
      <c r="N10" s="52"/>
      <c r="O10" s="52"/>
      <c r="P10" s="51"/>
      <c r="Q10" s="51"/>
      <c r="R10" s="51"/>
      <c r="S10" s="52"/>
      <c r="T10" s="52"/>
      <c r="U10" s="53"/>
    </row>
    <row r="11" spans="1:21" x14ac:dyDescent="0.3">
      <c r="A11" s="123" t="s">
        <v>90</v>
      </c>
      <c r="B11" s="194"/>
      <c r="C11" s="123"/>
      <c r="D11" s="95"/>
      <c r="E11" s="56"/>
      <c r="F11" s="95"/>
      <c r="G11" s="95"/>
      <c r="H11" s="56"/>
      <c r="I11" s="56"/>
      <c r="J11" s="56"/>
      <c r="K11" s="56"/>
      <c r="L11" s="57"/>
      <c r="M11" s="57"/>
      <c r="N11" s="57"/>
      <c r="O11" s="57"/>
      <c r="P11" s="55"/>
      <c r="Q11" s="55"/>
      <c r="R11" s="55"/>
      <c r="S11" s="57"/>
      <c r="T11" s="57"/>
      <c r="U11" s="58"/>
    </row>
    <row r="12" spans="1:21" ht="14.5" thickBot="1" x14ac:dyDescent="0.35">
      <c r="A12" s="124" t="s">
        <v>86</v>
      </c>
      <c r="B12" s="195"/>
      <c r="C12" s="124"/>
      <c r="D12" s="96"/>
      <c r="E12" s="90"/>
      <c r="F12" s="96"/>
      <c r="G12" s="96"/>
      <c r="H12" s="90"/>
      <c r="I12" s="90"/>
      <c r="J12" s="90"/>
      <c r="K12" s="90"/>
      <c r="L12" s="60"/>
      <c r="M12" s="60"/>
      <c r="N12" s="60"/>
      <c r="O12" s="60"/>
      <c r="P12" s="59"/>
      <c r="Q12" s="59"/>
      <c r="R12" s="59"/>
      <c r="S12" s="60"/>
      <c r="T12" s="60"/>
      <c r="U12" s="61"/>
    </row>
    <row r="13" spans="1:21" ht="15" thickTop="1" thickBot="1" x14ac:dyDescent="0.35">
      <c r="A13" s="199" t="s">
        <v>36</v>
      </c>
      <c r="B13" s="210"/>
      <c r="C13" s="209"/>
      <c r="D13" s="206">
        <f>SUM(D4:D12)</f>
        <v>271</v>
      </c>
      <c r="E13" s="200">
        <f>SUM(E4:E12)</f>
        <v>34</v>
      </c>
      <c r="F13" s="200"/>
      <c r="G13" s="200">
        <f>SUM(G3:G12)</f>
        <v>9</v>
      </c>
      <c r="H13" s="200">
        <f>SUM(H3:H12)</f>
        <v>139</v>
      </c>
      <c r="I13" s="200"/>
      <c r="J13" s="200">
        <f>SUM(J3:J12)</f>
        <v>139</v>
      </c>
      <c r="K13" s="201">
        <f t="shared" ref="K13:U13" si="0">SUM(K3:K12)</f>
        <v>0</v>
      </c>
      <c r="L13" s="201">
        <f t="shared" si="0"/>
        <v>0</v>
      </c>
      <c r="M13" s="201">
        <f t="shared" si="0"/>
        <v>0</v>
      </c>
      <c r="N13" s="201">
        <f t="shared" si="0"/>
        <v>0</v>
      </c>
      <c r="O13" s="201">
        <f t="shared" si="0"/>
        <v>0</v>
      </c>
      <c r="P13" s="202">
        <f t="shared" si="0"/>
        <v>0</v>
      </c>
      <c r="Q13" s="202">
        <f t="shared" si="0"/>
        <v>0</v>
      </c>
      <c r="R13" s="202">
        <f t="shared" si="0"/>
        <v>0</v>
      </c>
      <c r="S13" s="201">
        <f t="shared" si="0"/>
        <v>0</v>
      </c>
      <c r="T13" s="201">
        <f t="shared" si="0"/>
        <v>0</v>
      </c>
      <c r="U13" s="203">
        <f t="shared" si="0"/>
        <v>0</v>
      </c>
    </row>
    <row r="14" spans="1:21" ht="28.5" thickBot="1" x14ac:dyDescent="0.35">
      <c r="A14" s="126" t="s">
        <v>37</v>
      </c>
      <c r="B14" s="191" t="s">
        <v>161</v>
      </c>
      <c r="C14" s="120" t="s">
        <v>162</v>
      </c>
      <c r="D14" s="205"/>
      <c r="E14" s="204"/>
      <c r="F14" s="205"/>
      <c r="G14" s="205"/>
      <c r="H14" s="62"/>
      <c r="I14" s="62"/>
      <c r="J14" s="62"/>
      <c r="K14" s="62"/>
      <c r="L14" s="62"/>
      <c r="M14" s="62"/>
      <c r="N14" s="62"/>
      <c r="O14" s="140"/>
      <c r="P14" s="62"/>
      <c r="Q14" s="62"/>
      <c r="R14" s="62"/>
      <c r="S14" s="140"/>
      <c r="T14" s="140"/>
      <c r="U14" s="63"/>
    </row>
    <row r="15" spans="1:21" x14ac:dyDescent="0.3">
      <c r="A15" s="122" t="s">
        <v>303</v>
      </c>
      <c r="B15" s="196"/>
      <c r="C15" s="122"/>
      <c r="D15" s="52">
        <f>106.42+49.86+48.6</f>
        <v>204.88</v>
      </c>
      <c r="E15" s="51">
        <f>162.53+10+8.82</f>
        <v>181.35</v>
      </c>
      <c r="F15" s="52"/>
      <c r="G15" s="52"/>
      <c r="H15" s="64"/>
      <c r="I15" s="64"/>
      <c r="J15" s="64"/>
      <c r="K15" s="48"/>
      <c r="L15" s="64"/>
      <c r="M15" s="48"/>
      <c r="N15" s="48"/>
      <c r="O15" s="48"/>
      <c r="P15" s="48"/>
      <c r="Q15" s="48"/>
      <c r="R15" s="48"/>
      <c r="S15" s="49"/>
      <c r="T15" s="49"/>
      <c r="U15" s="50"/>
    </row>
    <row r="16" spans="1:21" x14ac:dyDescent="0.3">
      <c r="A16" s="122" t="s">
        <v>305</v>
      </c>
      <c r="B16" s="196"/>
      <c r="C16" s="122"/>
      <c r="D16" s="52"/>
      <c r="E16" s="51"/>
      <c r="F16" s="52">
        <v>204</v>
      </c>
      <c r="G16" s="52"/>
      <c r="H16" s="64"/>
      <c r="I16" s="64">
        <v>181.35</v>
      </c>
      <c r="J16" s="64">
        <f>57.3+61.5</f>
        <v>118.8</v>
      </c>
      <c r="K16" s="48"/>
      <c r="L16" s="64"/>
      <c r="M16" s="48"/>
      <c r="N16" s="48"/>
      <c r="O16" s="48"/>
      <c r="P16" s="48"/>
      <c r="Q16" s="48"/>
      <c r="R16" s="48"/>
      <c r="S16" s="49"/>
      <c r="T16" s="49"/>
      <c r="U16" s="50"/>
    </row>
    <row r="17" spans="1:21" x14ac:dyDescent="0.3">
      <c r="A17" s="122"/>
      <c r="B17" s="196"/>
      <c r="C17" s="122"/>
      <c r="D17" s="52"/>
      <c r="E17" s="51"/>
      <c r="F17" s="52"/>
      <c r="G17" s="52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2"/>
      <c r="T17" s="52"/>
      <c r="U17" s="53"/>
    </row>
    <row r="18" spans="1:21" x14ac:dyDescent="0.3">
      <c r="A18" s="122"/>
      <c r="B18" s="196"/>
      <c r="C18" s="122"/>
      <c r="D18" s="49"/>
      <c r="E18" s="51"/>
      <c r="F18" s="52"/>
      <c r="G18" s="52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2"/>
      <c r="T18" s="52"/>
      <c r="U18" s="53"/>
    </row>
    <row r="19" spans="1:21" x14ac:dyDescent="0.3">
      <c r="A19" s="122"/>
      <c r="B19" s="196"/>
      <c r="C19" s="122"/>
      <c r="D19" s="52"/>
      <c r="E19" s="51"/>
      <c r="F19" s="52"/>
      <c r="G19" s="52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2"/>
      <c r="T19" s="52"/>
      <c r="U19" s="53"/>
    </row>
    <row r="20" spans="1:21" ht="14.5" thickBot="1" x14ac:dyDescent="0.35">
      <c r="A20" s="124"/>
      <c r="B20" s="195"/>
      <c r="C20" s="124"/>
      <c r="D20" s="60"/>
      <c r="E20" s="59"/>
      <c r="F20" s="60"/>
      <c r="G20" s="60"/>
      <c r="H20" s="59"/>
      <c r="I20" s="59"/>
      <c r="J20" s="59"/>
      <c r="K20" s="59"/>
      <c r="L20" s="51"/>
      <c r="M20" s="51"/>
      <c r="N20" s="51"/>
      <c r="O20" s="51"/>
      <c r="P20" s="51"/>
      <c r="Q20" s="59"/>
      <c r="R20" s="59"/>
      <c r="S20" s="60"/>
      <c r="T20" s="60"/>
      <c r="U20" s="61"/>
    </row>
    <row r="21" spans="1:21" ht="14.5" thickTop="1" x14ac:dyDescent="0.3">
      <c r="A21" s="127" t="s">
        <v>89</v>
      </c>
      <c r="B21" s="197"/>
      <c r="C21" s="127"/>
      <c r="D21" s="207">
        <f>SUM(D15:D20)</f>
        <v>204.88</v>
      </c>
      <c r="E21" s="119">
        <f>SUM(E15:E20)</f>
        <v>181.35</v>
      </c>
      <c r="F21" s="119"/>
      <c r="G21" s="119">
        <f>SUM(G15:G20)</f>
        <v>0</v>
      </c>
      <c r="H21" s="119">
        <f>SUM(H15:H20)</f>
        <v>0</v>
      </c>
      <c r="I21" s="119"/>
      <c r="J21" s="119">
        <f t="shared" ref="J21:U21" si="1">SUM(J15:J20)</f>
        <v>118.8</v>
      </c>
      <c r="K21" s="119">
        <f t="shared" si="1"/>
        <v>0</v>
      </c>
      <c r="L21" s="119">
        <f t="shared" si="1"/>
        <v>0</v>
      </c>
      <c r="M21" s="65">
        <f t="shared" si="1"/>
        <v>0</v>
      </c>
      <c r="N21" s="65">
        <f t="shared" si="1"/>
        <v>0</v>
      </c>
      <c r="O21" s="65">
        <f t="shared" si="1"/>
        <v>0</v>
      </c>
      <c r="P21" s="65">
        <f t="shared" si="1"/>
        <v>0</v>
      </c>
      <c r="Q21" s="65">
        <f t="shared" si="1"/>
        <v>0</v>
      </c>
      <c r="R21" s="65">
        <f t="shared" si="1"/>
        <v>0</v>
      </c>
      <c r="S21" s="141">
        <f t="shared" si="1"/>
        <v>0</v>
      </c>
      <c r="T21" s="141">
        <f t="shared" si="1"/>
        <v>0</v>
      </c>
      <c r="U21" s="139">
        <f t="shared" si="1"/>
        <v>0</v>
      </c>
    </row>
    <row r="22" spans="1:21" ht="14.5" thickBot="1" x14ac:dyDescent="0.35">
      <c r="A22" s="125" t="s">
        <v>38</v>
      </c>
      <c r="B22" s="198"/>
      <c r="C22" s="125"/>
      <c r="D22" s="142">
        <f>D13-D21</f>
        <v>66.12</v>
      </c>
      <c r="E22" s="138">
        <f>E13-E21</f>
        <v>-147.35</v>
      </c>
      <c r="F22" s="138"/>
      <c r="G22" s="138">
        <f>G13-G21</f>
        <v>9</v>
      </c>
      <c r="H22" s="138">
        <f>H13-H21</f>
        <v>139</v>
      </c>
      <c r="I22" s="138"/>
      <c r="J22" s="138">
        <f t="shared" ref="J22:U22" si="2">J13-J21</f>
        <v>20.200000000000003</v>
      </c>
      <c r="K22" s="138">
        <f t="shared" si="2"/>
        <v>0</v>
      </c>
      <c r="L22" s="138">
        <f t="shared" si="2"/>
        <v>0</v>
      </c>
      <c r="M22" s="138">
        <f t="shared" si="2"/>
        <v>0</v>
      </c>
      <c r="N22" s="138">
        <f t="shared" si="2"/>
        <v>0</v>
      </c>
      <c r="O22" s="138">
        <f t="shared" si="2"/>
        <v>0</v>
      </c>
      <c r="P22" s="138">
        <f t="shared" si="2"/>
        <v>0</v>
      </c>
      <c r="Q22" s="138">
        <f t="shared" si="2"/>
        <v>0</v>
      </c>
      <c r="R22" s="138">
        <f t="shared" si="2"/>
        <v>0</v>
      </c>
      <c r="S22" s="143">
        <f t="shared" si="2"/>
        <v>0</v>
      </c>
      <c r="T22" s="142">
        <f t="shared" si="2"/>
        <v>0</v>
      </c>
      <c r="U22" s="145">
        <f t="shared" si="2"/>
        <v>0</v>
      </c>
    </row>
    <row r="23" spans="1:21" x14ac:dyDescent="0.3">
      <c r="D23" s="135"/>
      <c r="E23" s="73"/>
      <c r="F23" s="73"/>
      <c r="G23" s="147"/>
      <c r="J23" s="73"/>
      <c r="K23" s="73"/>
      <c r="L23" s="73"/>
      <c r="M23" s="98"/>
      <c r="N23" s="147"/>
      <c r="O23" s="73"/>
    </row>
    <row r="24" spans="1:21" x14ac:dyDescent="0.3">
      <c r="A24" t="s">
        <v>87</v>
      </c>
      <c r="D24" s="136">
        <f>D8+D7</f>
        <v>0</v>
      </c>
      <c r="G24" s="73"/>
      <c r="H24">
        <f>D15-106.42</f>
        <v>98.46</v>
      </c>
    </row>
    <row r="25" spans="1:21" x14ac:dyDescent="0.3">
      <c r="E25" s="91">
        <f>E3*9300*5%*7</f>
        <v>602175</v>
      </c>
      <c r="F25" s="91"/>
      <c r="G25" s="66"/>
      <c r="H25" s="91"/>
      <c r="I25" s="91"/>
      <c r="J25" s="91"/>
      <c r="M25" s="91"/>
    </row>
    <row r="26" spans="1:21" x14ac:dyDescent="0.3">
      <c r="E26" s="38">
        <f>375-E21-G21-K21</f>
        <v>193.65</v>
      </c>
      <c r="F26" s="38"/>
      <c r="G26" s="66"/>
      <c r="H26" s="91"/>
      <c r="I26" s="91"/>
      <c r="J26" s="91"/>
    </row>
    <row r="27" spans="1:21" x14ac:dyDescent="0.3">
      <c r="P27" s="91"/>
      <c r="Q27" s="91"/>
    </row>
    <row r="28" spans="1:21" x14ac:dyDescent="0.3">
      <c r="A28" s="67" t="s">
        <v>39</v>
      </c>
      <c r="B28" s="67"/>
      <c r="C28" s="67"/>
      <c r="D28" s="68"/>
      <c r="N28" s="91"/>
      <c r="P28" s="17"/>
    </row>
    <row r="29" spans="1:21" x14ac:dyDescent="0.3">
      <c r="A29" t="s">
        <v>14</v>
      </c>
      <c r="E29" s="69">
        <f>-D13</f>
        <v>-271</v>
      </c>
      <c r="F29" s="69"/>
      <c r="H29" s="72"/>
      <c r="I29" s="72"/>
      <c r="J29" s="72"/>
      <c r="N29" s="91"/>
    </row>
    <row r="30" spans="1:21" x14ac:dyDescent="0.3">
      <c r="A30" t="s">
        <v>15</v>
      </c>
      <c r="E30" s="17">
        <f>-E13</f>
        <v>-34</v>
      </c>
      <c r="H30" s="72"/>
      <c r="I30" s="72"/>
    </row>
    <row r="31" spans="1:21" x14ac:dyDescent="0.3">
      <c r="A31" t="s">
        <v>18</v>
      </c>
      <c r="E31" s="17">
        <f>K21</f>
        <v>0</v>
      </c>
    </row>
    <row r="32" spans="1:21" x14ac:dyDescent="0.3">
      <c r="A32" s="40" t="s">
        <v>8</v>
      </c>
      <c r="B32" s="40"/>
      <c r="C32" s="40"/>
      <c r="D32" s="40"/>
      <c r="E32" s="23">
        <f>SUM(E28:E31)</f>
        <v>-305</v>
      </c>
      <c r="F32" s="19"/>
      <c r="L32" s="72"/>
    </row>
    <row r="33" spans="1:13" x14ac:dyDescent="0.3">
      <c r="A33" t="s">
        <v>40</v>
      </c>
      <c r="E33" s="38">
        <v>375</v>
      </c>
      <c r="F33" s="38"/>
      <c r="J33" s="91"/>
    </row>
    <row r="34" spans="1:13" x14ac:dyDescent="0.3">
      <c r="A34" s="40" t="s">
        <v>41</v>
      </c>
      <c r="B34" s="40"/>
      <c r="C34" s="40"/>
      <c r="D34" s="40"/>
      <c r="E34" s="23">
        <f>SUM(E32:E33)</f>
        <v>70</v>
      </c>
      <c r="F34" s="19"/>
      <c r="M34">
        <v>454</v>
      </c>
    </row>
    <row r="35" spans="1:13" x14ac:dyDescent="0.3">
      <c r="A35" t="s">
        <v>42</v>
      </c>
      <c r="E35" s="17">
        <f>-E21-G21-K21</f>
        <v>-181.35</v>
      </c>
      <c r="M35">
        <v>-160</v>
      </c>
    </row>
    <row r="36" spans="1:13" x14ac:dyDescent="0.3">
      <c r="A36" s="40" t="s">
        <v>43</v>
      </c>
      <c r="B36" s="40"/>
      <c r="C36" s="40"/>
      <c r="D36" s="40"/>
      <c r="E36" s="70">
        <f>SUM(E34:E35)</f>
        <v>-111.35</v>
      </c>
      <c r="F36" s="290"/>
      <c r="M36">
        <f>M34+M35</f>
        <v>294</v>
      </c>
    </row>
    <row r="37" spans="1:13" x14ac:dyDescent="0.3">
      <c r="M37">
        <v>75</v>
      </c>
    </row>
    <row r="38" spans="1:13" x14ac:dyDescent="0.3">
      <c r="M38">
        <f>M37+M36</f>
        <v>369</v>
      </c>
    </row>
    <row r="40" spans="1:13" x14ac:dyDescent="0.3">
      <c r="A40" s="130" t="s">
        <v>76</v>
      </c>
      <c r="B40" s="130"/>
      <c r="C40" s="130"/>
    </row>
    <row r="41" spans="1:13" ht="17" x14ac:dyDescent="0.6">
      <c r="A41" s="39" t="s">
        <v>77</v>
      </c>
      <c r="B41" s="39"/>
      <c r="C41" s="39"/>
      <c r="D41" s="39" t="s">
        <v>79</v>
      </c>
      <c r="E41" s="131" t="s">
        <v>80</v>
      </c>
      <c r="F41" s="131"/>
      <c r="G41" s="39" t="s">
        <v>83</v>
      </c>
      <c r="H41" s="39"/>
      <c r="I41" s="39"/>
      <c r="J41" s="17"/>
      <c r="K41" s="17"/>
    </row>
    <row r="42" spans="1:13" x14ac:dyDescent="0.3">
      <c r="A42" t="s">
        <v>44</v>
      </c>
      <c r="G42" s="91">
        <f>E42-D42</f>
        <v>0</v>
      </c>
    </row>
    <row r="43" spans="1:13" x14ac:dyDescent="0.3">
      <c r="A43" t="s">
        <v>78</v>
      </c>
      <c r="G43" s="91">
        <f>E43-D43</f>
        <v>0</v>
      </c>
    </row>
    <row r="44" spans="1:13" x14ac:dyDescent="0.3">
      <c r="A44" s="108" t="s">
        <v>81</v>
      </c>
      <c r="B44" s="108"/>
      <c r="C44" s="108"/>
      <c r="D44" s="108">
        <f>SUM(D42:D43)</f>
        <v>0</v>
      </c>
      <c r="E44" s="70">
        <f>SUM(E42:E43)</f>
        <v>0</v>
      </c>
      <c r="F44" s="70"/>
      <c r="G44" s="132">
        <f>E44-D44</f>
        <v>0</v>
      </c>
    </row>
    <row r="46" spans="1:13" ht="17" x14ac:dyDescent="0.6">
      <c r="A46" s="39" t="s">
        <v>82</v>
      </c>
      <c r="B46" s="39"/>
      <c r="C46" s="39"/>
      <c r="D46" s="39" t="s">
        <v>79</v>
      </c>
      <c r="E46" s="131" t="s">
        <v>80</v>
      </c>
      <c r="F46" s="131"/>
      <c r="G46" s="39" t="s">
        <v>83</v>
      </c>
    </row>
    <row r="47" spans="1:13" x14ac:dyDescent="0.3">
      <c r="A47" t="s">
        <v>44</v>
      </c>
      <c r="G47" s="91">
        <f>E47-D47</f>
        <v>0</v>
      </c>
      <c r="H47" s="39"/>
      <c r="I47" s="39"/>
      <c r="L47" s="17"/>
    </row>
    <row r="48" spans="1:13" x14ac:dyDescent="0.3">
      <c r="A48" t="s">
        <v>78</v>
      </c>
      <c r="G48" s="91">
        <f>E48-D48</f>
        <v>0</v>
      </c>
    </row>
    <row r="49" spans="1:12" x14ac:dyDescent="0.3">
      <c r="A49" s="108" t="s">
        <v>81</v>
      </c>
      <c r="B49" s="108"/>
      <c r="C49" s="108"/>
      <c r="D49" s="108">
        <f>SUM(D47:D48)</f>
        <v>0</v>
      </c>
      <c r="E49" s="70">
        <f>SUM(E47:E48)</f>
        <v>0</v>
      </c>
      <c r="F49" s="70"/>
      <c r="G49" s="132">
        <f>E49-D49</f>
        <v>0</v>
      </c>
      <c r="L49" s="146"/>
    </row>
    <row r="51" spans="1:12" x14ac:dyDescent="0.3">
      <c r="A51" s="133" t="s">
        <v>8</v>
      </c>
      <c r="B51" s="133"/>
      <c r="C51" s="133"/>
      <c r="D51" s="133">
        <f>D49+D44</f>
        <v>0</v>
      </c>
      <c r="E51" s="133">
        <f>E49+E44</f>
        <v>0</v>
      </c>
      <c r="F51" s="133"/>
      <c r="G51" s="134">
        <f>G49+G44</f>
        <v>0</v>
      </c>
    </row>
    <row r="55" spans="1:12" x14ac:dyDescent="0.3">
      <c r="H55" s="39"/>
      <c r="I55" s="39"/>
      <c r="L55" s="17"/>
    </row>
    <row r="56" spans="1:12" x14ac:dyDescent="0.3">
      <c r="A56" t="s">
        <v>288</v>
      </c>
      <c r="B56">
        <v>-2.9</v>
      </c>
      <c r="C56">
        <v>-1.35</v>
      </c>
      <c r="D56" t="s">
        <v>241</v>
      </c>
    </row>
    <row r="57" spans="1:12" x14ac:dyDescent="0.3">
      <c r="A57" t="s">
        <v>35</v>
      </c>
      <c r="C57">
        <v>48.6</v>
      </c>
      <c r="D57" t="s">
        <v>18</v>
      </c>
      <c r="L57" s="146"/>
    </row>
    <row r="58" spans="1:12" x14ac:dyDescent="0.3">
      <c r="A58" t="s">
        <v>289</v>
      </c>
      <c r="B58">
        <v>49.86</v>
      </c>
      <c r="D58" t="s">
        <v>55</v>
      </c>
    </row>
    <row r="59" spans="1:12" x14ac:dyDescent="0.3">
      <c r="A59" t="s">
        <v>8</v>
      </c>
      <c r="B59" s="347">
        <f>B58+C57</f>
        <v>98.460000000000008</v>
      </c>
      <c r="C59" s="347"/>
    </row>
    <row r="60" spans="1:12" x14ac:dyDescent="0.3">
      <c r="A60" t="s">
        <v>290</v>
      </c>
      <c r="B60" s="347">
        <v>112</v>
      </c>
      <c r="C60" s="347"/>
    </row>
    <row r="61" spans="1:12" x14ac:dyDescent="0.3">
      <c r="A61" t="s">
        <v>291</v>
      </c>
      <c r="B61" s="347">
        <f>B60-B59</f>
        <v>13.539999999999992</v>
      </c>
      <c r="C61" s="347"/>
    </row>
    <row r="66" spans="1:15" ht="14.5" thickBot="1" x14ac:dyDescent="0.35"/>
    <row r="67" spans="1:15" ht="14.5" thickBot="1" x14ac:dyDescent="0.35">
      <c r="B67" s="340" t="s">
        <v>295</v>
      </c>
      <c r="C67" s="341"/>
      <c r="D67" s="332" t="s">
        <v>292</v>
      </c>
      <c r="E67" s="333"/>
      <c r="F67" s="334"/>
      <c r="G67" s="344" t="s">
        <v>293</v>
      </c>
      <c r="H67" s="345"/>
      <c r="I67" s="346"/>
      <c r="J67" s="338" t="s">
        <v>294</v>
      </c>
      <c r="K67" s="338" t="s">
        <v>302</v>
      </c>
      <c r="L67" s="338" t="s">
        <v>38</v>
      </c>
    </row>
    <row r="68" spans="1:15" ht="14.5" thickBot="1" x14ac:dyDescent="0.35">
      <c r="A68" s="74">
        <v>375</v>
      </c>
      <c r="B68" s="342"/>
      <c r="C68" s="343"/>
      <c r="D68" s="10" t="s">
        <v>55</v>
      </c>
      <c r="E68" s="286" t="s">
        <v>243</v>
      </c>
      <c r="F68" s="291" t="s">
        <v>8</v>
      </c>
      <c r="G68" s="292" t="s">
        <v>55</v>
      </c>
      <c r="H68" s="291" t="s">
        <v>243</v>
      </c>
      <c r="I68" s="291" t="s">
        <v>8</v>
      </c>
      <c r="J68" s="339"/>
      <c r="K68" s="339"/>
      <c r="L68" s="339"/>
    </row>
    <row r="69" spans="1:15" x14ac:dyDescent="0.3">
      <c r="A69" s="74">
        <f>F69-160</f>
        <v>44.879999999999995</v>
      </c>
      <c r="B69" s="348" t="s">
        <v>14</v>
      </c>
      <c r="C69" s="348"/>
      <c r="D69" s="228">
        <f>106.42+49.86</f>
        <v>156.28</v>
      </c>
      <c r="E69" s="289">
        <v>48.6</v>
      </c>
      <c r="F69" s="287">
        <f>SUM(D69:E69)</f>
        <v>204.88</v>
      </c>
      <c r="G69" s="295">
        <v>390.9</v>
      </c>
      <c r="H69" s="349">
        <v>63.6</v>
      </c>
      <c r="I69" s="287">
        <f>SUM(G69:H69)</f>
        <v>454.5</v>
      </c>
      <c r="J69" s="288">
        <v>224</v>
      </c>
      <c r="K69" s="228"/>
      <c r="L69" s="228"/>
    </row>
    <row r="70" spans="1:15" x14ac:dyDescent="0.3">
      <c r="A70" s="74">
        <f>F70-160</f>
        <v>21.349999999999994</v>
      </c>
      <c r="B70" s="335" t="s">
        <v>15</v>
      </c>
      <c r="C70" s="335"/>
      <c r="D70" s="228">
        <v>162.53</v>
      </c>
      <c r="E70" s="287">
        <f>10+8.82</f>
        <v>18.82</v>
      </c>
      <c r="F70" s="287">
        <f>SUM(D70:E70)</f>
        <v>181.35</v>
      </c>
      <c r="G70" s="295"/>
      <c r="H70" s="349"/>
      <c r="I70" s="287">
        <f>SUM(G70:H70)</f>
        <v>0</v>
      </c>
      <c r="J70" s="288">
        <f>E3</f>
        <v>185</v>
      </c>
      <c r="K70" s="228"/>
      <c r="L70" s="228"/>
    </row>
    <row r="71" spans="1:15" x14ac:dyDescent="0.3">
      <c r="A71" s="74">
        <f>SUM(A68:A70)</f>
        <v>441.23</v>
      </c>
      <c r="B71" s="335" t="s">
        <v>8</v>
      </c>
      <c r="C71" s="335"/>
      <c r="D71" s="228">
        <f>SUM(D69:D70)</f>
        <v>318.81</v>
      </c>
      <c r="E71" s="287">
        <f>SUM(E69:E70)</f>
        <v>67.42</v>
      </c>
      <c r="F71" s="287">
        <f>SUM(D71:E71)</f>
        <v>386.23</v>
      </c>
      <c r="G71" s="228">
        <f>G69</f>
        <v>390.9</v>
      </c>
      <c r="H71" s="288">
        <f>H69</f>
        <v>63.6</v>
      </c>
      <c r="I71" s="287">
        <f>SUM(G71:H71)</f>
        <v>454.5</v>
      </c>
      <c r="J71" s="288">
        <f>SUM(J69:J70)</f>
        <v>409</v>
      </c>
      <c r="K71" s="228">
        <v>370</v>
      </c>
      <c r="L71" s="288">
        <f>J71-K71</f>
        <v>39</v>
      </c>
    </row>
    <row r="72" spans="1:15" x14ac:dyDescent="0.3">
      <c r="B72" s="347" t="s">
        <v>313</v>
      </c>
      <c r="C72" s="347"/>
      <c r="F72" s="17">
        <v>370</v>
      </c>
      <c r="O72">
        <f>4000*12/0.05</f>
        <v>960000</v>
      </c>
    </row>
    <row r="73" spans="1:15" x14ac:dyDescent="0.3">
      <c r="B73" s="347" t="s">
        <v>296</v>
      </c>
      <c r="C73" s="347"/>
      <c r="D73" s="17"/>
      <c r="I73" s="91">
        <v>66</v>
      </c>
    </row>
    <row r="74" spans="1:15" x14ac:dyDescent="0.3">
      <c r="B74" s="347"/>
      <c r="C74" s="347"/>
      <c r="I74" s="91">
        <f>I71-F71</f>
        <v>68.269999999999982</v>
      </c>
    </row>
    <row r="77" spans="1:15" x14ac:dyDescent="0.3">
      <c r="C77" s="293" t="s">
        <v>297</v>
      </c>
      <c r="F77" s="17">
        <f>J71</f>
        <v>409</v>
      </c>
    </row>
    <row r="78" spans="1:15" x14ac:dyDescent="0.3">
      <c r="C78" s="293" t="s">
        <v>298</v>
      </c>
      <c r="D78" s="74"/>
      <c r="F78" s="17">
        <v>455</v>
      </c>
      <c r="I78">
        <v>455</v>
      </c>
    </row>
    <row r="79" spans="1:15" x14ac:dyDescent="0.3">
      <c r="C79" s="293" t="s">
        <v>299</v>
      </c>
      <c r="M79">
        <f>7800*0.15</f>
        <v>1170</v>
      </c>
      <c r="N79">
        <v>288</v>
      </c>
      <c r="O79" s="148">
        <f>N79*M79</f>
        <v>336960</v>
      </c>
    </row>
    <row r="80" spans="1:15" x14ac:dyDescent="0.3">
      <c r="C80" s="293" t="s">
        <v>170</v>
      </c>
      <c r="D80" s="74"/>
      <c r="F80" s="17">
        <f>F78-160</f>
        <v>295</v>
      </c>
      <c r="I80" s="17">
        <f>I78-160</f>
        <v>295</v>
      </c>
      <c r="M80">
        <v>2500</v>
      </c>
    </row>
    <row r="81" spans="3:14" x14ac:dyDescent="0.3">
      <c r="C81" s="293" t="s">
        <v>300</v>
      </c>
      <c r="F81" s="17">
        <f>F77</f>
        <v>409</v>
      </c>
      <c r="I81">
        <v>370</v>
      </c>
      <c r="M81">
        <f>M80-M79</f>
        <v>1330</v>
      </c>
    </row>
    <row r="82" spans="3:14" x14ac:dyDescent="0.3">
      <c r="C82" s="293" t="s">
        <v>301</v>
      </c>
      <c r="F82" s="17">
        <f>F81-F80</f>
        <v>114</v>
      </c>
      <c r="I82" s="17">
        <f>I81-I80</f>
        <v>75</v>
      </c>
      <c r="M82">
        <f>M81*139</f>
        <v>184870</v>
      </c>
    </row>
    <row r="83" spans="3:14" x14ac:dyDescent="0.3">
      <c r="F83" s="17">
        <f>F82-75</f>
        <v>39</v>
      </c>
      <c r="I83" s="91">
        <f>I81+I82</f>
        <v>445</v>
      </c>
    </row>
    <row r="87" spans="3:14" x14ac:dyDescent="0.3">
      <c r="L87">
        <f>M87+N87</f>
        <v>525</v>
      </c>
      <c r="M87">
        <v>185</v>
      </c>
      <c r="N87">
        <v>340</v>
      </c>
    </row>
    <row r="93" spans="3:14" x14ac:dyDescent="0.3">
      <c r="L93">
        <f>7800*0.35</f>
        <v>2730</v>
      </c>
    </row>
  </sheetData>
  <mergeCells count="17">
    <mergeCell ref="B71:C71"/>
    <mergeCell ref="B72:C72"/>
    <mergeCell ref="B73:C73"/>
    <mergeCell ref="B74:C74"/>
    <mergeCell ref="H69:H70"/>
    <mergeCell ref="B59:C59"/>
    <mergeCell ref="B60:C60"/>
    <mergeCell ref="B61:C61"/>
    <mergeCell ref="B69:C69"/>
    <mergeCell ref="G69:G70"/>
    <mergeCell ref="L67:L68"/>
    <mergeCell ref="B67:C68"/>
    <mergeCell ref="J67:J68"/>
    <mergeCell ref="B70:C70"/>
    <mergeCell ref="G67:I67"/>
    <mergeCell ref="D67:F67"/>
    <mergeCell ref="K67:K68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L8"/>
  <sheetViews>
    <sheetView rightToLeft="1" topLeftCell="C1" zoomScale="175" zoomScaleNormal="175" workbookViewId="0">
      <selection activeCell="F12" sqref="F12"/>
    </sheetView>
  </sheetViews>
  <sheetFormatPr defaultRowHeight="14" x14ac:dyDescent="0.3"/>
  <cols>
    <col min="1" max="1" width="10.58203125" customWidth="1"/>
    <col min="2" max="2" width="11.5" bestFit="1" customWidth="1"/>
    <col min="3" max="3" width="9.9140625" bestFit="1" customWidth="1"/>
    <col min="9" max="9" width="10.9140625" bestFit="1" customWidth="1"/>
    <col min="10" max="10" width="26" bestFit="1" customWidth="1"/>
  </cols>
  <sheetData>
    <row r="2" spans="1:12" x14ac:dyDescent="0.3">
      <c r="A2" s="39" t="s">
        <v>165</v>
      </c>
      <c r="B2" s="39" t="s">
        <v>166</v>
      </c>
      <c r="C2" s="39" t="s">
        <v>134</v>
      </c>
      <c r="D2" s="39" t="s">
        <v>167</v>
      </c>
      <c r="E2" s="39" t="s">
        <v>241</v>
      </c>
      <c r="F2" s="39" t="s">
        <v>55</v>
      </c>
      <c r="G2" s="39" t="s">
        <v>243</v>
      </c>
      <c r="H2" s="39" t="s">
        <v>244</v>
      </c>
      <c r="I2" s="39" t="s">
        <v>245</v>
      </c>
      <c r="J2" s="39" t="s">
        <v>247</v>
      </c>
      <c r="K2" s="39" t="s">
        <v>306</v>
      </c>
      <c r="L2" s="39" t="s">
        <v>307</v>
      </c>
    </row>
    <row r="3" spans="1:12" x14ac:dyDescent="0.3">
      <c r="A3" s="255" t="s">
        <v>240</v>
      </c>
      <c r="B3" s="255" t="s">
        <v>239</v>
      </c>
      <c r="C3" s="187">
        <v>43832</v>
      </c>
      <c r="D3">
        <v>3.5</v>
      </c>
      <c r="E3" t="s">
        <v>169</v>
      </c>
      <c r="F3">
        <f>250+145+55+180</f>
        <v>630</v>
      </c>
      <c r="G3">
        <v>212</v>
      </c>
      <c r="H3">
        <v>150</v>
      </c>
      <c r="I3">
        <v>4750</v>
      </c>
      <c r="J3" t="s">
        <v>170</v>
      </c>
      <c r="K3">
        <v>1.17</v>
      </c>
      <c r="L3">
        <f>K3*I3</f>
        <v>5557.5</v>
      </c>
    </row>
    <row r="4" spans="1:12" x14ac:dyDescent="0.3">
      <c r="A4" s="255" t="s">
        <v>240</v>
      </c>
      <c r="B4" s="255" t="s">
        <v>246</v>
      </c>
      <c r="C4" s="187">
        <v>41352</v>
      </c>
    </row>
    <row r="5" spans="1:12" x14ac:dyDescent="0.3">
      <c r="A5" s="255" t="s">
        <v>240</v>
      </c>
      <c r="B5" s="255" t="s">
        <v>238</v>
      </c>
      <c r="C5" s="187">
        <v>40597</v>
      </c>
    </row>
    <row r="6" spans="1:12" x14ac:dyDescent="0.3">
      <c r="A6" s="255" t="s">
        <v>240</v>
      </c>
      <c r="B6" s="255" t="s">
        <v>237</v>
      </c>
      <c r="C6" s="187">
        <v>39849</v>
      </c>
      <c r="D6">
        <v>500</v>
      </c>
      <c r="E6" t="s">
        <v>168</v>
      </c>
      <c r="I6">
        <v>675</v>
      </c>
      <c r="J6" t="s">
        <v>248</v>
      </c>
    </row>
    <row r="7" spans="1:12" x14ac:dyDescent="0.3">
      <c r="A7" s="255" t="s">
        <v>240</v>
      </c>
      <c r="B7" s="255" t="s">
        <v>236</v>
      </c>
      <c r="C7" s="187">
        <v>34851</v>
      </c>
      <c r="D7">
        <v>2.5</v>
      </c>
      <c r="E7" t="s">
        <v>169</v>
      </c>
      <c r="F7">
        <f>200+105+55</f>
        <v>360</v>
      </c>
      <c r="G7">
        <f>50+40</f>
        <v>90</v>
      </c>
      <c r="H7">
        <f>100</f>
        <v>100</v>
      </c>
      <c r="I7">
        <v>465</v>
      </c>
    </row>
    <row r="8" spans="1:12" x14ac:dyDescent="0.3">
      <c r="A8" s="255" t="s">
        <v>240</v>
      </c>
      <c r="B8" s="255" t="s">
        <v>235</v>
      </c>
      <c r="C8" s="187">
        <v>32351</v>
      </c>
      <c r="D8">
        <v>1</v>
      </c>
      <c r="E8" t="s">
        <v>169</v>
      </c>
      <c r="F8">
        <v>150</v>
      </c>
      <c r="G8">
        <v>25</v>
      </c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4" x14ac:dyDescent="0.3"/>
  <cols>
    <col min="1" max="1" width="1.6640625" customWidth="1"/>
    <col min="2" max="2" width="18.1640625" customWidth="1"/>
    <col min="3" max="3" width="13" bestFit="1" customWidth="1"/>
    <col min="4" max="4" width="10.58203125" bestFit="1" customWidth="1"/>
    <col min="5" max="5" width="9.5" bestFit="1" customWidth="1"/>
    <col min="6" max="6" width="11.6640625" bestFit="1" customWidth="1"/>
  </cols>
  <sheetData>
    <row r="1" spans="2:10" ht="4.5" customHeight="1" thickBot="1" x14ac:dyDescent="0.35"/>
    <row r="2" spans="2:10" ht="14.5" thickBot="1" x14ac:dyDescent="0.35">
      <c r="B2" s="350" t="s">
        <v>118</v>
      </c>
      <c r="C2" s="351"/>
      <c r="D2" s="351"/>
      <c r="E2" s="351"/>
      <c r="F2" s="352"/>
    </row>
    <row r="3" spans="2:10" ht="14.5" thickBot="1" x14ac:dyDescent="0.35">
      <c r="B3" s="151" t="s">
        <v>49</v>
      </c>
      <c r="C3" s="353" t="s">
        <v>44</v>
      </c>
      <c r="D3" s="354"/>
      <c r="E3" s="353" t="s">
        <v>100</v>
      </c>
      <c r="F3" s="355"/>
    </row>
    <row r="4" spans="2:10" x14ac:dyDescent="0.3">
      <c r="B4" s="166" t="s">
        <v>101</v>
      </c>
      <c r="C4" s="367">
        <v>0</v>
      </c>
      <c r="D4" s="368"/>
      <c r="E4" s="367">
        <v>0</v>
      </c>
      <c r="F4" s="369"/>
    </row>
    <row r="5" spans="2:10" x14ac:dyDescent="0.3">
      <c r="B5" s="171" t="s">
        <v>102</v>
      </c>
      <c r="C5" s="367">
        <v>140000</v>
      </c>
      <c r="D5" s="368"/>
      <c r="E5" s="367">
        <f>6000*2</f>
        <v>12000</v>
      </c>
      <c r="F5" s="369"/>
    </row>
    <row r="6" spans="2:10" ht="28" x14ac:dyDescent="0.3">
      <c r="B6" s="171" t="s">
        <v>114</v>
      </c>
      <c r="C6" s="367">
        <f>46500*7</f>
        <v>325500</v>
      </c>
      <c r="D6" s="368"/>
      <c r="E6" s="367">
        <v>0</v>
      </c>
      <c r="F6" s="369"/>
    </row>
    <row r="7" spans="2:10" x14ac:dyDescent="0.3">
      <c r="B7" s="171" t="s">
        <v>103</v>
      </c>
      <c r="C7" s="367">
        <f>13000*7</f>
        <v>91000</v>
      </c>
      <c r="D7" s="368"/>
      <c r="E7" s="367">
        <f>4000*7</f>
        <v>28000</v>
      </c>
      <c r="F7" s="369"/>
    </row>
    <row r="8" spans="2:10" ht="14.5" thickBot="1" x14ac:dyDescent="0.35">
      <c r="B8" s="157" t="s">
        <v>104</v>
      </c>
      <c r="C8" s="367">
        <f>65000*7</f>
        <v>455000</v>
      </c>
      <c r="D8" s="368"/>
      <c r="E8" s="367">
        <v>50000</v>
      </c>
      <c r="F8" s="369"/>
      <c r="J8" t="s">
        <v>163</v>
      </c>
    </row>
    <row r="9" spans="2:10" ht="14.5" thickBot="1" x14ac:dyDescent="0.35">
      <c r="B9" s="350" t="s">
        <v>117</v>
      </c>
      <c r="C9" s="351"/>
      <c r="D9" s="351"/>
      <c r="E9" s="351"/>
      <c r="F9" s="352"/>
      <c r="J9" t="s">
        <v>164</v>
      </c>
    </row>
    <row r="10" spans="2:10" ht="17.5" thickBot="1" x14ac:dyDescent="0.35">
      <c r="B10" s="152" t="s">
        <v>112</v>
      </c>
      <c r="C10" s="153" t="s">
        <v>110</v>
      </c>
      <c r="D10" s="154" t="s">
        <v>107</v>
      </c>
      <c r="E10" s="155" t="s">
        <v>108</v>
      </c>
      <c r="F10" s="156" t="s">
        <v>109</v>
      </c>
    </row>
    <row r="11" spans="2:10" x14ac:dyDescent="0.3">
      <c r="B11" s="166" t="s">
        <v>101</v>
      </c>
      <c r="C11" s="183">
        <f>197-160</f>
        <v>37</v>
      </c>
      <c r="D11" s="178">
        <f>C11*6605</f>
        <v>244385</v>
      </c>
      <c r="E11" s="183">
        <v>35</v>
      </c>
      <c r="F11" s="179">
        <f>E11*6605/2</f>
        <v>115587.5</v>
      </c>
    </row>
    <row r="12" spans="2:10" x14ac:dyDescent="0.3">
      <c r="B12" s="171" t="s">
        <v>102</v>
      </c>
      <c r="C12" s="184">
        <v>0</v>
      </c>
      <c r="D12" s="182">
        <v>0</v>
      </c>
      <c r="E12" s="184">
        <f>147+24-160</f>
        <v>11</v>
      </c>
      <c r="F12" s="177">
        <f>E12*6605/2</f>
        <v>36327.5</v>
      </c>
    </row>
    <row r="13" spans="2:10" x14ac:dyDescent="0.3">
      <c r="B13" s="180" t="s">
        <v>105</v>
      </c>
      <c r="C13" s="359" t="s">
        <v>111</v>
      </c>
      <c r="D13" s="359"/>
      <c r="E13" s="359"/>
      <c r="F13" s="360"/>
    </row>
    <row r="14" spans="2:10" x14ac:dyDescent="0.3">
      <c r="B14" s="181" t="s">
        <v>103</v>
      </c>
      <c r="C14" s="359" t="s">
        <v>113</v>
      </c>
      <c r="D14" s="359"/>
      <c r="E14" s="359"/>
      <c r="F14" s="360"/>
    </row>
    <row r="15" spans="2:10" ht="14.5" thickBot="1" x14ac:dyDescent="0.35">
      <c r="B15" s="157" t="s">
        <v>104</v>
      </c>
      <c r="C15" s="361" t="s">
        <v>115</v>
      </c>
      <c r="D15" s="362"/>
      <c r="E15" s="362"/>
      <c r="F15" s="363"/>
    </row>
    <row r="16" spans="2:10" ht="14.5" thickBot="1" x14ac:dyDescent="0.35"/>
    <row r="17" spans="2:6" ht="14.5" thickBot="1" x14ac:dyDescent="0.35">
      <c r="B17" s="350" t="s">
        <v>99</v>
      </c>
      <c r="C17" s="351"/>
      <c r="D17" s="351"/>
      <c r="E17" s="351"/>
      <c r="F17" s="352"/>
    </row>
    <row r="18" spans="2:6" ht="14.5" thickBot="1" x14ac:dyDescent="0.35">
      <c r="B18" s="151" t="s">
        <v>106</v>
      </c>
      <c r="C18" s="353" t="s">
        <v>44</v>
      </c>
      <c r="D18" s="354"/>
      <c r="E18" s="353" t="s">
        <v>100</v>
      </c>
      <c r="F18" s="355"/>
    </row>
    <row r="19" spans="2:6" x14ac:dyDescent="0.3">
      <c r="B19" s="166" t="s">
        <v>101</v>
      </c>
      <c r="C19" s="364">
        <v>0</v>
      </c>
      <c r="D19" s="365"/>
      <c r="E19" s="364">
        <v>0</v>
      </c>
      <c r="F19" s="366"/>
    </row>
    <row r="20" spans="2:6" x14ac:dyDescent="0.3">
      <c r="B20" s="171" t="s">
        <v>102</v>
      </c>
      <c r="C20" s="381">
        <v>70000</v>
      </c>
      <c r="D20" s="382"/>
      <c r="E20" s="383">
        <f>6000*7</f>
        <v>42000</v>
      </c>
      <c r="F20" s="384"/>
    </row>
    <row r="21" spans="2:6" x14ac:dyDescent="0.3">
      <c r="B21" s="175" t="s">
        <v>105</v>
      </c>
      <c r="C21" s="381">
        <f>46500*7</f>
        <v>325500</v>
      </c>
      <c r="D21" s="382"/>
      <c r="E21" s="381">
        <v>0</v>
      </c>
      <c r="F21" s="385"/>
    </row>
    <row r="22" spans="2:6" x14ac:dyDescent="0.3">
      <c r="B22" s="171" t="s">
        <v>103</v>
      </c>
      <c r="C22" s="381">
        <f>13000*7</f>
        <v>91000</v>
      </c>
      <c r="D22" s="382"/>
      <c r="E22" s="381">
        <f>4000*7</f>
        <v>28000</v>
      </c>
      <c r="F22" s="385"/>
    </row>
    <row r="23" spans="2:6" ht="14.5" thickBot="1" x14ac:dyDescent="0.35">
      <c r="B23" s="157" t="s">
        <v>104</v>
      </c>
      <c r="C23" s="356">
        <f>65000*7</f>
        <v>455000</v>
      </c>
      <c r="D23" s="357"/>
      <c r="E23" s="356">
        <f>7000*7</f>
        <v>49000</v>
      </c>
      <c r="F23" s="358"/>
    </row>
    <row r="24" spans="2:6" ht="14.5" thickBot="1" x14ac:dyDescent="0.35">
      <c r="B24" s="162"/>
      <c r="C24" s="163"/>
      <c r="D24" s="164"/>
      <c r="E24" s="164"/>
      <c r="F24" s="165"/>
    </row>
    <row r="25" spans="2:6" ht="17.5" thickBot="1" x14ac:dyDescent="0.35">
      <c r="B25" s="152" t="s">
        <v>112</v>
      </c>
      <c r="C25" s="153" t="s">
        <v>110</v>
      </c>
      <c r="D25" s="154" t="s">
        <v>107</v>
      </c>
      <c r="E25" s="155" t="s">
        <v>108</v>
      </c>
      <c r="F25" s="156" t="s">
        <v>109</v>
      </c>
    </row>
    <row r="26" spans="2:6" x14ac:dyDescent="0.3">
      <c r="B26" s="166" t="s">
        <v>101</v>
      </c>
      <c r="C26" s="167">
        <f>197-160</f>
        <v>37</v>
      </c>
      <c r="D26" s="168">
        <f>C26*6605</f>
        <v>244385</v>
      </c>
      <c r="E26" s="169">
        <v>35</v>
      </c>
      <c r="F26" s="170">
        <f>E26*6605/2</f>
        <v>115587.5</v>
      </c>
    </row>
    <row r="27" spans="2:6" x14ac:dyDescent="0.3">
      <c r="B27" s="171" t="s">
        <v>102</v>
      </c>
      <c r="C27" s="172">
        <v>0</v>
      </c>
      <c r="D27" s="173">
        <f>C27*6605</f>
        <v>0</v>
      </c>
      <c r="E27" s="176">
        <f>147+24-160</f>
        <v>11</v>
      </c>
      <c r="F27" s="174">
        <f>E27*6605/2</f>
        <v>36327.5</v>
      </c>
    </row>
    <row r="28" spans="2:6" x14ac:dyDescent="0.3">
      <c r="B28" s="175" t="s">
        <v>105</v>
      </c>
      <c r="C28" s="379" t="s">
        <v>111</v>
      </c>
      <c r="D28" s="379"/>
      <c r="E28" s="379"/>
      <c r="F28" s="380"/>
    </row>
    <row r="29" spans="2:6" x14ac:dyDescent="0.3">
      <c r="B29" s="171" t="s">
        <v>103</v>
      </c>
      <c r="C29" s="172">
        <v>0</v>
      </c>
      <c r="D29" s="173">
        <v>0</v>
      </c>
      <c r="E29" s="172">
        <v>0</v>
      </c>
      <c r="F29" s="174">
        <v>0</v>
      </c>
    </row>
    <row r="30" spans="2:6" ht="14.5" thickBot="1" x14ac:dyDescent="0.35">
      <c r="B30" s="157" t="s">
        <v>104</v>
      </c>
      <c r="C30" s="158">
        <v>0</v>
      </c>
      <c r="D30" s="159">
        <v>0</v>
      </c>
      <c r="E30" s="160">
        <f>139+31-160</f>
        <v>10</v>
      </c>
      <c r="F30" s="161">
        <f>E30*6605/2</f>
        <v>33025</v>
      </c>
    </row>
    <row r="34" spans="2:6" ht="14.5" thickBot="1" x14ac:dyDescent="0.35"/>
    <row r="35" spans="2:6" ht="14.5" thickBot="1" x14ac:dyDescent="0.35">
      <c r="B35" s="350" t="s">
        <v>116</v>
      </c>
      <c r="C35" s="351"/>
      <c r="D35" s="351"/>
      <c r="E35" s="351"/>
      <c r="F35" s="352"/>
    </row>
    <row r="36" spans="2:6" ht="14.5" thickBot="1" x14ac:dyDescent="0.35">
      <c r="B36" s="151" t="s">
        <v>119</v>
      </c>
      <c r="C36" s="353" t="s">
        <v>44</v>
      </c>
      <c r="D36" s="354"/>
      <c r="E36" s="353" t="s">
        <v>100</v>
      </c>
      <c r="F36" s="355"/>
    </row>
    <row r="37" spans="2:6" x14ac:dyDescent="0.3">
      <c r="B37" s="166" t="s">
        <v>120</v>
      </c>
      <c r="C37" s="370" t="s">
        <v>123</v>
      </c>
      <c r="D37" s="371"/>
      <c r="E37" s="371"/>
      <c r="F37" s="372"/>
    </row>
    <row r="38" spans="2:6" x14ac:dyDescent="0.3">
      <c r="B38" s="171" t="s">
        <v>121</v>
      </c>
      <c r="C38" s="373" t="s">
        <v>122</v>
      </c>
      <c r="D38" s="374"/>
      <c r="E38" s="374"/>
      <c r="F38" s="375"/>
    </row>
    <row r="39" spans="2:6" x14ac:dyDescent="0.3">
      <c r="B39" s="171" t="s">
        <v>124</v>
      </c>
      <c r="C39" s="373" t="s">
        <v>125</v>
      </c>
      <c r="D39" s="374"/>
      <c r="E39" s="374"/>
      <c r="F39" s="375"/>
    </row>
    <row r="40" spans="2:6" ht="14.5" thickBot="1" x14ac:dyDescent="0.35">
      <c r="B40" s="157" t="s">
        <v>126</v>
      </c>
      <c r="C40" s="376" t="s">
        <v>127</v>
      </c>
      <c r="D40" s="377"/>
      <c r="E40" s="377"/>
      <c r="F40" s="378"/>
    </row>
  </sheetData>
  <mergeCells count="38"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  <mergeCell ref="B9:F9"/>
    <mergeCell ref="E3:F3"/>
    <mergeCell ref="E4:F4"/>
    <mergeCell ref="E5:F5"/>
    <mergeCell ref="E6:F6"/>
    <mergeCell ref="E7:F7"/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4" x14ac:dyDescent="0.3"/>
  <cols>
    <col min="1" max="1" width="20.58203125" customWidth="1"/>
    <col min="2" max="2" width="10.5" bestFit="1" customWidth="1"/>
    <col min="3" max="3" width="14.58203125" customWidth="1"/>
    <col min="6" max="7" width="14.1640625" customWidth="1"/>
    <col min="8" max="8" width="11.08203125" bestFit="1" customWidth="1"/>
    <col min="9" max="9" width="13.5" bestFit="1" customWidth="1"/>
    <col min="10" max="10" width="13" bestFit="1" customWidth="1"/>
    <col min="11" max="11" width="12.5" bestFit="1" customWidth="1"/>
    <col min="12" max="12" width="11.08203125" bestFit="1" customWidth="1"/>
    <col min="14" max="14" width="9.4140625" customWidth="1"/>
  </cols>
  <sheetData>
    <row r="2" spans="1:14" x14ac:dyDescent="0.3">
      <c r="A2" t="s">
        <v>171</v>
      </c>
      <c r="B2" t="s">
        <v>172</v>
      </c>
    </row>
    <row r="3" spans="1:14" x14ac:dyDescent="0.3">
      <c r="B3" t="s">
        <v>44</v>
      </c>
    </row>
    <row r="7" spans="1:14" x14ac:dyDescent="0.3">
      <c r="N7" t="s">
        <v>173</v>
      </c>
    </row>
    <row r="8" spans="1:14" x14ac:dyDescent="0.3">
      <c r="A8" t="s">
        <v>174</v>
      </c>
      <c r="N8" t="s">
        <v>175</v>
      </c>
    </row>
    <row r="9" spans="1:14" x14ac:dyDescent="0.3">
      <c r="A9" t="s">
        <v>176</v>
      </c>
      <c r="D9" s="211" t="s">
        <v>177</v>
      </c>
      <c r="E9" s="211"/>
      <c r="N9" t="s">
        <v>178</v>
      </c>
    </row>
    <row r="10" spans="1:14" x14ac:dyDescent="0.3">
      <c r="N10" t="s">
        <v>179</v>
      </c>
    </row>
    <row r="15" spans="1:14" x14ac:dyDescent="0.3">
      <c r="A15" t="s">
        <v>180</v>
      </c>
      <c r="B15" t="s">
        <v>181</v>
      </c>
    </row>
    <row r="19" spans="1:12" x14ac:dyDescent="0.3">
      <c r="A19" s="39" t="s">
        <v>182</v>
      </c>
      <c r="B19" s="39" t="s">
        <v>173</v>
      </c>
      <c r="C19" s="39" t="s">
        <v>79</v>
      </c>
      <c r="D19" s="39" t="s">
        <v>183</v>
      </c>
      <c r="E19" s="39" t="s">
        <v>184</v>
      </c>
      <c r="F19" s="39" t="s">
        <v>185</v>
      </c>
      <c r="G19" s="39" t="s">
        <v>21</v>
      </c>
      <c r="H19" s="39" t="s">
        <v>186</v>
      </c>
      <c r="I19" s="39" t="s">
        <v>187</v>
      </c>
      <c r="J19" s="39" t="s">
        <v>188</v>
      </c>
      <c r="K19" s="39" t="s">
        <v>189</v>
      </c>
      <c r="L19" s="39" t="s">
        <v>190</v>
      </c>
    </row>
    <row r="20" spans="1:12" x14ac:dyDescent="0.3">
      <c r="A20" t="s">
        <v>191</v>
      </c>
      <c r="H20" s="148">
        <f>'תחשיב לפי שווי שומה (2)'!B8</f>
        <v>8500</v>
      </c>
      <c r="I20" s="189">
        <v>0</v>
      </c>
      <c r="J20" s="149">
        <f>D20*G20*H20*I20</f>
        <v>0</v>
      </c>
      <c r="K20" s="189">
        <v>0.51</v>
      </c>
      <c r="L20" s="148">
        <f>'[1]תחשיב לפי שווי שומה (2)'!$B$26*G20</f>
        <v>0</v>
      </c>
    </row>
    <row r="21" spans="1:12" x14ac:dyDescent="0.3">
      <c r="A21" t="s">
        <v>192</v>
      </c>
      <c r="H21" s="149">
        <f>H20</f>
        <v>8500</v>
      </c>
      <c r="I21" s="189">
        <v>0</v>
      </c>
      <c r="J21" s="149">
        <f>D21*G21*H21*I21</f>
        <v>0</v>
      </c>
      <c r="K21" s="189">
        <v>0.51</v>
      </c>
      <c r="L21" s="148">
        <f>'[1]תחשיב לפי שווי שומה (2)'!$B$26*G21</f>
        <v>0</v>
      </c>
    </row>
    <row r="22" spans="1:12" x14ac:dyDescent="0.3">
      <c r="A22" t="s">
        <v>193</v>
      </c>
      <c r="H22" s="149">
        <f>H21</f>
        <v>8500</v>
      </c>
      <c r="I22" s="189">
        <v>0.05</v>
      </c>
      <c r="J22" s="149">
        <f>D22*G22*H22*I22</f>
        <v>0</v>
      </c>
      <c r="K22" s="189">
        <v>0.51</v>
      </c>
      <c r="L22" s="148">
        <f>'[1]תחשיב לפי שווי שומה (2)'!$B$26*G22</f>
        <v>0</v>
      </c>
    </row>
    <row r="23" spans="1:12" x14ac:dyDescent="0.3">
      <c r="A23" t="s">
        <v>194</v>
      </c>
      <c r="H23" s="149">
        <f>H22</f>
        <v>8500</v>
      </c>
      <c r="I23" s="189">
        <v>0.05</v>
      </c>
      <c r="J23" s="149">
        <f>D23*G23*H23*I23</f>
        <v>0</v>
      </c>
      <c r="K23" s="189">
        <v>0.51</v>
      </c>
      <c r="L23" s="148">
        <f>'[1]תחשיב לפי שווי שומה (2)'!$B$26*G23</f>
        <v>0</v>
      </c>
    </row>
    <row r="24" spans="1:12" x14ac:dyDescent="0.3">
      <c r="A24" t="s">
        <v>195</v>
      </c>
      <c r="H24" s="149"/>
      <c r="I24" s="189">
        <v>0.05</v>
      </c>
      <c r="J24" s="149">
        <f>D24*G24*H24*I24</f>
        <v>0</v>
      </c>
      <c r="K24" s="189">
        <v>0.51</v>
      </c>
      <c r="L24" s="148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customXml/itemProps3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Ofir Avioz</cp:lastModifiedBy>
  <cp:lastPrinted>2021-12-23T08:27:36Z</cp:lastPrinted>
  <dcterms:created xsi:type="dcterms:W3CDTF">2021-03-08T14:46:48Z</dcterms:created>
  <dcterms:modified xsi:type="dcterms:W3CDTF">2025-11-20T10:15:10Z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