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סער רפי - בית אלעזרי/פרוייקט בדיקת התכנות/בדיקת התכנות/"/>
    </mc:Choice>
  </mc:AlternateContent>
  <xr:revisionPtr revIDLastSave="97" documentId="13_ncr:1_{7D88FF2A-78B5-49B0-89A4-0092917A6443}" xr6:coauthVersionLast="47" xr6:coauthVersionMax="47" xr10:uidLastSave="{D86D9ABD-8853-4AD0-87F1-FDDBD1EF8346}"/>
  <bookViews>
    <workbookView xWindow="-28920" yWindow="-120" windowWidth="29040" windowHeight="15720" activeTab="1" xr2:uid="{A05DD401-26F7-4249-BA87-8825FF0852EB}"/>
  </bookViews>
  <sheets>
    <sheet name="תחשיב לפי שווי שומה (2)" sheetId="6" r:id="rId1"/>
    <sheet name="סיכום עלויות פיצולים" sheetId="10" r:id="rId2"/>
    <sheet name="מ&quot;ר אקו' נחלה" sheetId="3" r:id="rId3"/>
    <sheet name="תחשיבי הסדרה" sheetId="11" r:id="rId4"/>
    <sheet name="ניתוח איזור לעסקאות דמה" sheetId="5" r:id="rId5"/>
    <sheet name="חישוב גדלי בתים" sheetId="4" r:id="rId6"/>
    <sheet name="תבעות" sheetId="8" r:id="rId7"/>
    <sheet name="גיליון1" sheetId="7" r:id="rId8"/>
    <sheet name="בקרה" sheetId="9" r:id="rId9"/>
  </sheets>
  <externalReferences>
    <externalReference r:id="rId10"/>
  </externalReferences>
  <definedNames>
    <definedName name="_xlnm._FilterDatabase" localSheetId="6" hidden="1">תבעות!$A$2:$F$7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" i="10" l="1"/>
  <c r="G50" i="10"/>
  <c r="H49" i="10"/>
  <c r="G48" i="10"/>
  <c r="G47" i="10"/>
  <c r="G46" i="10"/>
  <c r="D45" i="10"/>
  <c r="G44" i="10"/>
  <c r="G43" i="10"/>
  <c r="U44" i="10"/>
  <c r="U46" i="10" s="1"/>
  <c r="U47" i="10" s="1"/>
  <c r="U48" i="10" s="1"/>
  <c r="E29" i="10"/>
  <c r="G29" i="10" s="1"/>
  <c r="G33" i="10"/>
  <c r="G34" i="10"/>
  <c r="G36" i="10"/>
  <c r="H35" i="10"/>
  <c r="G32" i="10"/>
  <c r="E31" i="10"/>
  <c r="B26" i="10"/>
  <c r="D31" i="10"/>
  <c r="F31" i="10" s="1"/>
  <c r="F30" i="10"/>
  <c r="G30" i="10" s="1"/>
  <c r="O92" i="3"/>
  <c r="D78" i="3"/>
  <c r="D80" i="3" s="1"/>
  <c r="D81" i="3" s="1"/>
  <c r="I4" i="8"/>
  <c r="D5" i="4"/>
  <c r="C7" i="5"/>
  <c r="B8" i="6" s="1"/>
  <c r="H20" i="9" s="1"/>
  <c r="H21" i="9" s="1"/>
  <c r="K47" i="5"/>
  <c r="K48" i="5" s="1"/>
  <c r="M48" i="5" s="1"/>
  <c r="E47" i="5"/>
  <c r="M46" i="5"/>
  <c r="G46" i="5"/>
  <c r="M45" i="5"/>
  <c r="G45" i="5"/>
  <c r="M44" i="5"/>
  <c r="G44" i="5"/>
  <c r="M43" i="5"/>
  <c r="G43" i="5"/>
  <c r="N42" i="5"/>
  <c r="H42" i="5"/>
  <c r="K34" i="5"/>
  <c r="E34" i="5"/>
  <c r="M33" i="5"/>
  <c r="G33" i="5"/>
  <c r="M32" i="5"/>
  <c r="G32" i="5"/>
  <c r="M31" i="5"/>
  <c r="G31" i="5"/>
  <c r="M30" i="5"/>
  <c r="G30" i="5"/>
  <c r="N29" i="5"/>
  <c r="H29" i="5"/>
  <c r="I19" i="5"/>
  <c r="K19" i="5" s="1"/>
  <c r="M50" i="5" s="1"/>
  <c r="I18" i="5"/>
  <c r="K18" i="5" s="1"/>
  <c r="G50" i="5" s="1"/>
  <c r="I17" i="5"/>
  <c r="K17" i="5" s="1"/>
  <c r="M37" i="5" s="1"/>
  <c r="I16" i="5"/>
  <c r="K16" i="5" s="1"/>
  <c r="G37" i="5" s="1"/>
  <c r="D26" i="3"/>
  <c r="D24" i="3"/>
  <c r="B22" i="3"/>
  <c r="D22" i="3" s="1"/>
  <c r="D21" i="3"/>
  <c r="D20" i="3"/>
  <c r="D7" i="3"/>
  <c r="B9" i="3"/>
  <c r="D11" i="3"/>
  <c r="D8" i="3"/>
  <c r="D6" i="3"/>
  <c r="D5" i="3"/>
  <c r="D4" i="3"/>
  <c r="I26" i="11"/>
  <c r="J26" i="11"/>
  <c r="H26" i="11"/>
  <c r="S55" i="3"/>
  <c r="W53" i="3"/>
  <c r="U53" i="3"/>
  <c r="Y53" i="3" s="1"/>
  <c r="U51" i="3"/>
  <c r="Y51" i="3" s="1"/>
  <c r="S49" i="3"/>
  <c r="U49" i="3" s="1"/>
  <c r="S48" i="3"/>
  <c r="U48" i="3" s="1"/>
  <c r="S47" i="3"/>
  <c r="U47" i="3" s="1"/>
  <c r="S46" i="3"/>
  <c r="G48" i="3"/>
  <c r="O16" i="10"/>
  <c r="O20" i="10" s="1"/>
  <c r="K14" i="10"/>
  <c r="M12" i="10"/>
  <c r="K12" i="10"/>
  <c r="D32" i="3"/>
  <c r="D37" i="3" s="1"/>
  <c r="L24" i="9"/>
  <c r="J24" i="9"/>
  <c r="L23" i="9"/>
  <c r="L22" i="9"/>
  <c r="L21" i="9"/>
  <c r="L20" i="9"/>
  <c r="C42" i="6"/>
  <c r="M49" i="5" l="1"/>
  <c r="K35" i="5"/>
  <c r="M35" i="5" s="1"/>
  <c r="E48" i="5"/>
  <c r="G48" i="5" s="1"/>
  <c r="G49" i="5" s="1"/>
  <c r="G51" i="5" s="1"/>
  <c r="M18" i="5" s="1"/>
  <c r="E35" i="5"/>
  <c r="G35" i="5" s="1"/>
  <c r="G36" i="5" s="1"/>
  <c r="G38" i="5" s="1"/>
  <c r="M16" i="5" s="1"/>
  <c r="D25" i="3"/>
  <c r="D27" i="3" s="1"/>
  <c r="B4" i="6" s="1"/>
  <c r="F49" i="10"/>
  <c r="E49" i="10"/>
  <c r="G31" i="10"/>
  <c r="E35" i="10"/>
  <c r="F35" i="10"/>
  <c r="D35" i="10"/>
  <c r="M36" i="5"/>
  <c r="M38" i="5" s="1"/>
  <c r="M17" i="5" s="1"/>
  <c r="M51" i="5"/>
  <c r="M19" i="5" s="1"/>
  <c r="W46" i="3"/>
  <c r="W57" i="3" s="1"/>
  <c r="S50" i="3"/>
  <c r="S52" i="3" s="1"/>
  <c r="S54" i="3" s="1"/>
  <c r="S56" i="3" s="1"/>
  <c r="B10" i="3"/>
  <c r="B12" i="3" s="1"/>
  <c r="Y57" i="3"/>
  <c r="U46" i="3"/>
  <c r="U50" i="3" s="1"/>
  <c r="U57" i="3" s="1"/>
  <c r="K16" i="10"/>
  <c r="K20" i="10" s="1"/>
  <c r="M16" i="10"/>
  <c r="M20" i="10" s="1"/>
  <c r="B5" i="6"/>
  <c r="J21" i="9"/>
  <c r="H22" i="9"/>
  <c r="J20" i="9"/>
  <c r="B32" i="6"/>
  <c r="D40" i="6"/>
  <c r="D39" i="6"/>
  <c r="D31" i="6"/>
  <c r="D32" i="6"/>
  <c r="C43" i="6"/>
  <c r="D43" i="6" s="1"/>
  <c r="C34" i="6"/>
  <c r="D34" i="6" s="1"/>
  <c r="D13" i="4"/>
  <c r="E13" i="4"/>
  <c r="G13" i="4"/>
  <c r="F13" i="4"/>
  <c r="H13" i="4"/>
  <c r="D24" i="4"/>
  <c r="E24" i="4"/>
  <c r="F24" i="4"/>
  <c r="G24" i="4"/>
  <c r="H24" i="4"/>
  <c r="I13" i="4"/>
  <c r="I24" i="4"/>
  <c r="E28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G49" i="10" l="1"/>
  <c r="G45" i="10"/>
  <c r="G35" i="10"/>
  <c r="M20" i="5"/>
  <c r="M21" i="5" s="1"/>
  <c r="M23" i="5" s="1"/>
  <c r="B14" i="3"/>
  <c r="D12" i="3"/>
  <c r="D14" i="3" s="1"/>
  <c r="D15" i="3" s="1"/>
  <c r="D40" i="3" s="1"/>
  <c r="H23" i="9"/>
  <c r="J23" i="9" s="1"/>
  <c r="J22" i="9"/>
  <c r="D42" i="6"/>
  <c r="C35" i="6"/>
  <c r="D35" i="6" s="1"/>
  <c r="G25" i="4"/>
  <c r="I25" i="4"/>
  <c r="H25" i="4"/>
  <c r="D25" i="4"/>
  <c r="F25" i="4"/>
  <c r="E25" i="4"/>
  <c r="C15" i="6" l="1"/>
  <c r="D27" i="4"/>
  <c r="D9" i="6" l="1"/>
  <c r="S24" i="4" l="1"/>
  <c r="R24" i="4"/>
  <c r="Q24" i="4"/>
  <c r="P24" i="4"/>
  <c r="O24" i="4"/>
  <c r="N24" i="4"/>
  <c r="M24" i="4"/>
  <c r="L24" i="4"/>
  <c r="K24" i="4"/>
  <c r="J24" i="4"/>
  <c r="S13" i="4" l="1"/>
  <c r="R13" i="4"/>
  <c r="Q13" i="4"/>
  <c r="O13" i="4"/>
  <c r="M13" i="4"/>
  <c r="L13" i="4"/>
  <c r="K13" i="4"/>
  <c r="J13" i="4"/>
  <c r="P13" i="4"/>
  <c r="N13" i="4"/>
  <c r="H25" i="3"/>
  <c r="H26" i="3" s="1"/>
  <c r="S25" i="4" l="1"/>
  <c r="R25" i="4"/>
  <c r="O25" i="4"/>
  <c r="P25" i="4"/>
  <c r="N25" i="4"/>
  <c r="Q25" i="4"/>
  <c r="M25" i="4"/>
  <c r="L25" i="4"/>
  <c r="K25" i="4"/>
  <c r="J25" i="4"/>
  <c r="E52" i="4"/>
  <c r="F51" i="4"/>
  <c r="F50" i="4"/>
  <c r="F46" i="4"/>
  <c r="E47" i="4"/>
  <c r="D47" i="4"/>
  <c r="F47" i="4" l="1"/>
  <c r="E54" i="4"/>
  <c r="F45" i="4"/>
  <c r="D52" i="4"/>
  <c r="F52" i="4" s="1"/>
  <c r="G12" i="6"/>
  <c r="G13" i="6" s="1"/>
  <c r="F54" i="4" l="1"/>
  <c r="D54" i="4"/>
  <c r="G16" i="6"/>
  <c r="I67" i="3"/>
  <c r="F59" i="3"/>
  <c r="I65" i="3"/>
  <c r="G64" i="3"/>
  <c r="I66" i="3" s="1"/>
  <c r="I63" i="3"/>
  <c r="I62" i="3"/>
  <c r="I61" i="3"/>
  <c r="I13" i="3"/>
  <c r="G11" i="3"/>
  <c r="I11" i="3" s="1"/>
  <c r="H8" i="3"/>
  <c r="H6" i="3"/>
  <c r="H5" i="3"/>
  <c r="H4" i="3"/>
  <c r="G8" i="3"/>
  <c r="F8" i="3"/>
  <c r="G6" i="3"/>
  <c r="G5" i="3"/>
  <c r="F6" i="3"/>
  <c r="F5" i="3"/>
  <c r="F4" i="3"/>
  <c r="G4" i="3"/>
  <c r="G11" i="6"/>
  <c r="I47" i="3"/>
  <c r="I48" i="3"/>
  <c r="F47" i="3"/>
  <c r="B53" i="3"/>
  <c r="B54" i="3" s="1"/>
  <c r="D55" i="3" s="1"/>
  <c r="D48" i="3"/>
  <c r="D51" i="3"/>
  <c r="D50" i="3"/>
  <c r="D49" i="3"/>
  <c r="F18" i="6"/>
  <c r="I8" i="3" l="1"/>
  <c r="I4" i="3"/>
  <c r="G9" i="3"/>
  <c r="G10" i="3" s="1"/>
  <c r="I6" i="3"/>
  <c r="J49" i="3"/>
  <c r="J50" i="3" s="1"/>
  <c r="I68" i="3"/>
  <c r="I69" i="3" s="1"/>
  <c r="G68" i="3"/>
  <c r="I49" i="3"/>
  <c r="I5" i="3"/>
  <c r="D52" i="3"/>
  <c r="D47" i="3"/>
  <c r="D56" i="3" l="1"/>
  <c r="B39" i="6" s="1"/>
  <c r="B40" i="6" s="1"/>
  <c r="B42" i="6" s="1"/>
  <c r="B43" i="6" s="1"/>
  <c r="D7" i="6"/>
  <c r="B12" i="6" s="1"/>
  <c r="B15" i="6"/>
  <c r="D15" i="6" s="1"/>
  <c r="F15" i="6" s="1"/>
  <c r="K49" i="3"/>
  <c r="M49" i="3" s="1"/>
  <c r="D24" i="6"/>
  <c r="D23" i="6"/>
  <c r="F23" i="6" s="1"/>
  <c r="D22" i="6"/>
  <c r="D21" i="6"/>
  <c r="F21" i="6" s="1"/>
  <c r="D20" i="6"/>
  <c r="D19" i="6"/>
  <c r="D18" i="6"/>
  <c r="D17" i="6"/>
  <c r="B31" i="6" l="1"/>
  <c r="B34" i="6" s="1"/>
  <c r="B35" i="6" s="1"/>
  <c r="I50" i="3"/>
  <c r="K50" i="3" s="1"/>
  <c r="M50" i="3" s="1"/>
  <c r="M51" i="3" s="1"/>
  <c r="B7" i="6"/>
  <c r="B13" i="6" s="1"/>
  <c r="B14" i="6" s="1"/>
  <c r="D12" i="6"/>
  <c r="F12" i="6" s="1"/>
  <c r="H12" i="6" s="1"/>
  <c r="F20" i="6"/>
  <c r="F24" i="6"/>
  <c r="F19" i="6"/>
  <c r="F22" i="6"/>
  <c r="D13" i="6" l="1"/>
  <c r="F13" i="6" s="1"/>
  <c r="F14" i="6" l="1"/>
  <c r="H13" i="6"/>
  <c r="H14" i="6" s="1"/>
  <c r="E34" i="4" l="1"/>
  <c r="D65" i="3"/>
  <c r="B64" i="3"/>
  <c r="B66" i="3" s="1"/>
  <c r="D66" i="3" s="1"/>
  <c r="D63" i="3"/>
  <c r="D62" i="3"/>
  <c r="D61" i="3"/>
  <c r="E32" i="4" l="1"/>
  <c r="D68" i="3"/>
  <c r="D69" i="3" s="1"/>
  <c r="E29" i="4"/>
  <c r="B68" i="3"/>
  <c r="E38" i="4"/>
  <c r="G18" i="6" l="1"/>
  <c r="E33" i="4"/>
  <c r="E35" i="4" s="1"/>
  <c r="E37" i="4" s="1"/>
  <c r="E39" i="4" s="1"/>
  <c r="B6" i="6"/>
  <c r="B11" i="6" s="1"/>
  <c r="D11" i="6" l="1"/>
  <c r="F11" i="6" s="1"/>
  <c r="H11" i="6" s="1"/>
  <c r="G12" i="3" l="1"/>
  <c r="I12" i="3" l="1"/>
  <c r="G14" i="3"/>
  <c r="B3" i="6" l="1"/>
  <c r="B16" i="6" s="1"/>
  <c r="I14" i="3"/>
  <c r="I15" i="3" s="1"/>
  <c r="B2" i="6" s="1"/>
  <c r="D16" i="6" l="1"/>
  <c r="F16" i="6" s="1"/>
  <c r="H1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<sst xmlns="http://schemas.openxmlformats.org/spreadsheetml/2006/main" count="540" uniqueCount="329">
  <si>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</si>
  <si>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</si>
  <si>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</si>
  <si>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</si>
  <si>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</si>
  <si>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</si>
  <si>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</si>
  <si>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</si>
  <si>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</si>
  <si>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</si>
  <si>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</si>
  <si>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</si>
  <si>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</si>
  <si>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</si>
  <si>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</si>
  <si>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</si>
  <si>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</si>
  <si>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</si>
  <si>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</si>
  <si>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</si>
  <si>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</si>
  <si>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</si>
  <si>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</si>
  <si>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</si>
  <si>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מסחן</t>
  </si>
  <si>
    <t>סככת חניה</t>
  </si>
  <si>
    <t>מבנה עזר - יתרת שטח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</si>
  <si>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</si>
  <si>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</si>
  <si>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</si>
  <si>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</si>
  <si>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</si>
  <si>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</si>
  <si>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</si>
  <si>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</si>
  <si>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</si>
  <si>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</si>
  <si>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</si>
  <si>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</si>
  <si>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</si>
  <si>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</si>
  <si>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</si>
  <si>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</si>
  <si>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</si>
  <si>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</si>
  <si>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</si>
  <si>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</si>
  <si>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</si>
  <si>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</si>
  <si>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</si>
  <si>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</si>
  <si>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</si>
  <si>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</si>
  <si>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</si>
  <si>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</si>
  <si>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</si>
  <si>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שירות - מרתף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</si>
  <si>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</si>
  <si>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</si>
  <si>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</si>
  <si>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</si>
  <si>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</si>
  <si>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</si>
  <si>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</si>
  <si>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</si>
  <si>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</si>
  <si>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</si>
  <si>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</si>
  <si>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</si>
  <si>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</si>
  <si>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</si>
  <si>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</si>
  <si>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</si>
  <si>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</si>
  <si>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</si>
  <si>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</si>
  <si>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</si>
  <si>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</si>
  <si>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</si>
  <si>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</si>
  <si>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</si>
  <si>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</si>
  <si>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</si>
  <si>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</si>
  <si>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</si>
  <si>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</si>
  <si>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</si>
  <si>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</si>
  <si>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</si>
  <si>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</si>
  <si>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</si>
  <si>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</si>
  <si>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</si>
  <si>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</si>
  <si>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שווי מ"ר אקו'</t>
  </si>
  <si>
    <t>לפי שומת הררי 2021</t>
  </si>
  <si>
    <t>יתרת ש"ש</t>
  </si>
  <si>
    <t>לפי ברנס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</si>
  <si>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</si>
  <si>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</si>
  <si>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</si>
  <si>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</si>
  <si>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</si>
  <si>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</si>
  <si>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</si>
  <si>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</si>
  <si>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</si>
  <si>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</si>
  <si>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</si>
  <si>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</si>
  <si>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</si>
  <si>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</si>
  <si>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</si>
  <si>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</si>
  <si>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</si>
  <si>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</si>
  <si>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</si>
  <si>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</si>
  <si>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</si>
  <si>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</si>
  <si>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</si>
  <si>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</si>
  <si>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</si>
  <si>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</si>
  <si>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</si>
  <si>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</si>
  <si>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</si>
  <si>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</si>
  <si>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</si>
  <si>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</si>
  <si>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</si>
  <si>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</si>
  <si>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</si>
  <si>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</si>
  <si>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</si>
  <si>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</si>
  <si>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</si>
  <si>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</si>
  <si>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</si>
  <si>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</si>
  <si>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</si>
  <si>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</si>
  <si>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</si>
  <si>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</si>
  <si>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</si>
  <si>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+ מרפסת אחורית</t>
  </si>
  <si>
    <t>פרגולה קדמית</t>
  </si>
  <si>
    <t>פרגולה צידית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</si>
  <si>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</si>
  <si>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</si>
  <si>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</si>
  <si>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</si>
  <si>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</si>
  <si>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</si>
  <si>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</si>
  <si>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</si>
  <si>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</si>
  <si>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</si>
  <si>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</si>
  <si>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</si>
  <si>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</si>
  <si>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</si>
  <si>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</si>
  <si>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</si>
  <si>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</si>
  <si>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</si>
  <si>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</si>
  <si>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</si>
  <si>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XPLAN</t>
  </si>
  <si>
    <t>פל"ח</t>
  </si>
  <si>
    <t>גובמאפ</t>
  </si>
  <si>
    <t>בתים</t>
  </si>
  <si>
    <t>פיצול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</si>
  <si>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</si>
  <si>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</si>
  <si>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</si>
  <si>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</si>
  <si>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</si>
  <si>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</si>
  <si>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</si>
  <si>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</si>
  <si>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</si>
  <si>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</si>
  <si>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</si>
  <si>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</si>
  <si>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</si>
  <si>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</si>
  <si>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</si>
  <si>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</si>
  <si>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</si>
  <si>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</si>
  <si>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</si>
  <si>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</si>
  <si>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</si>
  <si>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</si>
  <si>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</si>
  <si>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</si>
  <si>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</si>
  <si>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היתר שנת 99</t>
  </si>
  <si>
    <t>היתר שנת 01- חקלאי</t>
  </si>
  <si>
    <t>היתר שנת 2000 - חקלאי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</si>
  <si>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</si>
  <si>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</si>
  <si>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</si>
  <si>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</si>
  <si>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</si>
  <si>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</si>
  <si>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</si>
  <si>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סיכום עלויות פיצול/ים לאחר הסדרה</t>
  </si>
  <si>
    <t>סוג תשלום</t>
  </si>
  <si>
    <t>פיצול בית קיים</t>
  </si>
  <si>
    <t>פיצול מגרש ריק + בית קיים</t>
  </si>
  <si>
    <t>דמי היוון 3.75%/33%</t>
  </si>
  <si>
    <t>תשלום בעבור פיצול</t>
  </si>
  <si>
    <t>-</t>
  </si>
  <si>
    <t>מס רכישה</t>
  </si>
  <si>
    <t>דמי היתר לרכוש במשק</t>
  </si>
  <si>
    <t>היטל השבחה - בעת מכר</t>
  </si>
  <si>
    <t>כמפורט בכל אפשרות</t>
  </si>
  <si>
    <t>תחשיבי פיצול</t>
  </si>
  <si>
    <t>סעיף</t>
  </si>
  <si>
    <t>מ"ר בנוי</t>
  </si>
  <si>
    <t>פטור</t>
  </si>
  <si>
    <t>זכויות חוזיות</t>
  </si>
  <si>
    <t>עלות לרמ"י ליח'</t>
  </si>
  <si>
    <t>סה"כ רמ"י</t>
  </si>
  <si>
    <t>עלות ליח'</t>
  </si>
  <si>
    <t>היטל השבחה</t>
  </si>
  <si>
    <t>הסדרה</t>
  </si>
  <si>
    <t xml:space="preserve">בית שלישי </t>
  </si>
  <si>
    <t>יח"ד הורים</t>
  </si>
  <si>
    <t>היוון</t>
  </si>
  <si>
    <t>חוזה חכירה לאחר הסדרה והיוון</t>
  </si>
  <si>
    <t>פיצול בית 1</t>
  </si>
  <si>
    <t>חוזה חכירה לאחר פיצול</t>
  </si>
  <si>
    <t>רכישת דמי היתר בעקבות פיצול</t>
  </si>
  <si>
    <t>מצב בנוי לאחר פיצול</t>
  </si>
  <si>
    <t>יתרת זכויות / רכישת דמי היתר</t>
  </si>
  <si>
    <t>סה"כ היטל השבחה</t>
  </si>
  <si>
    <t>סה"כ מס רכישה</t>
  </si>
  <si>
    <t>מס' מבנה</t>
  </si>
  <si>
    <t>סיווג המבנה</t>
  </si>
  <si>
    <t>שטח במ"ר</t>
  </si>
  <si>
    <t>עלות הסדרה</t>
  </si>
  <si>
    <t>בר/2020</t>
  </si>
  <si>
    <t>בר/3/13</t>
  </si>
  <si>
    <t>בריכה</t>
  </si>
  <si>
    <t>בר/13</t>
  </si>
  <si>
    <t>בר/23  / תגפ</t>
  </si>
  <si>
    <t>מרתפים</t>
  </si>
  <si>
    <t>חצר עיקרית</t>
  </si>
  <si>
    <t>ניתוח מגרשי מגורים בית אלעזרי ממכרז מיום 12/02/2025</t>
  </si>
  <si>
    <t>מס"ד</t>
  </si>
  <si>
    <t>גוש חלקה</t>
  </si>
  <si>
    <t>מס' מגרש</t>
  </si>
  <si>
    <t>מחיר זכיה</t>
  </si>
  <si>
    <t>בתוספת מע"מ</t>
  </si>
  <si>
    <t>סה"כ מחיר זכיה למגרש</t>
  </si>
  <si>
    <t>שטח מגרש במ"ר</t>
  </si>
  <si>
    <t>שווי מ"ר מבונה אקו'</t>
  </si>
  <si>
    <t>4718 - 64</t>
  </si>
  <si>
    <t>בר/2/13</t>
  </si>
  <si>
    <t>4717 - 21</t>
  </si>
  <si>
    <t>4716 - 101</t>
  </si>
  <si>
    <t>577א</t>
  </si>
  <si>
    <t>4713 - 78</t>
  </si>
  <si>
    <t>ממוצע</t>
  </si>
  <si>
    <t>בהתאמה לבעלות / 0.97</t>
  </si>
  <si>
    <t>מקדם בינוי בנחלה והיקף עסקה</t>
  </si>
  <si>
    <t>שווי מ"ר בנחלה</t>
  </si>
  <si>
    <t>לשומה</t>
  </si>
  <si>
    <t>ניתוח שטח אקו' מס"ד 1</t>
  </si>
  <si>
    <t>שטח מגרש</t>
  </si>
  <si>
    <t>ניתוח שטח אקו' מס"ד 2</t>
  </si>
  <si>
    <t>מהות</t>
  </si>
  <si>
    <t>שטח</t>
  </si>
  <si>
    <t>חניה</t>
  </si>
  <si>
    <t>תכסית</t>
  </si>
  <si>
    <t>סה"כ שטח אקו'</t>
  </si>
  <si>
    <t>מחיר זכיה במגרש</t>
  </si>
  <si>
    <t>ניתוח שטח אקו' מס"ד 3</t>
  </si>
  <si>
    <t>ניתוח שטח אקו' מס"ד 4</t>
  </si>
  <si>
    <t>מבנה 1 - בית מגורים ראשון + שלישי</t>
  </si>
  <si>
    <t>קומת עמודים בית שלישי</t>
  </si>
  <si>
    <t>מבנה 1.1 - פרגולה</t>
  </si>
  <si>
    <t>מבנה 2 - בית מגורים שני</t>
  </si>
  <si>
    <t>מבנה 3 -מחסן,מסגריה,משרד פל"ח</t>
  </si>
  <si>
    <t>מבנה 4 - כלובי תוכים פל"ח</t>
  </si>
  <si>
    <t>מבנה 5 - אורוות סוסים</t>
  </si>
  <si>
    <t>מבנה 6 - בית רביעי</t>
  </si>
  <si>
    <t>מבנה 7 - בית חמישי</t>
  </si>
  <si>
    <t>מבנה 8 - אחסנה ביתית</t>
  </si>
  <si>
    <t>מבנים 9-10 0 מחסנים ביתיים</t>
  </si>
  <si>
    <t>מבנה 11 - מינאז'</t>
  </si>
  <si>
    <t>היתר שנת 2001</t>
  </si>
  <si>
    <t>היתר שנת 1993</t>
  </si>
  <si>
    <t>פ</t>
  </si>
  <si>
    <t>מדד</t>
  </si>
  <si>
    <t>שווי ממודד</t>
  </si>
  <si>
    <t>היטל השבחה יחידה צמודה</t>
  </si>
  <si>
    <t>שווי מ"ר ממודד</t>
  </si>
  <si>
    <t>מקדם השבחה</t>
  </si>
  <si>
    <t>שם מבנה</t>
  </si>
  <si>
    <t>גודל</t>
  </si>
  <si>
    <t>מבנה 1</t>
  </si>
  <si>
    <t>מבנה 2</t>
  </si>
  <si>
    <t>בית ראשון של אורית</t>
  </si>
  <si>
    <t>בית  צמוד קיר של ליאור הבן</t>
  </si>
  <si>
    <t>בית של רפי שלישי</t>
  </si>
  <si>
    <t>בית שני של נטע הבת</t>
  </si>
  <si>
    <t>מבנה 6</t>
  </si>
  <si>
    <t>התוספת היא של ממ"ד</t>
  </si>
  <si>
    <t>בנוי כיום</t>
  </si>
  <si>
    <t>נרכשו</t>
  </si>
  <si>
    <t>שכ"ט</t>
  </si>
  <si>
    <t>כלל מבני החקלאות</t>
  </si>
  <si>
    <t>3,4,5,7,8,9,10</t>
  </si>
  <si>
    <t>להריסה</t>
  </si>
  <si>
    <t>תכנון חדש</t>
  </si>
  <si>
    <t>מבנה לגידול תוכים וכלבים</t>
  </si>
  <si>
    <t>חישוב היטל השבחה בית שני</t>
  </si>
  <si>
    <t>שווי מ"ר מבונה</t>
  </si>
  <si>
    <t>מועד קובע</t>
  </si>
  <si>
    <t>סה"כ השבחה למ"ר</t>
  </si>
  <si>
    <t>לבית 160 מ"ר</t>
  </si>
  <si>
    <t>רוי</t>
  </si>
  <si>
    <t>הערות</t>
  </si>
  <si>
    <t>לא יחול תשלום דמי היתר יוסדר בית ראשון בשטח קטן מ-160 מ"ר, גם ממ"ד בנוסף ל-155 יהיה פטור</t>
  </si>
  <si>
    <t>לא יחול תשלום דמי היתר, היום הבית מאושר כבית שני ובמסגרת ההיוון וההסדרה מוסיפים ממד למבנה קיים או תוספת לבית שלישי שמתכנס בסל הזכויות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</si>
</sst>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  <numFmt numFmtId="167" formatCode="_ * #,##0.0_ ;_ * \-#,##0.0_ ;_ * &quot;-&quot;??_ ;_ @_ "/>
  </numFmts>
  <fonts count="2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u/>
      <sz val="11"/>
      <color rgb="FFFF0000"/>
      <name val="Arial"/>
      <family val="2"/>
      <charset val="177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47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165" fontId="5" fillId="3" borderId="17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0" fillId="0" borderId="0" xfId="0" applyAlignment="1">
      <alignment readingOrder="2"/>
    </xf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0" fontId="16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55" xfId="0" applyBorder="1"/>
    <xf numFmtId="0" fontId="0" fillId="0" borderId="56" xfId="0" applyBorder="1"/>
    <xf numFmtId="164" fontId="0" fillId="0" borderId="49" xfId="2" applyNumberFormat="1" applyFont="1" applyBorder="1"/>
    <xf numFmtId="164" fontId="0" fillId="0" borderId="52" xfId="2" applyNumberFormat="1" applyFont="1" applyBorder="1"/>
    <xf numFmtId="9" fontId="0" fillId="0" borderId="49" xfId="3" applyFont="1" applyBorder="1"/>
    <xf numFmtId="0" fontId="0" fillId="0" borderId="22" xfId="0" applyBorder="1"/>
    <xf numFmtId="0" fontId="0" fillId="0" borderId="69" xfId="0" applyBorder="1"/>
    <xf numFmtId="164" fontId="0" fillId="0" borderId="46" xfId="2" applyNumberFormat="1" applyFont="1" applyBorder="1"/>
    <xf numFmtId="164" fontId="0" fillId="0" borderId="13" xfId="2" applyNumberFormat="1" applyFont="1" applyBorder="1"/>
    <xf numFmtId="9" fontId="0" fillId="0" borderId="46" xfId="3" applyFont="1" applyBorder="1"/>
    <xf numFmtId="0" fontId="0" fillId="0" borderId="26" xfId="0" applyBorder="1"/>
    <xf numFmtId="0" fontId="0" fillId="0" borderId="76" xfId="0" applyBorder="1"/>
    <xf numFmtId="164" fontId="0" fillId="0" borderId="77" xfId="2" applyNumberFormat="1" applyFont="1" applyBorder="1"/>
    <xf numFmtId="164" fontId="0" fillId="0" borderId="28" xfId="2" applyNumberFormat="1" applyFont="1" applyBorder="1"/>
    <xf numFmtId="9" fontId="0" fillId="0" borderId="77" xfId="3" applyFont="1" applyBorder="1"/>
    <xf numFmtId="0" fontId="6" fillId="0" borderId="78" xfId="0" applyFont="1" applyBorder="1"/>
    <xf numFmtId="164" fontId="6" fillId="0" borderId="47" xfId="2" applyNumberFormat="1" applyFont="1" applyBorder="1"/>
    <xf numFmtId="164" fontId="6" fillId="0" borderId="35" xfId="2" applyNumberFormat="1" applyFont="1" applyBorder="1"/>
    <xf numFmtId="9" fontId="6" fillId="0" borderId="47" xfId="3" applyFont="1" applyBorder="1"/>
    <xf numFmtId="10" fontId="0" fillId="0" borderId="58" xfId="0" applyNumberFormat="1" applyBorder="1"/>
    <xf numFmtId="0" fontId="0" fillId="0" borderId="51" xfId="0" applyBorder="1"/>
    <xf numFmtId="164" fontId="8" fillId="0" borderId="49" xfId="2" applyNumberFormat="1" applyFont="1" applyBorder="1"/>
    <xf numFmtId="164" fontId="8" fillId="0" borderId="52" xfId="2" applyNumberFormat="1" applyFont="1" applyBorder="1"/>
    <xf numFmtId="9" fontId="8" fillId="0" borderId="49" xfId="3" applyFont="1" applyBorder="1"/>
    <xf numFmtId="0" fontId="0" fillId="0" borderId="30" xfId="0" applyBorder="1"/>
    <xf numFmtId="0" fontId="0" fillId="0" borderId="71" xfId="0" applyBorder="1"/>
    <xf numFmtId="164" fontId="0" fillId="0" borderId="70" xfId="2" applyNumberFormat="1" applyFont="1" applyBorder="1"/>
    <xf numFmtId="164" fontId="0" fillId="0" borderId="16" xfId="2" applyNumberFormat="1" applyFont="1" applyBorder="1"/>
    <xf numFmtId="9" fontId="0" fillId="0" borderId="70" xfId="3" applyFont="1" applyBorder="1"/>
    <xf numFmtId="0" fontId="0" fillId="0" borderId="58" xfId="0" applyBorder="1"/>
    <xf numFmtId="164" fontId="6" fillId="0" borderId="48" xfId="0" applyNumberFormat="1" applyFont="1" applyBorder="1"/>
    <xf numFmtId="164" fontId="6" fillId="0" borderId="19" xfId="0" applyNumberFormat="1" applyFont="1" applyBorder="1"/>
    <xf numFmtId="0" fontId="0" fillId="0" borderId="22" xfId="0" applyBorder="1" applyAlignment="1">
      <alignment horizontal="center"/>
    </xf>
    <xf numFmtId="43" fontId="6" fillId="0" borderId="13" xfId="1" applyFont="1" applyBorder="1"/>
    <xf numFmtId="165" fontId="0" fillId="12" borderId="49" xfId="1" applyNumberFormat="1" applyFont="1" applyFill="1" applyBorder="1" applyAlignment="1">
      <alignment horizontal="center"/>
    </xf>
    <xf numFmtId="165" fontId="0" fillId="12" borderId="55" xfId="1" applyNumberFormat="1" applyFont="1" applyFill="1" applyBorder="1" applyAlignment="1">
      <alignment horizontal="center"/>
    </xf>
    <xf numFmtId="0" fontId="0" fillId="12" borderId="55" xfId="0" applyFill="1" applyBorder="1" applyAlignment="1">
      <alignment horizontal="center"/>
    </xf>
    <xf numFmtId="165" fontId="0" fillId="12" borderId="56" xfId="1" applyNumberFormat="1" applyFont="1" applyFill="1" applyBorder="1" applyAlignment="1">
      <alignment horizontal="center"/>
    </xf>
    <xf numFmtId="0" fontId="0" fillId="13" borderId="46" xfId="0" applyFill="1" applyBorder="1"/>
    <xf numFmtId="165" fontId="0" fillId="0" borderId="22" xfId="1" applyNumberFormat="1" applyFont="1" applyBorder="1"/>
    <xf numFmtId="165" fontId="0" fillId="0" borderId="22" xfId="1" applyNumberFormat="1" applyFont="1" applyBorder="1" applyAlignment="1">
      <alignment horizontal="right"/>
    </xf>
    <xf numFmtId="164" fontId="0" fillId="0" borderId="22" xfId="2" applyNumberFormat="1" applyFont="1" applyBorder="1" applyAlignment="1">
      <alignment horizontal="center"/>
    </xf>
    <xf numFmtId="164" fontId="0" fillId="0" borderId="69" xfId="2" applyNumberFormat="1" applyFont="1" applyBorder="1"/>
    <xf numFmtId="0" fontId="0" fillId="11" borderId="46" xfId="0" applyFill="1" applyBorder="1"/>
    <xf numFmtId="0" fontId="0" fillId="14" borderId="46" xfId="0" applyFill="1" applyBorder="1"/>
    <xf numFmtId="164" fontId="0" fillId="0" borderId="69" xfId="0" applyNumberFormat="1" applyBorder="1"/>
    <xf numFmtId="164" fontId="6" fillId="0" borderId="71" xfId="0" applyNumberFormat="1" applyFont="1" applyBorder="1"/>
    <xf numFmtId="165" fontId="0" fillId="0" borderId="22" xfId="1" applyNumberFormat="1" applyFont="1" applyBorder="1" applyAlignment="1"/>
    <xf numFmtId="167" fontId="0" fillId="0" borderId="22" xfId="1" applyNumberFormat="1" applyFont="1" applyBorder="1"/>
    <xf numFmtId="0" fontId="19" fillId="3" borderId="18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6" xfId="0" applyBorder="1"/>
    <xf numFmtId="0" fontId="0" fillId="0" borderId="81" xfId="0" applyBorder="1"/>
    <xf numFmtId="164" fontId="0" fillId="0" borderId="40" xfId="2" applyNumberFormat="1" applyFont="1" applyBorder="1"/>
    <xf numFmtId="164" fontId="0" fillId="0" borderId="43" xfId="0" applyNumberFormat="1" applyBorder="1"/>
    <xf numFmtId="164" fontId="6" fillId="0" borderId="43" xfId="0" applyNumberFormat="1" applyFont="1" applyBorder="1"/>
    <xf numFmtId="164" fontId="6" fillId="0" borderId="35" xfId="0" applyNumberFormat="1" applyFont="1" applyBorder="1"/>
    <xf numFmtId="0" fontId="0" fillId="0" borderId="29" xfId="0" applyBorder="1"/>
    <xf numFmtId="0" fontId="0" fillId="0" borderId="60" xfId="0" applyBorder="1"/>
    <xf numFmtId="0" fontId="0" fillId="0" borderId="48" xfId="0" applyBorder="1"/>
    <xf numFmtId="164" fontId="0" fillId="0" borderId="53" xfId="2" applyNumberFormat="1" applyFont="1" applyBorder="1"/>
    <xf numFmtId="164" fontId="0" fillId="0" borderId="59" xfId="2" applyNumberFormat="1" applyFont="1" applyBorder="1"/>
    <xf numFmtId="0" fontId="16" fillId="0" borderId="0" xfId="0" applyFont="1" applyAlignment="1">
      <alignment horizontal="center" vertical="center"/>
    </xf>
    <xf numFmtId="0" fontId="0" fillId="0" borderId="19" xfId="0" applyBorder="1"/>
    <xf numFmtId="0" fontId="0" fillId="0" borderId="44" xfId="0" applyBorder="1" applyAlignment="1">
      <alignment horizontal="center" vertical="center"/>
    </xf>
    <xf numFmtId="0" fontId="0" fillId="0" borderId="33" xfId="0" applyBorder="1"/>
    <xf numFmtId="164" fontId="0" fillId="0" borderId="35" xfId="2" applyNumberFormat="1" applyFont="1" applyBorder="1"/>
    <xf numFmtId="0" fontId="0" fillId="0" borderId="81" xfId="0" applyBorder="1" applyAlignment="1">
      <alignment horizontal="center" vertical="center"/>
    </xf>
    <xf numFmtId="164" fontId="16" fillId="0" borderId="83" xfId="2" applyNumberFormat="1" applyFont="1" applyBorder="1" applyAlignment="1">
      <alignment horizontal="center" vertical="center"/>
    </xf>
    <xf numFmtId="0" fontId="16" fillId="0" borderId="84" xfId="0" applyFont="1" applyBorder="1" applyAlignment="1">
      <alignment horizontal="center" vertical="center"/>
    </xf>
    <xf numFmtId="164" fontId="16" fillId="0" borderId="3" xfId="2" applyNumberFormat="1" applyFont="1" applyBorder="1" applyAlignment="1">
      <alignment horizontal="center" vertical="center"/>
    </xf>
    <xf numFmtId="164" fontId="0" fillId="0" borderId="58" xfId="2" applyNumberFormat="1" applyFont="1" applyBorder="1"/>
    <xf numFmtId="164" fontId="0" fillId="0" borderId="39" xfId="2" applyNumberFormat="1" applyFont="1" applyBorder="1"/>
    <xf numFmtId="0" fontId="16" fillId="0" borderId="1" xfId="0" applyFont="1" applyBorder="1" applyAlignment="1">
      <alignment horizontal="center" vertical="center"/>
    </xf>
    <xf numFmtId="44" fontId="0" fillId="0" borderId="85" xfId="2" applyFont="1" applyBorder="1"/>
    <xf numFmtId="164" fontId="0" fillId="0" borderId="9" xfId="2" applyNumberFormat="1" applyFont="1" applyBorder="1"/>
    <xf numFmtId="164" fontId="0" fillId="0" borderId="33" xfId="2" applyNumberFormat="1" applyFont="1" applyBorder="1"/>
    <xf numFmtId="0" fontId="0" fillId="0" borderId="33" xfId="0" applyBorder="1" applyAlignment="1">
      <alignment horizontal="center"/>
    </xf>
    <xf numFmtId="164" fontId="0" fillId="0" borderId="82" xfId="0" applyNumberFormat="1" applyBorder="1"/>
    <xf numFmtId="164" fontId="0" fillId="0" borderId="40" xfId="0" applyNumberFormat="1" applyBorder="1"/>
    <xf numFmtId="164" fontId="0" fillId="0" borderId="0" xfId="2" applyNumberFormat="1" applyFont="1" applyAlignment="1">
      <alignment horizontal="center"/>
    </xf>
    <xf numFmtId="0" fontId="16" fillId="0" borderId="75" xfId="0" applyFont="1" applyBorder="1" applyAlignment="1">
      <alignment horizontal="center" vertical="center"/>
    </xf>
    <xf numFmtId="0" fontId="16" fillId="0" borderId="65" xfId="0" applyFont="1" applyBorder="1" applyAlignment="1">
      <alignment horizontal="center" vertical="center"/>
    </xf>
    <xf numFmtId="164" fontId="16" fillId="0" borderId="86" xfId="2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62" xfId="0" applyFont="1" applyBorder="1" applyAlignment="1">
      <alignment horizontal="center" vertical="center"/>
    </xf>
    <xf numFmtId="164" fontId="16" fillId="0" borderId="8" xfId="2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20" xfId="0" applyBorder="1" applyAlignment="1">
      <alignment horizontal="center"/>
    </xf>
    <xf numFmtId="164" fontId="0" fillId="0" borderId="31" xfId="2" applyNumberFormat="1" applyFont="1" applyBorder="1" applyAlignment="1">
      <alignment horizontal="center"/>
    </xf>
    <xf numFmtId="164" fontId="0" fillId="0" borderId="32" xfId="2" applyNumberFormat="1" applyFont="1" applyBorder="1" applyAlignment="1">
      <alignment horizontal="center"/>
    </xf>
    <xf numFmtId="164" fontId="0" fillId="0" borderId="39" xfId="0" applyNumberFormat="1" applyBorder="1" applyAlignment="1">
      <alignment horizontal="center"/>
    </xf>
    <xf numFmtId="164" fontId="0" fillId="0" borderId="53" xfId="2" applyNumberFormat="1" applyFont="1" applyBorder="1" applyAlignment="1">
      <alignment horizontal="center"/>
    </xf>
    <xf numFmtId="164" fontId="0" fillId="0" borderId="9" xfId="2" applyNumberFormat="1" applyFont="1" applyBorder="1" applyAlignment="1">
      <alignment horizontal="center"/>
    </xf>
    <xf numFmtId="164" fontId="0" fillId="0" borderId="4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39" xfId="2" applyNumberFormat="1" applyFont="1" applyBorder="1" applyAlignment="1">
      <alignment horizontal="center"/>
    </xf>
    <xf numFmtId="0" fontId="0" fillId="0" borderId="81" xfId="0" applyBorder="1" applyAlignment="1">
      <alignment horizontal="center"/>
    </xf>
    <xf numFmtId="164" fontId="0" fillId="0" borderId="59" xfId="2" applyNumberFormat="1" applyFont="1" applyBorder="1" applyAlignment="1">
      <alignment horizontal="center"/>
    </xf>
    <xf numFmtId="164" fontId="0" fillId="0" borderId="33" xfId="2" applyNumberFormat="1" applyFont="1" applyBorder="1" applyAlignment="1">
      <alignment horizontal="center"/>
    </xf>
    <xf numFmtId="164" fontId="0" fillId="0" borderId="43" xfId="0" applyNumberFormat="1" applyBorder="1" applyAlignment="1">
      <alignment horizontal="center"/>
    </xf>
    <xf numFmtId="164" fontId="0" fillId="0" borderId="35" xfId="2" applyNumberFormat="1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29" xfId="0" applyBorder="1" applyAlignment="1">
      <alignment horizontal="center"/>
    </xf>
    <xf numFmtId="164" fontId="6" fillId="0" borderId="43" xfId="0" applyNumberFormat="1" applyFont="1" applyBorder="1" applyAlignment="1">
      <alignment horizontal="center"/>
    </xf>
    <xf numFmtId="164" fontId="6" fillId="0" borderId="35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164" fontId="0" fillId="0" borderId="87" xfId="2" applyNumberFormat="1" applyFont="1" applyBorder="1" applyAlignment="1">
      <alignment horizontal="center"/>
    </xf>
    <xf numFmtId="164" fontId="0" fillId="0" borderId="60" xfId="2" applyNumberFormat="1" applyFont="1" applyBorder="1" applyAlignment="1">
      <alignment horizontal="center"/>
    </xf>
    <xf numFmtId="164" fontId="0" fillId="0" borderId="36" xfId="0" applyNumberFormat="1" applyBorder="1" applyAlignment="1">
      <alignment horizontal="center"/>
    </xf>
    <xf numFmtId="164" fontId="0" fillId="0" borderId="19" xfId="2" applyNumberFormat="1" applyFont="1" applyBorder="1" applyAlignment="1">
      <alignment horizontal="center"/>
    </xf>
    <xf numFmtId="164" fontId="0" fillId="0" borderId="55" xfId="2" applyNumberFormat="1" applyFont="1" applyBorder="1" applyAlignment="1">
      <alignment horizontal="center"/>
    </xf>
    <xf numFmtId="164" fontId="0" fillId="0" borderId="30" xfId="2" applyNumberFormat="1" applyFont="1" applyBorder="1" applyAlignment="1">
      <alignment horizontal="center"/>
    </xf>
    <xf numFmtId="44" fontId="0" fillId="0" borderId="55" xfId="2" applyFont="1" applyBorder="1" applyAlignment="1">
      <alignment horizontal="center"/>
    </xf>
    <xf numFmtId="164" fontId="0" fillId="0" borderId="55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0" fontId="0" fillId="0" borderId="6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164" fontId="0" fillId="0" borderId="55" xfId="2" applyNumberFormat="1" applyFont="1" applyBorder="1" applyAlignment="1">
      <alignment horizontal="center" vertical="center"/>
    </xf>
    <xf numFmtId="164" fontId="0" fillId="0" borderId="56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11" borderId="60" xfId="0" applyFill="1" applyBorder="1" applyAlignment="1">
      <alignment horizontal="center"/>
    </xf>
    <xf numFmtId="0" fontId="0" fillId="11" borderId="4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6" fillId="15" borderId="60" xfId="0" applyFont="1" applyFill="1" applyBorder="1" applyAlignment="1">
      <alignment horizontal="center"/>
    </xf>
    <xf numFmtId="0" fontId="6" fillId="15" borderId="48" xfId="0" applyFont="1" applyFill="1" applyBorder="1" applyAlignment="1">
      <alignment horizontal="center"/>
    </xf>
    <xf numFmtId="0" fontId="6" fillId="15" borderId="19" xfId="0" applyFont="1" applyFill="1" applyBorder="1" applyAlignment="1">
      <alignment horizontal="center"/>
    </xf>
    <xf numFmtId="164" fontId="0" fillId="0" borderId="55" xfId="2" applyNumberFormat="1" applyFont="1" applyBorder="1" applyAlignment="1">
      <alignment horizontal="center"/>
    </xf>
    <xf numFmtId="164" fontId="0" fillId="0" borderId="30" xfId="2" applyNumberFormat="1" applyFont="1" applyBorder="1" applyAlignment="1">
      <alignment horizontal="center"/>
    </xf>
    <xf numFmtId="0" fontId="0" fillId="0" borderId="8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59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7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69" xfId="0" applyBorder="1" applyAlignment="1">
      <alignment horizontal="center"/>
    </xf>
    <xf numFmtId="0" fontId="6" fillId="0" borderId="5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6" fillId="0" borderId="70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165" fontId="6" fillId="0" borderId="60" xfId="1" applyNumberFormat="1" applyFont="1" applyBorder="1" applyAlignment="1">
      <alignment horizontal="center"/>
    </xf>
    <xf numFmtId="165" fontId="6" fillId="0" borderId="48" xfId="1" applyNumberFormat="1" applyFont="1" applyBorder="1" applyAlignment="1">
      <alignment horizontal="center"/>
    </xf>
    <xf numFmtId="165" fontId="6" fillId="0" borderId="19" xfId="1" applyNumberFormat="1" applyFont="1" applyBorder="1" applyAlignment="1">
      <alignment horizontal="center"/>
    </xf>
    <xf numFmtId="0" fontId="0" fillId="0" borderId="46" xfId="0" applyBorder="1" applyAlignment="1">
      <alignment horizontal="center"/>
    </xf>
    <xf numFmtId="165" fontId="0" fillId="13" borderId="22" xfId="1" applyNumberFormat="1" applyFont="1" applyFill="1" applyBorder="1" applyAlignment="1">
      <alignment horizontal="center"/>
    </xf>
    <xf numFmtId="165" fontId="0" fillId="2" borderId="22" xfId="1" applyNumberFormat="1" applyFont="1" applyFill="1" applyBorder="1" applyAlignment="1">
      <alignment horizontal="center"/>
    </xf>
    <xf numFmtId="165" fontId="0" fillId="0" borderId="22" xfId="1" applyNumberFormat="1" applyFont="1" applyBorder="1" applyAlignment="1">
      <alignment horizontal="center"/>
    </xf>
    <xf numFmtId="165" fontId="0" fillId="11" borderId="22" xfId="1" applyNumberFormat="1" applyFont="1" applyFill="1" applyBorder="1" applyAlignment="1">
      <alignment horizontal="center"/>
    </xf>
    <xf numFmtId="165" fontId="0" fillId="14" borderId="22" xfId="1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zoomScale="70" zoomScaleNormal="70" workbookViewId="0">
      <selection activeCell="H16" sqref="H16"/>
    </sheetView>
  </sheetViews>
  <sheetFormatPr defaultColWidth="8.69921875" defaultRowHeight="20.399999999999999" x14ac:dyDescent="0.35"/>
  <cols>
    <col min="1" max="1" width="35.796875" style="1" bestFit="1" customWidth="1"/>
    <col min="2" max="2" width="21.796875" style="1" bestFit="1" customWidth="1"/>
    <col min="3" max="3" width="21.69921875" style="1" bestFit="1" customWidth="1"/>
    <col min="4" max="4" width="23.3984375" style="1" customWidth="1"/>
    <col min="5" max="5" width="21.69921875" style="1" bestFit="1" customWidth="1"/>
    <col min="6" max="6" width="21.296875" style="1" customWidth="1"/>
    <col min="7" max="7" width="19.296875" style="1" bestFit="1" customWidth="1"/>
    <col min="8" max="8" width="23.09765625" style="1" customWidth="1"/>
    <col min="9" max="9" width="35.19921875" style="1" customWidth="1"/>
    <col min="10" max="10" width="21.796875" style="1" bestFit="1" customWidth="1"/>
    <col min="11" max="11" width="21.69921875" style="75" bestFit="1" customWidth="1"/>
    <col min="12" max="12" width="20" style="1" bestFit="1" customWidth="1"/>
    <col min="13" max="13" width="18.5" style="1" bestFit="1" customWidth="1"/>
    <col min="14" max="14" width="10.796875" style="1" bestFit="1" customWidth="1"/>
    <col min="15" max="16384" width="8.69921875" style="1"/>
  </cols>
  <sheetData>
    <row r="2" spans="1:11" x14ac:dyDescent="0.35">
      <c r="A2" s="1" t="s">
        <v>45</v>
      </c>
      <c r="B2" s="76">
        <f>'מ"ר אקו'' נחלה'!I15</f>
        <v>967.5</v>
      </c>
      <c r="K2" s="1"/>
    </row>
    <row r="3" spans="1:11" x14ac:dyDescent="0.35">
      <c r="A3" s="1" t="s">
        <v>17</v>
      </c>
      <c r="B3" s="76">
        <f>'מ"ר אקו'' נחלה'!D15</f>
        <v>997.5</v>
      </c>
      <c r="K3" s="1"/>
    </row>
    <row r="4" spans="1:11" x14ac:dyDescent="0.35">
      <c r="A4" s="1" t="s">
        <v>92</v>
      </c>
      <c r="B4" s="76">
        <f>'מ"ר אקו'' נחלה'!D27</f>
        <v>186.58892128279885</v>
      </c>
      <c r="K4" s="1"/>
    </row>
    <row r="5" spans="1:11" x14ac:dyDescent="0.35">
      <c r="A5" s="1" t="s">
        <v>201</v>
      </c>
      <c r="B5" s="76">
        <f>'מ"ר אקו'' נחלה'!D37</f>
        <v>14</v>
      </c>
      <c r="K5" s="1"/>
    </row>
    <row r="6" spans="1:11" x14ac:dyDescent="0.35">
      <c r="A6" s="1" t="s">
        <v>3</v>
      </c>
      <c r="B6" s="1">
        <f>'מ"ר אקו'' נחלה'!D69</f>
        <v>806.25</v>
      </c>
      <c r="F6" s="7"/>
      <c r="K6" s="1"/>
    </row>
    <row r="7" spans="1:11" x14ac:dyDescent="0.35">
      <c r="A7" s="1" t="s">
        <v>57</v>
      </c>
      <c r="B7" s="1">
        <f>'מ"ר אקו'' נחלה'!D56</f>
        <v>286.8</v>
      </c>
      <c r="C7" s="1" t="s">
        <v>58</v>
      </c>
      <c r="D7" s="75">
        <f>'מ"ר אקו'' נחלה'!I49</f>
        <v>207.5</v>
      </c>
      <c r="F7" s="75"/>
      <c r="K7" s="1"/>
    </row>
    <row r="8" spans="1:11" x14ac:dyDescent="0.35">
      <c r="A8" s="1" t="s">
        <v>12</v>
      </c>
      <c r="B8" s="129">
        <f>'ניתוח איזור לעסקאות דמה'!C7</f>
        <v>12000</v>
      </c>
      <c r="C8" s="1" t="s">
        <v>85</v>
      </c>
      <c r="D8" s="5">
        <v>2500</v>
      </c>
      <c r="F8" s="75"/>
      <c r="K8" s="1"/>
    </row>
    <row r="9" spans="1:11" x14ac:dyDescent="0.35">
      <c r="A9" s="3"/>
      <c r="B9" s="5"/>
      <c r="C9" s="1" t="s">
        <v>93</v>
      </c>
      <c r="D9" s="1" t="e">
        <f>'ניתוח איזור לעסקאות דמה'!#REF!</f>
        <v>#REF!</v>
      </c>
      <c r="E9" s="8">
        <v>1.17</v>
      </c>
    </row>
    <row r="10" spans="1:11" x14ac:dyDescent="0.35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67</v>
      </c>
      <c r="J10" s="2"/>
    </row>
    <row r="11" spans="1:11" ht="21" x14ac:dyDescent="0.4">
      <c r="A11" s="77" t="s">
        <v>16</v>
      </c>
      <c r="B11" s="77">
        <f>B6</f>
        <v>806.25</v>
      </c>
      <c r="C11" s="78">
        <v>3.7499999999999999E-2</v>
      </c>
      <c r="D11" s="77">
        <f t="shared" ref="D11:D21" si="0">C11*B11</f>
        <v>30.234375</v>
      </c>
      <c r="E11" s="77">
        <v>1</v>
      </c>
      <c r="F11" s="79">
        <f>D11*$B$8*E11</f>
        <v>362812.5</v>
      </c>
      <c r="G11" s="75">
        <f>'מ"ר אקו'' נחלה'!D70*-3.75%</f>
        <v>-6562.5</v>
      </c>
      <c r="H11" s="88">
        <f>SUM(F11:G11)</f>
        <v>356250</v>
      </c>
      <c r="I11" s="9"/>
      <c r="J11" s="75"/>
    </row>
    <row r="12" spans="1:11" x14ac:dyDescent="0.35">
      <c r="A12" s="82" t="s">
        <v>63</v>
      </c>
      <c r="B12" s="114">
        <f>D7</f>
        <v>207.5</v>
      </c>
      <c r="C12" s="115">
        <v>0.29249999999999998</v>
      </c>
      <c r="D12" s="82">
        <f t="shared" si="0"/>
        <v>60.693749999999994</v>
      </c>
      <c r="E12" s="82">
        <v>1</v>
      </c>
      <c r="F12" s="84">
        <f>D12*$B$8*E12</f>
        <v>728324.99999999988</v>
      </c>
      <c r="G12" s="75">
        <f>-'מ"ר אקו'' נחלה'!D57*C12</f>
        <v>-29250</v>
      </c>
      <c r="H12" s="6">
        <f>SUM(F12:G12)</f>
        <v>699074.99999999988</v>
      </c>
      <c r="J12" s="87"/>
    </row>
    <row r="13" spans="1:11" x14ac:dyDescent="0.35">
      <c r="A13" s="82" t="s">
        <v>64</v>
      </c>
      <c r="B13" s="114">
        <f>B7-B12</f>
        <v>79.300000000000011</v>
      </c>
      <c r="C13" s="115">
        <v>0.33</v>
      </c>
      <c r="D13" s="82">
        <f t="shared" si="0"/>
        <v>26.169000000000004</v>
      </c>
      <c r="E13" s="82">
        <v>1</v>
      </c>
      <c r="F13" s="84">
        <f>D13*$B$8*E13</f>
        <v>314028.00000000006</v>
      </c>
      <c r="G13" s="87">
        <f>G12*53/245</f>
        <v>-6327.5510204081629</v>
      </c>
      <c r="H13" s="6">
        <f>SUM(F13:G13)</f>
        <v>307700.44897959189</v>
      </c>
      <c r="I13" s="9"/>
      <c r="J13" s="75"/>
    </row>
    <row r="14" spans="1:11" ht="21" x14ac:dyDescent="0.4">
      <c r="A14" s="111" t="s">
        <v>65</v>
      </c>
      <c r="B14" s="112">
        <f>SUM(B12:B13)</f>
        <v>286.8</v>
      </c>
      <c r="C14" s="113"/>
      <c r="D14" s="113"/>
      <c r="E14" s="113"/>
      <c r="F14" s="113">
        <f>SUM(F12:F13)</f>
        <v>1042353</v>
      </c>
      <c r="G14" s="116"/>
      <c r="H14" s="89">
        <f>SUM(H12:H13)</f>
        <v>1006775.4489795917</v>
      </c>
      <c r="J14" s="75"/>
    </row>
    <row r="15" spans="1:11" ht="21" x14ac:dyDescent="0.4">
      <c r="A15" s="77" t="s">
        <v>7</v>
      </c>
      <c r="B15" s="77">
        <f>'מ"ר אקו'' נחלה'!I49</f>
        <v>207.5</v>
      </c>
      <c r="C15" s="80">
        <f>C35</f>
        <v>0.42499999999999999</v>
      </c>
      <c r="D15" s="77">
        <f>B15*C15</f>
        <v>88.1875</v>
      </c>
      <c r="E15" s="77">
        <v>1</v>
      </c>
      <c r="F15" s="79">
        <f>D15*$B$8</f>
        <v>1058250</v>
      </c>
      <c r="G15" s="9"/>
      <c r="J15" s="86"/>
    </row>
    <row r="16" spans="1:11" ht="21" x14ac:dyDescent="0.4">
      <c r="A16" s="77" t="s">
        <v>5</v>
      </c>
      <c r="B16" s="81">
        <f>B3+B4-B5</f>
        <v>1170.0889212827988</v>
      </c>
      <c r="C16" s="80">
        <v>0.33</v>
      </c>
      <c r="D16" s="77">
        <f t="shared" si="0"/>
        <v>386.1293440233236</v>
      </c>
      <c r="E16" s="77">
        <v>1</v>
      </c>
      <c r="F16" s="79">
        <f>D16*$B$8*E16</f>
        <v>4633552.1282798834</v>
      </c>
      <c r="G16" s="75">
        <f>-'מ"ר אקו'' נחלה'!D16*C16</f>
        <v>-81510</v>
      </c>
      <c r="H16" s="88">
        <f>SUM(F16:G16)</f>
        <v>4552042.1282798834</v>
      </c>
      <c r="J16" s="137"/>
    </row>
    <row r="17" spans="1:10" ht="21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ht="21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ht="21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D19*$B$8*E19</f>
        <v>7644</v>
      </c>
      <c r="I19" s="75"/>
      <c r="J19" s="6"/>
    </row>
    <row r="20" spans="1:10" ht="21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D20*$B$8*E20</f>
        <v>819.00000000000011</v>
      </c>
      <c r="G20" s="9"/>
      <c r="I20" s="6"/>
      <c r="J20" s="9"/>
    </row>
    <row r="21" spans="1:10" ht="21" x14ac:dyDescent="0.4">
      <c r="A21" s="1" t="s">
        <v>71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D21*$D$8*E21</f>
        <v>125</v>
      </c>
      <c r="I21" s="9"/>
    </row>
    <row r="22" spans="1:10" ht="21" x14ac:dyDescent="0.4">
      <c r="A22" s="1" t="s">
        <v>46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D22*$B$8*E22</f>
        <v>3276.0000000000005</v>
      </c>
    </row>
    <row r="23" spans="1:10" ht="21" x14ac:dyDescent="0.4">
      <c r="A23" s="82" t="s">
        <v>86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E23*D23*$D$8</f>
        <v>2275</v>
      </c>
      <c r="I23" s="6"/>
    </row>
    <row r="24" spans="1:10" ht="21" x14ac:dyDescent="0.4">
      <c r="A24" s="1" t="s">
        <v>47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D24*E24*B8</f>
        <v>600</v>
      </c>
      <c r="I24" s="9"/>
    </row>
    <row r="25" spans="1:10" x14ac:dyDescent="0.35">
      <c r="C25" s="7"/>
      <c r="F25" s="5"/>
      <c r="J25" s="9"/>
    </row>
    <row r="26" spans="1:10" x14ac:dyDescent="0.35">
      <c r="C26" s="7"/>
      <c r="F26" s="5"/>
    </row>
    <row r="27" spans="1:10" x14ac:dyDescent="0.35">
      <c r="A27" s="1" t="s">
        <v>48</v>
      </c>
      <c r="B27" s="85"/>
      <c r="C27" s="8"/>
      <c r="D27" s="186"/>
      <c r="E27" s="186"/>
      <c r="F27" s="5"/>
      <c r="I27" s="75"/>
    </row>
    <row r="29" spans="1:10" x14ac:dyDescent="0.35">
      <c r="A29" s="2" t="s">
        <v>155</v>
      </c>
      <c r="C29" s="75"/>
    </row>
    <row r="30" spans="1:10" x14ac:dyDescent="0.35">
      <c r="A30" s="2"/>
      <c r="B30" s="2" t="s">
        <v>157</v>
      </c>
      <c r="C30" s="2" t="s">
        <v>21</v>
      </c>
      <c r="D30" s="2" t="s">
        <v>156</v>
      </c>
    </row>
    <row r="31" spans="1:10" x14ac:dyDescent="0.35">
      <c r="A31" s="1" t="s">
        <v>153</v>
      </c>
      <c r="B31" s="5">
        <f>'מ"ר אקו'' נחלה'!D56*'תחשיב לפי שווי שומה (2)'!$B$8</f>
        <v>3441600</v>
      </c>
      <c r="C31" s="191">
        <v>1</v>
      </c>
      <c r="D31" s="6">
        <f>C31*$B$8</f>
        <v>12000</v>
      </c>
    </row>
    <row r="32" spans="1:10" x14ac:dyDescent="0.35">
      <c r="A32" s="1" t="s">
        <v>152</v>
      </c>
      <c r="B32" s="6">
        <f>350*$B$8*C32</f>
        <v>630000</v>
      </c>
      <c r="C32" s="191">
        <v>0.15</v>
      </c>
      <c r="D32" s="6">
        <f>C32*$B$8</f>
        <v>1800</v>
      </c>
    </row>
    <row r="33" spans="1:6" x14ac:dyDescent="0.35">
      <c r="C33" s="75"/>
    </row>
    <row r="34" spans="1:6" x14ac:dyDescent="0.35">
      <c r="A34" s="1" t="s">
        <v>150</v>
      </c>
      <c r="B34" s="6">
        <f>B31-B32</f>
        <v>2811600</v>
      </c>
      <c r="C34" s="191">
        <f>C31-C32</f>
        <v>0.85</v>
      </c>
      <c r="D34" s="6">
        <f>C34*$B$8</f>
        <v>10200</v>
      </c>
    </row>
    <row r="35" spans="1:6" x14ac:dyDescent="0.35">
      <c r="A35" s="1" t="s">
        <v>151</v>
      </c>
      <c r="B35" s="6">
        <f>B34*50%</f>
        <v>1405800</v>
      </c>
      <c r="C35" s="191">
        <f>C34*50%</f>
        <v>0.42499999999999999</v>
      </c>
      <c r="D35" s="6">
        <f>C35*$B$8</f>
        <v>5100</v>
      </c>
    </row>
    <row r="37" spans="1:6" x14ac:dyDescent="0.35">
      <c r="A37" s="2" t="s">
        <v>159</v>
      </c>
      <c r="C37" s="75"/>
    </row>
    <row r="38" spans="1:6" x14ac:dyDescent="0.35">
      <c r="A38" s="2"/>
      <c r="B38" s="2" t="s">
        <v>157</v>
      </c>
      <c r="C38" s="2" t="s">
        <v>21</v>
      </c>
      <c r="D38" s="2" t="s">
        <v>156</v>
      </c>
    </row>
    <row r="39" spans="1:6" x14ac:dyDescent="0.35">
      <c r="A39" s="1" t="s">
        <v>153</v>
      </c>
      <c r="B39" s="5">
        <f>'מ"ר אקו'' נחלה'!D56*'תחשיב לפי שווי שומה (2)'!$B$8</f>
        <v>3441600</v>
      </c>
      <c r="C39" s="191">
        <v>1</v>
      </c>
      <c r="D39" s="6">
        <f>C39*$B$8</f>
        <v>12000</v>
      </c>
    </row>
    <row r="40" spans="1:6" x14ac:dyDescent="0.35">
      <c r="A40" s="1" t="s">
        <v>160</v>
      </c>
      <c r="B40" s="6">
        <f>B39*70%</f>
        <v>2409120</v>
      </c>
      <c r="C40" s="191">
        <v>0.7</v>
      </c>
      <c r="D40" s="6">
        <f>C40*$B$8</f>
        <v>8400</v>
      </c>
    </row>
    <row r="41" spans="1:6" x14ac:dyDescent="0.35">
      <c r="C41" s="75"/>
    </row>
    <row r="42" spans="1:6" x14ac:dyDescent="0.35">
      <c r="A42" s="1" t="s">
        <v>150</v>
      </c>
      <c r="B42" s="6">
        <f>B39-B40</f>
        <v>1032480</v>
      </c>
      <c r="C42" s="191">
        <f>C39-C40</f>
        <v>0.30000000000000004</v>
      </c>
      <c r="D42" s="6">
        <f>C42*$B$8</f>
        <v>3600.0000000000005</v>
      </c>
      <c r="F42" s="6"/>
    </row>
    <row r="43" spans="1:6" x14ac:dyDescent="0.35">
      <c r="A43" s="1" t="s">
        <v>151</v>
      </c>
      <c r="B43" s="6">
        <f>B42*50%</f>
        <v>516240</v>
      </c>
      <c r="C43" s="191">
        <f>C42*50%</f>
        <v>0.15000000000000002</v>
      </c>
      <c r="D43" s="6">
        <f>C43*$B$8</f>
        <v>1800.0000000000002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4F99-8337-4BBE-8963-9A92657C83C2}">
  <dimension ref="A8:U51"/>
  <sheetViews>
    <sheetView rightToLeft="1" tabSelected="1" topLeftCell="A25" zoomScale="115" zoomScaleNormal="115" workbookViewId="0">
      <selection activeCell="M33" sqref="M33"/>
    </sheetView>
  </sheetViews>
  <sheetFormatPr defaultRowHeight="13.8" x14ac:dyDescent="0.25"/>
  <cols>
    <col min="2" max="2" width="21.296875" bestFit="1" customWidth="1"/>
    <col min="3" max="3" width="20.796875" bestFit="1" customWidth="1"/>
    <col min="5" max="5" width="13.09765625" style="149" bestFit="1" customWidth="1"/>
    <col min="6" max="6" width="13.09765625" bestFit="1" customWidth="1"/>
    <col min="7" max="8" width="10.3984375" bestFit="1" customWidth="1"/>
    <col min="13" max="13" width="12" customWidth="1"/>
    <col min="15" max="15" width="12.59765625" bestFit="1" customWidth="1"/>
  </cols>
  <sheetData>
    <row r="8" spans="9:16" ht="14.4" thickBot="1" x14ac:dyDescent="0.3"/>
    <row r="9" spans="9:16" ht="14.4" thickBot="1" x14ac:dyDescent="0.3">
      <c r="I9" s="367" t="s">
        <v>208</v>
      </c>
      <c r="J9" s="368"/>
      <c r="K9" s="368"/>
      <c r="L9" s="368"/>
      <c r="M9" s="368"/>
      <c r="N9" s="368"/>
      <c r="O9" s="368"/>
      <c r="P9" s="369"/>
    </row>
    <row r="10" spans="9:16" x14ac:dyDescent="0.25">
      <c r="I10" s="370" t="s">
        <v>209</v>
      </c>
      <c r="J10" s="371"/>
      <c r="K10" s="370" t="s">
        <v>210</v>
      </c>
      <c r="L10" s="371"/>
      <c r="M10" s="374" t="s">
        <v>211</v>
      </c>
      <c r="N10" s="375"/>
      <c r="O10" s="370" t="s">
        <v>5</v>
      </c>
      <c r="P10" s="371"/>
    </row>
    <row r="11" spans="9:16" ht="14.4" thickBot="1" x14ac:dyDescent="0.3">
      <c r="I11" s="372"/>
      <c r="J11" s="373"/>
      <c r="K11" s="372"/>
      <c r="L11" s="373"/>
      <c r="M11" s="376"/>
      <c r="N11" s="377"/>
      <c r="O11" s="372"/>
      <c r="P11" s="373"/>
    </row>
    <row r="12" spans="9:16" x14ac:dyDescent="0.25">
      <c r="I12" s="351" t="s">
        <v>212</v>
      </c>
      <c r="J12" s="349"/>
      <c r="K12" s="364">
        <f>240000</f>
        <v>240000</v>
      </c>
      <c r="L12" s="364"/>
      <c r="M12" s="364">
        <f>240000</f>
        <v>240000</v>
      </c>
      <c r="N12" s="364"/>
      <c r="O12" s="364">
        <v>2700000</v>
      </c>
      <c r="P12" s="365"/>
    </row>
    <row r="13" spans="9:16" x14ac:dyDescent="0.25">
      <c r="I13" s="352"/>
      <c r="J13" s="350"/>
      <c r="K13" s="362"/>
      <c r="L13" s="362"/>
      <c r="M13" s="362"/>
      <c r="N13" s="362"/>
      <c r="O13" s="362"/>
      <c r="P13" s="366"/>
    </row>
    <row r="14" spans="9:16" x14ac:dyDescent="0.25">
      <c r="I14" s="352" t="s">
        <v>213</v>
      </c>
      <c r="J14" s="350"/>
      <c r="K14" s="362">
        <f>1000000</f>
        <v>1000000</v>
      </c>
      <c r="L14" s="362"/>
      <c r="M14" s="362">
        <v>1730000</v>
      </c>
      <c r="N14" s="362"/>
      <c r="O14" s="350" t="s">
        <v>214</v>
      </c>
      <c r="P14" s="356"/>
    </row>
    <row r="15" spans="9:16" x14ac:dyDescent="0.25">
      <c r="I15" s="352"/>
      <c r="J15" s="350"/>
      <c r="K15" s="362"/>
      <c r="L15" s="362"/>
      <c r="M15" s="362"/>
      <c r="N15" s="362"/>
      <c r="O15" s="350"/>
      <c r="P15" s="356"/>
    </row>
    <row r="16" spans="9:16" x14ac:dyDescent="0.25">
      <c r="I16" s="352" t="s">
        <v>215</v>
      </c>
      <c r="J16" s="350"/>
      <c r="K16" s="355">
        <f>(K14+K12)*0.06</f>
        <v>74400</v>
      </c>
      <c r="L16" s="355"/>
      <c r="M16" s="355">
        <f>(M14+M12)*0.06</f>
        <v>118200</v>
      </c>
      <c r="N16" s="355"/>
      <c r="O16" s="355">
        <f>O12*0.06</f>
        <v>162000</v>
      </c>
      <c r="P16" s="363"/>
    </row>
    <row r="17" spans="1:16" x14ac:dyDescent="0.25">
      <c r="I17" s="352"/>
      <c r="J17" s="350"/>
      <c r="K17" s="355"/>
      <c r="L17" s="355"/>
      <c r="M17" s="355"/>
      <c r="N17" s="355"/>
      <c r="O17" s="355"/>
      <c r="P17" s="363"/>
    </row>
    <row r="18" spans="1:16" x14ac:dyDescent="0.25">
      <c r="I18" s="352" t="s">
        <v>216</v>
      </c>
      <c r="J18" s="350"/>
      <c r="K18" s="350" t="s">
        <v>214</v>
      </c>
      <c r="L18" s="350"/>
      <c r="M18" s="355">
        <v>144000</v>
      </c>
      <c r="N18" s="355"/>
      <c r="O18" s="350" t="s">
        <v>214</v>
      </c>
      <c r="P18" s="356"/>
    </row>
    <row r="19" spans="1:16" x14ac:dyDescent="0.25">
      <c r="I19" s="352"/>
      <c r="J19" s="350"/>
      <c r="K19" s="350"/>
      <c r="L19" s="350"/>
      <c r="M19" s="355"/>
      <c r="N19" s="355"/>
      <c r="O19" s="350"/>
      <c r="P19" s="356"/>
    </row>
    <row r="20" spans="1:16" x14ac:dyDescent="0.25">
      <c r="I20" s="358" t="s">
        <v>8</v>
      </c>
      <c r="J20" s="359"/>
      <c r="K20" s="360">
        <f>SUM(K12:L19)</f>
        <v>1314400</v>
      </c>
      <c r="L20" s="359"/>
      <c r="M20" s="360">
        <f>SUM(M12:N19)</f>
        <v>2232200</v>
      </c>
      <c r="N20" s="359"/>
      <c r="O20" s="360">
        <f>SUM(O12:P19)</f>
        <v>2862000</v>
      </c>
      <c r="P20" s="361"/>
    </row>
    <row r="21" spans="1:16" x14ac:dyDescent="0.25">
      <c r="I21" s="358"/>
      <c r="J21" s="359"/>
      <c r="K21" s="359"/>
      <c r="L21" s="359"/>
      <c r="M21" s="359"/>
      <c r="N21" s="359"/>
      <c r="O21" s="359"/>
      <c r="P21" s="361"/>
    </row>
    <row r="22" spans="1:16" x14ac:dyDescent="0.25">
      <c r="I22" s="352" t="s">
        <v>217</v>
      </c>
      <c r="J22" s="350"/>
      <c r="K22" s="355">
        <v>500000</v>
      </c>
      <c r="L22" s="350"/>
      <c r="M22" s="355">
        <v>1500000</v>
      </c>
      <c r="N22" s="350"/>
      <c r="O22" s="350" t="s">
        <v>218</v>
      </c>
      <c r="P22" s="356"/>
    </row>
    <row r="23" spans="1:16" ht="14.4" thickBot="1" x14ac:dyDescent="0.3">
      <c r="I23" s="353"/>
      <c r="J23" s="354"/>
      <c r="K23" s="354"/>
      <c r="L23" s="354"/>
      <c r="M23" s="354"/>
      <c r="N23" s="354"/>
      <c r="O23" s="354"/>
      <c r="P23" s="357"/>
    </row>
    <row r="26" spans="1:16" x14ac:dyDescent="0.25">
      <c r="A26" t="s">
        <v>313</v>
      </c>
      <c r="B26">
        <f>209-160</f>
        <v>49</v>
      </c>
    </row>
    <row r="27" spans="1:16" ht="14.4" thickBot="1" x14ac:dyDescent="0.3"/>
    <row r="28" spans="1:16" ht="14.4" thickBot="1" x14ac:dyDescent="0.3">
      <c r="A28" s="221" t="s">
        <v>312</v>
      </c>
      <c r="B28" s="222" t="s">
        <v>240</v>
      </c>
      <c r="C28" s="222" t="s">
        <v>302</v>
      </c>
      <c r="D28" s="222" t="s">
        <v>303</v>
      </c>
      <c r="E28" s="297" t="s">
        <v>192</v>
      </c>
      <c r="F28" s="302" t="s">
        <v>227</v>
      </c>
      <c r="G28" s="298" t="s">
        <v>8</v>
      </c>
      <c r="H28" s="299" t="s">
        <v>49</v>
      </c>
      <c r="I28" s="291" t="s">
        <v>314</v>
      </c>
    </row>
    <row r="29" spans="1:16" x14ac:dyDescent="0.25">
      <c r="A29" s="351">
        <v>250</v>
      </c>
      <c r="B29" s="349" t="s">
        <v>304</v>
      </c>
      <c r="C29" s="225" t="s">
        <v>306</v>
      </c>
      <c r="D29" s="225">
        <v>155</v>
      </c>
      <c r="E29" s="300">
        <f>10800*12</f>
        <v>129600</v>
      </c>
      <c r="F29" s="303">
        <v>0</v>
      </c>
      <c r="G29" s="307">
        <f t="shared" ref="G29:G35" si="0">SUM(E29:F29)</f>
        <v>129600</v>
      </c>
      <c r="H29" s="228">
        <v>0</v>
      </c>
    </row>
    <row r="30" spans="1:16" x14ac:dyDescent="0.25">
      <c r="A30" s="352"/>
      <c r="B30" s="350"/>
      <c r="C30" s="230" t="s">
        <v>307</v>
      </c>
      <c r="D30" s="230">
        <v>55</v>
      </c>
      <c r="E30" s="289">
        <v>0</v>
      </c>
      <c r="F30" s="304">
        <f>D30*1250</f>
        <v>68750</v>
      </c>
      <c r="G30" s="308">
        <f t="shared" si="0"/>
        <v>68750</v>
      </c>
      <c r="H30" s="233">
        <v>130000</v>
      </c>
    </row>
    <row r="31" spans="1:16" x14ac:dyDescent="0.25">
      <c r="A31" s="280">
        <v>42</v>
      </c>
      <c r="B31" s="275" t="s">
        <v>305</v>
      </c>
      <c r="C31" s="230" t="s">
        <v>308</v>
      </c>
      <c r="D31" s="230">
        <f>42+12</f>
        <v>54</v>
      </c>
      <c r="E31" s="289">
        <f>10*10800</f>
        <v>108000</v>
      </c>
      <c r="F31" s="304">
        <f>(D31-10)*5100</f>
        <v>224400</v>
      </c>
      <c r="G31" s="308">
        <f t="shared" si="0"/>
        <v>332400</v>
      </c>
      <c r="H31" s="233">
        <v>0</v>
      </c>
      <c r="J31" t="s">
        <v>311</v>
      </c>
    </row>
    <row r="32" spans="1:16" x14ac:dyDescent="0.25">
      <c r="A32" s="280">
        <v>60</v>
      </c>
      <c r="B32" s="275" t="s">
        <v>310</v>
      </c>
      <c r="C32" s="230" t="s">
        <v>309</v>
      </c>
      <c r="D32" s="230">
        <v>160</v>
      </c>
      <c r="E32" s="289">
        <v>0</v>
      </c>
      <c r="F32" s="304">
        <v>0</v>
      </c>
      <c r="G32" s="308">
        <f t="shared" si="0"/>
        <v>0</v>
      </c>
      <c r="H32" s="282">
        <v>200000</v>
      </c>
    </row>
    <row r="33" spans="1:21" x14ac:dyDescent="0.25">
      <c r="A33" s="26"/>
      <c r="B33" s="275" t="s">
        <v>316</v>
      </c>
      <c r="C33" s="230" t="s">
        <v>315</v>
      </c>
      <c r="D33" s="230" t="s">
        <v>317</v>
      </c>
      <c r="E33" s="289"/>
      <c r="F33" s="304"/>
      <c r="G33" s="308">
        <f t="shared" si="0"/>
        <v>0</v>
      </c>
      <c r="H33" s="301"/>
    </row>
    <row r="34" spans="1:21" ht="14.4" thickBot="1" x14ac:dyDescent="0.3">
      <c r="A34" s="294"/>
      <c r="B34" s="296" t="s">
        <v>318</v>
      </c>
      <c r="C34" s="281" t="s">
        <v>319</v>
      </c>
      <c r="D34" s="281">
        <v>700</v>
      </c>
      <c r="E34" s="290">
        <v>0</v>
      </c>
      <c r="F34" s="305">
        <v>0</v>
      </c>
      <c r="G34" s="283">
        <f t="shared" si="0"/>
        <v>0</v>
      </c>
      <c r="H34" s="295"/>
      <c r="P34">
        <v>5</v>
      </c>
    </row>
    <row r="35" spans="1:21" ht="14.4" thickBot="1" x14ac:dyDescent="0.3">
      <c r="A35" s="287"/>
      <c r="B35" s="288"/>
      <c r="C35" s="286"/>
      <c r="D35" s="281">
        <f>SUM(D29:D32)</f>
        <v>424</v>
      </c>
      <c r="E35" s="290">
        <f>SUM(E29:E32)</f>
        <v>237600</v>
      </c>
      <c r="F35" s="305">
        <f>SUM(F29:F32)</f>
        <v>293150</v>
      </c>
      <c r="G35" s="284">
        <f t="shared" si="0"/>
        <v>530750</v>
      </c>
      <c r="H35" s="285">
        <f>SUM(H29:H32)</f>
        <v>330000</v>
      </c>
      <c r="P35">
        <v>49</v>
      </c>
    </row>
    <row r="36" spans="1:21" ht="14.4" thickBot="1" x14ac:dyDescent="0.3">
      <c r="F36" s="306" t="s">
        <v>231</v>
      </c>
      <c r="G36" s="284">
        <f>380000</f>
        <v>380000</v>
      </c>
      <c r="P36">
        <f>SUM(P34:P35)</f>
        <v>54</v>
      </c>
    </row>
    <row r="37" spans="1:21" ht="14.4" thickBot="1" x14ac:dyDescent="0.3">
      <c r="F37" s="293" t="s">
        <v>123</v>
      </c>
      <c r="G37" s="292"/>
    </row>
    <row r="40" spans="1:21" ht="14.4" thickBot="1" x14ac:dyDescent="0.3"/>
    <row r="41" spans="1:21" ht="14.4" thickBot="1" x14ac:dyDescent="0.3">
      <c r="A41" s="381" t="s">
        <v>325</v>
      </c>
      <c r="B41" s="382"/>
      <c r="C41" s="382"/>
      <c r="D41" s="382"/>
      <c r="E41" s="382"/>
      <c r="F41" s="382"/>
      <c r="G41" s="382"/>
      <c r="H41" s="382"/>
      <c r="I41" s="382"/>
      <c r="J41" s="382"/>
      <c r="K41" s="382"/>
      <c r="L41" s="382"/>
      <c r="M41" s="383"/>
    </row>
    <row r="42" spans="1:21" ht="14.4" thickBot="1" x14ac:dyDescent="0.3">
      <c r="A42" s="310" t="s">
        <v>312</v>
      </c>
      <c r="B42" s="311" t="s">
        <v>240</v>
      </c>
      <c r="C42" s="311" t="s">
        <v>302</v>
      </c>
      <c r="D42" s="311" t="s">
        <v>303</v>
      </c>
      <c r="E42" s="312" t="s">
        <v>192</v>
      </c>
      <c r="F42" s="313" t="s">
        <v>227</v>
      </c>
      <c r="G42" s="314" t="s">
        <v>8</v>
      </c>
      <c r="H42" s="315" t="s">
        <v>49</v>
      </c>
      <c r="I42" s="378" t="s">
        <v>326</v>
      </c>
      <c r="J42" s="379"/>
      <c r="K42" s="379"/>
      <c r="L42" s="379"/>
      <c r="M42" s="380"/>
      <c r="R42" t="s">
        <v>320</v>
      </c>
      <c r="U42" s="149"/>
    </row>
    <row r="43" spans="1:21" ht="24.6" customHeight="1" x14ac:dyDescent="0.25">
      <c r="A43" s="351">
        <v>223</v>
      </c>
      <c r="B43" s="349" t="s">
        <v>304</v>
      </c>
      <c r="C43" s="279" t="s">
        <v>306</v>
      </c>
      <c r="D43" s="279">
        <v>155</v>
      </c>
      <c r="E43" s="342" t="s">
        <v>214</v>
      </c>
      <c r="F43" s="344">
        <v>0</v>
      </c>
      <c r="G43" s="345">
        <f t="shared" ref="G43:G49" si="1">SUM(E43:F43)</f>
        <v>0</v>
      </c>
      <c r="H43" s="384">
        <v>133000</v>
      </c>
      <c r="I43" s="386" t="s">
        <v>327</v>
      </c>
      <c r="J43" s="387"/>
      <c r="K43" s="387"/>
      <c r="L43" s="387"/>
      <c r="M43" s="388"/>
      <c r="R43" t="s">
        <v>321</v>
      </c>
      <c r="S43" t="s">
        <v>322</v>
      </c>
      <c r="T43" t="s">
        <v>297</v>
      </c>
      <c r="U43" s="149" t="s">
        <v>300</v>
      </c>
    </row>
    <row r="44" spans="1:21" ht="14.4" thickBot="1" x14ac:dyDescent="0.3">
      <c r="A44" s="353"/>
      <c r="B44" s="354"/>
      <c r="C44" s="278" t="s">
        <v>307</v>
      </c>
      <c r="D44" s="278">
        <v>55</v>
      </c>
      <c r="E44" s="343">
        <v>5400</v>
      </c>
      <c r="F44" s="343">
        <v>69000</v>
      </c>
      <c r="G44" s="346">
        <f t="shared" si="1"/>
        <v>74400</v>
      </c>
      <c r="H44" s="385"/>
      <c r="I44" s="389"/>
      <c r="J44" s="390"/>
      <c r="K44" s="390"/>
      <c r="L44" s="390"/>
      <c r="M44" s="391"/>
      <c r="R44">
        <v>2.2999999999999998</v>
      </c>
      <c r="S44" s="188">
        <v>30246</v>
      </c>
      <c r="T44">
        <v>455.7</v>
      </c>
      <c r="U44" s="149">
        <f>T44*R44</f>
        <v>1048.1099999999999</v>
      </c>
    </row>
    <row r="45" spans="1:21" ht="46.5" customHeight="1" thickBot="1" x14ac:dyDescent="0.3">
      <c r="A45" s="347">
        <v>42</v>
      </c>
      <c r="B45" s="293" t="s">
        <v>305</v>
      </c>
      <c r="C45" s="348" t="s">
        <v>308</v>
      </c>
      <c r="D45" s="348">
        <f>42+12</f>
        <v>54</v>
      </c>
      <c r="E45" s="338" t="s">
        <v>214</v>
      </c>
      <c r="F45" s="339">
        <v>225000</v>
      </c>
      <c r="G45" s="340">
        <f t="shared" si="1"/>
        <v>225000</v>
      </c>
      <c r="H45" s="341">
        <v>0</v>
      </c>
      <c r="I45" s="392" t="s">
        <v>328</v>
      </c>
      <c r="J45" s="393"/>
      <c r="K45" s="393"/>
      <c r="L45" s="393"/>
      <c r="M45" s="394"/>
      <c r="R45" t="s">
        <v>301</v>
      </c>
      <c r="U45" s="38">
        <v>0.8</v>
      </c>
    </row>
    <row r="46" spans="1:21" x14ac:dyDescent="0.25">
      <c r="A46" s="317">
        <v>60</v>
      </c>
      <c r="B46" s="316" t="s">
        <v>310</v>
      </c>
      <c r="C46" s="318" t="s">
        <v>309</v>
      </c>
      <c r="D46" s="318">
        <v>160</v>
      </c>
      <c r="E46" s="319">
        <v>0</v>
      </c>
      <c r="F46" s="320">
        <v>70000</v>
      </c>
      <c r="G46" s="321">
        <f t="shared" si="1"/>
        <v>70000</v>
      </c>
      <c r="H46" s="326">
        <v>200000</v>
      </c>
      <c r="I46" s="395"/>
      <c r="J46" s="396"/>
      <c r="K46" s="396"/>
      <c r="L46" s="396"/>
      <c r="M46" s="396"/>
      <c r="R46" t="s">
        <v>323</v>
      </c>
      <c r="U46" s="149">
        <f>U44*U45</f>
        <v>838.48799999999994</v>
      </c>
    </row>
    <row r="47" spans="1:21" x14ac:dyDescent="0.25">
      <c r="A47" s="325"/>
      <c r="B47" s="275" t="s">
        <v>316</v>
      </c>
      <c r="C47" s="257" t="s">
        <v>315</v>
      </c>
      <c r="D47" s="257" t="s">
        <v>317</v>
      </c>
      <c r="E47" s="322"/>
      <c r="F47" s="323"/>
      <c r="G47" s="324">
        <f t="shared" si="1"/>
        <v>0</v>
      </c>
      <c r="H47" s="326"/>
      <c r="I47" s="395"/>
      <c r="J47" s="396"/>
      <c r="K47" s="396"/>
      <c r="L47" s="396"/>
      <c r="M47" s="396"/>
      <c r="R47" t="s">
        <v>151</v>
      </c>
      <c r="U47" s="149">
        <f>U46/2</f>
        <v>419.24399999999997</v>
      </c>
    </row>
    <row r="48" spans="1:21" ht="14.4" thickBot="1" x14ac:dyDescent="0.3">
      <c r="A48" s="306"/>
      <c r="B48" s="296" t="s">
        <v>318</v>
      </c>
      <c r="C48" s="327" t="s">
        <v>319</v>
      </c>
      <c r="D48" s="327">
        <v>700</v>
      </c>
      <c r="E48" s="328">
        <v>0</v>
      </c>
      <c r="F48" s="329">
        <v>0</v>
      </c>
      <c r="G48" s="330">
        <f t="shared" si="1"/>
        <v>0</v>
      </c>
      <c r="H48" s="331"/>
      <c r="I48" s="395"/>
      <c r="J48" s="396"/>
      <c r="K48" s="396"/>
      <c r="L48" s="396"/>
      <c r="M48" s="396"/>
      <c r="R48" t="s">
        <v>324</v>
      </c>
      <c r="U48" s="149">
        <f>U47*160</f>
        <v>67079.039999999994</v>
      </c>
    </row>
    <row r="49" spans="1:13" ht="14.4" thickBot="1" x14ac:dyDescent="0.3">
      <c r="A49" s="332"/>
      <c r="B49" s="333"/>
      <c r="C49" s="334"/>
      <c r="D49" s="327"/>
      <c r="E49" s="328">
        <f>SUM(E43:E46)</f>
        <v>5400</v>
      </c>
      <c r="F49" s="329">
        <f>SUM(F43:F46)</f>
        <v>364000</v>
      </c>
      <c r="G49" s="335">
        <f t="shared" si="1"/>
        <v>369400</v>
      </c>
      <c r="H49" s="336">
        <f>SUM(H43:H46)</f>
        <v>333000</v>
      </c>
      <c r="I49" s="395"/>
      <c r="J49" s="396"/>
      <c r="K49" s="396"/>
      <c r="L49" s="396"/>
      <c r="M49" s="396"/>
    </row>
    <row r="50" spans="1:13" ht="14.4" thickBot="1" x14ac:dyDescent="0.3">
      <c r="A50" s="277"/>
      <c r="B50" s="277"/>
      <c r="C50" s="277"/>
      <c r="D50" s="277"/>
      <c r="E50" s="309"/>
      <c r="F50" s="306" t="s">
        <v>231</v>
      </c>
      <c r="G50" s="335">
        <f>380000</f>
        <v>380000</v>
      </c>
      <c r="H50" s="277"/>
      <c r="I50" s="277"/>
      <c r="J50" s="277"/>
      <c r="K50" s="277"/>
      <c r="L50" s="277"/>
      <c r="M50" s="277"/>
    </row>
    <row r="51" spans="1:13" ht="14.4" thickBot="1" x14ac:dyDescent="0.3">
      <c r="A51" s="277"/>
      <c r="B51" s="277"/>
      <c r="C51" s="277"/>
      <c r="D51" s="277"/>
      <c r="E51" s="309"/>
      <c r="F51" s="293" t="s">
        <v>123</v>
      </c>
      <c r="G51" s="337"/>
      <c r="H51" s="277"/>
      <c r="I51" s="277"/>
      <c r="J51" s="277"/>
      <c r="K51" s="277"/>
      <c r="L51" s="277"/>
      <c r="M51" s="277"/>
    </row>
  </sheetData>
  <mergeCells count="42">
    <mergeCell ref="I45:M45"/>
    <mergeCell ref="I46:M46"/>
    <mergeCell ref="I47:M47"/>
    <mergeCell ref="I48:M48"/>
    <mergeCell ref="I49:M49"/>
    <mergeCell ref="A43:A44"/>
    <mergeCell ref="B43:B44"/>
    <mergeCell ref="I42:M42"/>
    <mergeCell ref="A41:M41"/>
    <mergeCell ref="H43:H44"/>
    <mergeCell ref="I43:M44"/>
    <mergeCell ref="I12:J13"/>
    <mergeCell ref="K12:L13"/>
    <mergeCell ref="M12:N13"/>
    <mergeCell ref="O12:P13"/>
    <mergeCell ref="I9:P9"/>
    <mergeCell ref="I10:J11"/>
    <mergeCell ref="K10:L11"/>
    <mergeCell ref="M10:N11"/>
    <mergeCell ref="O10:P11"/>
    <mergeCell ref="I14:J15"/>
    <mergeCell ref="K14:L15"/>
    <mergeCell ref="M14:N15"/>
    <mergeCell ref="O14:P15"/>
    <mergeCell ref="I16:J17"/>
    <mergeCell ref="K16:L17"/>
    <mergeCell ref="M16:N17"/>
    <mergeCell ref="O16:P17"/>
    <mergeCell ref="O22:P23"/>
    <mergeCell ref="I18:J19"/>
    <mergeCell ref="K18:L19"/>
    <mergeCell ref="M18:N19"/>
    <mergeCell ref="O18:P19"/>
    <mergeCell ref="I20:J21"/>
    <mergeCell ref="K20:L21"/>
    <mergeCell ref="M20:N21"/>
    <mergeCell ref="O20:P21"/>
    <mergeCell ref="B29:B30"/>
    <mergeCell ref="A29:A30"/>
    <mergeCell ref="I22:J23"/>
    <mergeCell ref="K22:L23"/>
    <mergeCell ref="M22:N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Y92"/>
  <sheetViews>
    <sheetView rightToLeft="1" topLeftCell="A61" workbookViewId="0">
      <selection activeCell="O93" sqref="O93"/>
    </sheetView>
  </sheetViews>
  <sheetFormatPr defaultRowHeight="13.8" x14ac:dyDescent="0.25"/>
  <cols>
    <col min="1" max="1" width="20.09765625" customWidth="1"/>
    <col min="2" max="2" width="9.796875" bestFit="1" customWidth="1"/>
    <col min="3" max="3" width="6.59765625" customWidth="1"/>
    <col min="4" max="4" width="11.5" customWidth="1"/>
    <col min="6" max="6" width="19.3984375" bestFit="1" customWidth="1"/>
    <col min="7" max="7" width="12.3984375" bestFit="1" customWidth="1"/>
    <col min="10" max="10" width="9.796875" bestFit="1" customWidth="1"/>
    <col min="11" max="11" width="12.19921875" bestFit="1" customWidth="1"/>
    <col min="13" max="13" width="10.69921875" bestFit="1" customWidth="1"/>
    <col min="14" max="14" width="8.796875" customWidth="1"/>
    <col min="15" max="15" width="12.8984375" customWidth="1"/>
    <col min="18" max="18" width="8.796875" customWidth="1"/>
    <col min="19" max="19" width="9.796875" customWidth="1"/>
    <col min="20" max="20" width="13" bestFit="1" customWidth="1"/>
    <col min="21" max="21" width="12" customWidth="1"/>
    <col min="22" max="22" width="15.59765625" customWidth="1"/>
    <col min="23" max="23" width="11" customWidth="1"/>
    <col min="24" max="24" width="13.19921875" bestFit="1" customWidth="1"/>
    <col min="25" max="25" width="9.5" bestFit="1" customWidth="1"/>
  </cols>
  <sheetData>
    <row r="1" spans="1:10" ht="14.4" thickBot="1" x14ac:dyDescent="0.3"/>
    <row r="2" spans="1:10" x14ac:dyDescent="0.25">
      <c r="A2" s="10" t="s">
        <v>19</v>
      </c>
      <c r="B2" s="11">
        <v>2500</v>
      </c>
      <c r="C2" s="12" t="s">
        <v>127</v>
      </c>
      <c r="D2" s="13"/>
      <c r="F2" s="10" t="s">
        <v>19</v>
      </c>
      <c r="G2" s="11">
        <v>3000</v>
      </c>
      <c r="H2" s="12"/>
      <c r="I2" s="13"/>
    </row>
    <row r="3" spans="1:10" x14ac:dyDescent="0.25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25">
      <c r="A4" s="18" t="s">
        <v>55</v>
      </c>
      <c r="B4" s="19">
        <v>450</v>
      </c>
      <c r="C4" s="20">
        <v>1</v>
      </c>
      <c r="D4" s="21">
        <f>C4*B4</f>
        <v>450</v>
      </c>
      <c r="F4" s="18" t="str">
        <f t="shared" ref="F4:H8" si="0">A4</f>
        <v>עיקרי</v>
      </c>
      <c r="G4" s="19">
        <f t="shared" si="0"/>
        <v>450</v>
      </c>
      <c r="H4" s="20">
        <f t="shared" si="0"/>
        <v>1</v>
      </c>
      <c r="I4" s="21">
        <f>H4*G4</f>
        <v>450</v>
      </c>
    </row>
    <row r="5" spans="1:10" x14ac:dyDescent="0.25">
      <c r="A5" s="18" t="s">
        <v>23</v>
      </c>
      <c r="B5" s="19">
        <v>25</v>
      </c>
      <c r="C5" s="20">
        <v>0.9</v>
      </c>
      <c r="D5" s="21">
        <f>C5*B5</f>
        <v>22.5</v>
      </c>
      <c r="F5" s="18" t="str">
        <f t="shared" si="0"/>
        <v>מרחבים מוגנים</v>
      </c>
      <c r="G5" s="19">
        <f t="shared" si="0"/>
        <v>25</v>
      </c>
      <c r="H5" s="20">
        <f t="shared" si="0"/>
        <v>0.9</v>
      </c>
      <c r="I5" s="21">
        <f>H5*G5</f>
        <v>22.5</v>
      </c>
    </row>
    <row r="6" spans="1:10" x14ac:dyDescent="0.25">
      <c r="A6" s="18" t="s">
        <v>96</v>
      </c>
      <c r="B6" s="19">
        <v>100</v>
      </c>
      <c r="C6" s="20">
        <v>0.5</v>
      </c>
      <c r="D6" s="21">
        <f>C6*B6</f>
        <v>50</v>
      </c>
      <c r="F6" s="18" t="str">
        <f t="shared" si="0"/>
        <v>יתרת ש"ש</v>
      </c>
      <c r="G6" s="19">
        <f t="shared" si="0"/>
        <v>100</v>
      </c>
      <c r="H6" s="20">
        <f t="shared" si="0"/>
        <v>0.5</v>
      </c>
      <c r="I6" s="21">
        <f>H6*G6</f>
        <v>50</v>
      </c>
    </row>
    <row r="7" spans="1:10" x14ac:dyDescent="0.25">
      <c r="A7" s="18" t="s">
        <v>249</v>
      </c>
      <c r="B7" s="19">
        <v>200</v>
      </c>
      <c r="C7" s="20">
        <v>0.4</v>
      </c>
      <c r="D7" s="21">
        <f>C7*B7</f>
        <v>80</v>
      </c>
      <c r="F7" s="18"/>
      <c r="G7" s="19"/>
      <c r="H7" s="20"/>
      <c r="I7" s="21"/>
    </row>
    <row r="8" spans="1:10" x14ac:dyDescent="0.25">
      <c r="A8" s="18" t="s">
        <v>26</v>
      </c>
      <c r="B8" s="19"/>
      <c r="C8" s="20">
        <v>0.5</v>
      </c>
      <c r="D8" s="21">
        <f>C8*B8</f>
        <v>0</v>
      </c>
      <c r="F8" s="18" t="str">
        <f t="shared" si="0"/>
        <v>מבנה עזר - יתרת שטח</v>
      </c>
      <c r="G8" s="19">
        <f t="shared" si="0"/>
        <v>0</v>
      </c>
      <c r="H8" s="20">
        <f t="shared" si="0"/>
        <v>0.5</v>
      </c>
      <c r="I8" s="21">
        <f>H8*G8</f>
        <v>0</v>
      </c>
    </row>
    <row r="9" spans="1:10" x14ac:dyDescent="0.25">
      <c r="A9" s="22" t="s">
        <v>27</v>
      </c>
      <c r="B9" s="23">
        <f>SUM(B4:B8)</f>
        <v>775</v>
      </c>
      <c r="C9" s="24"/>
      <c r="D9" s="25"/>
      <c r="E9" s="91"/>
      <c r="F9" s="22" t="s">
        <v>27</v>
      </c>
      <c r="G9" s="23">
        <f>SUM(G4:G8)</f>
        <v>575</v>
      </c>
      <c r="H9" s="24"/>
      <c r="I9" s="25"/>
    </row>
    <row r="10" spans="1:10" x14ac:dyDescent="0.25">
      <c r="A10" s="26" t="s">
        <v>28</v>
      </c>
      <c r="B10" s="27">
        <f>B2-B9</f>
        <v>1725</v>
      </c>
      <c r="C10" s="28"/>
      <c r="D10" s="29"/>
      <c r="F10" s="26" t="s">
        <v>28</v>
      </c>
      <c r="G10" s="27">
        <f>G2-G9</f>
        <v>2425</v>
      </c>
      <c r="H10" s="28"/>
      <c r="I10" s="29"/>
    </row>
    <row r="11" spans="1:10" x14ac:dyDescent="0.25">
      <c r="A11" s="22" t="s">
        <v>29</v>
      </c>
      <c r="B11" s="23">
        <v>1000</v>
      </c>
      <c r="C11" s="24">
        <v>0.25</v>
      </c>
      <c r="D11" s="25">
        <f>C11*B11</f>
        <v>250</v>
      </c>
      <c r="F11" s="22" t="s">
        <v>29</v>
      </c>
      <c r="G11" s="23">
        <f>B11</f>
        <v>1000</v>
      </c>
      <c r="H11" s="24">
        <v>0.25</v>
      </c>
      <c r="I11" s="25">
        <f>H11*G11</f>
        <v>250</v>
      </c>
    </row>
    <row r="12" spans="1:10" x14ac:dyDescent="0.25">
      <c r="A12" s="18" t="s">
        <v>30</v>
      </c>
      <c r="B12" s="19">
        <f>B10-B11</f>
        <v>725</v>
      </c>
      <c r="C12" s="20">
        <v>0.2</v>
      </c>
      <c r="D12" s="21">
        <f>C12*B12</f>
        <v>145</v>
      </c>
      <c r="F12" s="18" t="s">
        <v>30</v>
      </c>
      <c r="G12" s="19">
        <f>B12</f>
        <v>725</v>
      </c>
      <c r="H12" s="20">
        <v>0.2</v>
      </c>
      <c r="I12" s="21">
        <f>H12*G12</f>
        <v>145</v>
      </c>
    </row>
    <row r="13" spans="1:10" x14ac:dyDescent="0.25">
      <c r="A13" s="18"/>
      <c r="B13" s="19"/>
      <c r="C13" s="20"/>
      <c r="D13" s="21"/>
      <c r="F13" s="18" t="s">
        <v>72</v>
      </c>
      <c r="G13" s="19">
        <v>500</v>
      </c>
      <c r="H13" s="20">
        <v>0.1</v>
      </c>
      <c r="I13" s="21">
        <f>G13*H13</f>
        <v>50</v>
      </c>
    </row>
    <row r="14" spans="1:10" x14ac:dyDescent="0.25">
      <c r="A14" s="30" t="s">
        <v>31</v>
      </c>
      <c r="B14" s="31">
        <f>SUM(B4:B12)</f>
        <v>5000</v>
      </c>
      <c r="C14" s="32"/>
      <c r="D14" s="33">
        <f>SUM(D4:D13)</f>
        <v>997.5</v>
      </c>
      <c r="F14" s="30" t="s">
        <v>31</v>
      </c>
      <c r="G14" s="31">
        <f>SUM(G4:G12)</f>
        <v>5300</v>
      </c>
      <c r="H14" s="32"/>
      <c r="I14" s="33">
        <f>SUM(I4:I13)</f>
        <v>967.5</v>
      </c>
      <c r="J14" s="74"/>
    </row>
    <row r="15" spans="1:10" ht="14.4" thickBot="1" x14ac:dyDescent="0.3">
      <c r="A15" s="34" t="s">
        <v>32</v>
      </c>
      <c r="B15" s="35"/>
      <c r="C15" s="36"/>
      <c r="D15" s="37">
        <f>D14</f>
        <v>997.5</v>
      </c>
      <c r="E15" s="72"/>
      <c r="F15" s="34" t="s">
        <v>32</v>
      </c>
      <c r="G15" s="35"/>
      <c r="H15" s="36"/>
      <c r="I15" s="37">
        <f>I14</f>
        <v>967.5</v>
      </c>
    </row>
    <row r="16" spans="1:10" x14ac:dyDescent="0.25">
      <c r="A16" t="s">
        <v>66</v>
      </c>
      <c r="D16" s="17">
        <v>247000</v>
      </c>
      <c r="F16" t="s">
        <v>66</v>
      </c>
      <c r="I16" s="17">
        <v>263000</v>
      </c>
    </row>
    <row r="17" spans="1:9" ht="14.4" thickBot="1" x14ac:dyDescent="0.3">
      <c r="D17" s="17"/>
      <c r="I17" s="17"/>
    </row>
    <row r="18" spans="1:9" x14ac:dyDescent="0.25">
      <c r="A18" s="10" t="s">
        <v>69</v>
      </c>
      <c r="B18" s="11">
        <v>2500</v>
      </c>
      <c r="C18" s="12" t="s">
        <v>97</v>
      </c>
      <c r="D18" s="13"/>
      <c r="I18" s="17"/>
    </row>
    <row r="19" spans="1:9" x14ac:dyDescent="0.25">
      <c r="A19" s="14"/>
      <c r="B19" s="15" t="s">
        <v>20</v>
      </c>
      <c r="C19" s="15" t="s">
        <v>21</v>
      </c>
      <c r="D19" s="16" t="s">
        <v>22</v>
      </c>
      <c r="I19" s="17"/>
    </row>
    <row r="20" spans="1:9" x14ac:dyDescent="0.25">
      <c r="A20" s="18" t="s">
        <v>55</v>
      </c>
      <c r="B20" s="19">
        <v>220</v>
      </c>
      <c r="C20" s="20">
        <v>1</v>
      </c>
      <c r="D20" s="21">
        <f>C20*B20</f>
        <v>220</v>
      </c>
      <c r="I20" s="17"/>
    </row>
    <row r="21" spans="1:9" x14ac:dyDescent="0.25">
      <c r="A21" s="18" t="s">
        <v>68</v>
      </c>
      <c r="B21" s="19">
        <v>12</v>
      </c>
      <c r="C21" s="20">
        <v>0.9</v>
      </c>
      <c r="D21" s="21">
        <f>C21*B21</f>
        <v>10.8</v>
      </c>
      <c r="I21" s="17"/>
    </row>
    <row r="22" spans="1:9" x14ac:dyDescent="0.25">
      <c r="A22" s="18" t="s">
        <v>250</v>
      </c>
      <c r="B22" s="19">
        <f>500-B20/2-B21/2</f>
        <v>384</v>
      </c>
      <c r="C22" s="20">
        <v>0.25</v>
      </c>
      <c r="D22" s="21">
        <f>C22*B22</f>
        <v>96</v>
      </c>
      <c r="I22" s="17"/>
    </row>
    <row r="23" spans="1:9" x14ac:dyDescent="0.25">
      <c r="A23" s="18"/>
      <c r="B23" s="19"/>
      <c r="C23" s="20"/>
      <c r="D23" s="21"/>
      <c r="I23" s="17"/>
    </row>
    <row r="24" spans="1:9" x14ac:dyDescent="0.25">
      <c r="A24" s="22" t="s">
        <v>70</v>
      </c>
      <c r="B24" s="23">
        <v>-500</v>
      </c>
      <c r="C24" s="24">
        <v>0.2</v>
      </c>
      <c r="D24" s="25">
        <f>B24*C24</f>
        <v>-100</v>
      </c>
      <c r="I24" s="17"/>
    </row>
    <row r="25" spans="1:9" x14ac:dyDescent="0.25">
      <c r="A25" s="18" t="s">
        <v>8</v>
      </c>
      <c r="B25" s="19"/>
      <c r="C25" s="20"/>
      <c r="D25" s="21">
        <f>SUM(D20:D24)</f>
        <v>226.8</v>
      </c>
      <c r="H25">
        <f>876+73</f>
        <v>949</v>
      </c>
      <c r="I25" s="17"/>
    </row>
    <row r="26" spans="1:9" x14ac:dyDescent="0.25">
      <c r="A26" s="30" t="s">
        <v>89</v>
      </c>
      <c r="B26" s="31"/>
      <c r="C26" s="32"/>
      <c r="D26" s="258">
        <f>1/1.05^4</f>
        <v>0.82270247479188197</v>
      </c>
      <c r="H26">
        <f>H25+137</f>
        <v>1086</v>
      </c>
      <c r="I26" s="17"/>
    </row>
    <row r="27" spans="1:9" ht="14.4" thickBot="1" x14ac:dyDescent="0.3">
      <c r="A27" s="34" t="s">
        <v>32</v>
      </c>
      <c r="B27" s="35"/>
      <c r="C27" s="36"/>
      <c r="D27" s="37">
        <f>D25*D26</f>
        <v>186.58892128279885</v>
      </c>
      <c r="I27" s="17"/>
    </row>
    <row r="28" spans="1:9" ht="14.4" thickBot="1" x14ac:dyDescent="0.3">
      <c r="D28" s="17"/>
      <c r="I28" s="17"/>
    </row>
    <row r="29" spans="1:9" ht="14.4" thickBot="1" x14ac:dyDescent="0.3">
      <c r="A29" s="400" t="s">
        <v>201</v>
      </c>
      <c r="B29" s="401"/>
      <c r="C29" s="401"/>
      <c r="D29" s="402"/>
      <c r="I29" s="17"/>
    </row>
    <row r="30" spans="1:9" x14ac:dyDescent="0.25">
      <c r="A30" s="214" t="s">
        <v>202</v>
      </c>
      <c r="B30" s="12"/>
      <c r="C30" s="12"/>
      <c r="D30" s="215">
        <v>174</v>
      </c>
      <c r="I30" s="17"/>
    </row>
    <row r="31" spans="1:9" x14ac:dyDescent="0.25">
      <c r="A31" s="18" t="s">
        <v>203</v>
      </c>
      <c r="D31" s="216">
        <v>160</v>
      </c>
      <c r="I31" s="17"/>
    </row>
    <row r="32" spans="1:9" ht="14.4" thickBot="1" x14ac:dyDescent="0.3">
      <c r="A32" s="101" t="s">
        <v>204</v>
      </c>
      <c r="B32" s="103"/>
      <c r="C32" s="103"/>
      <c r="D32" s="217">
        <f>D30-D31</f>
        <v>14</v>
      </c>
      <c r="I32" s="17"/>
    </row>
    <row r="33" spans="1:25" x14ac:dyDescent="0.25">
      <c r="A33" s="10" t="s">
        <v>205</v>
      </c>
      <c r="B33" s="12"/>
      <c r="C33" s="12"/>
      <c r="D33" s="215">
        <v>240</v>
      </c>
      <c r="I33" s="17"/>
    </row>
    <row r="34" spans="1:25" x14ac:dyDescent="0.25">
      <c r="A34" s="18" t="s">
        <v>203</v>
      </c>
      <c r="D34" s="216">
        <v>160</v>
      </c>
      <c r="I34" s="17"/>
    </row>
    <row r="35" spans="1:25" ht="14.4" thickBot="1" x14ac:dyDescent="0.3">
      <c r="A35" s="101" t="s">
        <v>204</v>
      </c>
      <c r="B35" s="103"/>
      <c r="C35" s="103"/>
      <c r="D35" s="217"/>
      <c r="I35" s="17"/>
    </row>
    <row r="36" spans="1:25" ht="14.4" thickBot="1" x14ac:dyDescent="0.3">
      <c r="A36" s="18"/>
      <c r="D36" s="216"/>
      <c r="I36" s="17"/>
    </row>
    <row r="37" spans="1:25" ht="14.4" thickBot="1" x14ac:dyDescent="0.3">
      <c r="A37" s="218" t="s">
        <v>206</v>
      </c>
      <c r="B37" s="219"/>
      <c r="C37" s="219"/>
      <c r="D37" s="220">
        <f>D32</f>
        <v>14</v>
      </c>
      <c r="I37" s="17"/>
    </row>
    <row r="38" spans="1:25" x14ac:dyDescent="0.25">
      <c r="D38" s="17"/>
      <c r="I38" s="17"/>
    </row>
    <row r="39" spans="1:25" x14ac:dyDescent="0.25">
      <c r="D39" s="17"/>
      <c r="I39" s="17"/>
    </row>
    <row r="40" spans="1:25" x14ac:dyDescent="0.25">
      <c r="A40" t="s">
        <v>207</v>
      </c>
      <c r="D40" s="17">
        <f>D15+D27-D37</f>
        <v>1170.0889212827988</v>
      </c>
      <c r="I40" s="17"/>
    </row>
    <row r="41" spans="1:25" x14ac:dyDescent="0.25">
      <c r="D41" s="17"/>
      <c r="I41" s="17"/>
    </row>
    <row r="42" spans="1:25" x14ac:dyDescent="0.25">
      <c r="D42" s="17"/>
      <c r="I42" s="17"/>
    </row>
    <row r="43" spans="1:25" x14ac:dyDescent="0.25">
      <c r="D43" s="17"/>
      <c r="I43" s="17"/>
    </row>
    <row r="44" spans="1:25" ht="14.4" thickBot="1" x14ac:dyDescent="0.3">
      <c r="D44" s="17"/>
      <c r="I44" s="17"/>
    </row>
    <row r="45" spans="1:25" ht="14.4" thickBot="1" x14ac:dyDescent="0.3">
      <c r="A45" s="39" t="s">
        <v>158</v>
      </c>
      <c r="O45" s="221" t="s">
        <v>219</v>
      </c>
      <c r="P45" s="222" t="s">
        <v>220</v>
      </c>
      <c r="Q45" s="222" t="s">
        <v>221</v>
      </c>
      <c r="R45" s="222" t="s">
        <v>222</v>
      </c>
      <c r="S45" s="223" t="s">
        <v>223</v>
      </c>
      <c r="T45" s="221" t="s">
        <v>224</v>
      </c>
      <c r="U45" s="224" t="s">
        <v>225</v>
      </c>
      <c r="V45" s="221" t="s">
        <v>226</v>
      </c>
      <c r="W45" s="224" t="s">
        <v>227</v>
      </c>
      <c r="X45" s="221" t="s">
        <v>226</v>
      </c>
      <c r="Y45" s="224" t="s">
        <v>215</v>
      </c>
    </row>
    <row r="46" spans="1:25" x14ac:dyDescent="0.25">
      <c r="A46" s="10" t="s">
        <v>51</v>
      </c>
      <c r="B46" s="99">
        <v>350</v>
      </c>
      <c r="C46" s="12" t="s">
        <v>74</v>
      </c>
      <c r="D46" s="13"/>
      <c r="F46" s="10" t="s">
        <v>59</v>
      </c>
      <c r="G46" s="12"/>
      <c r="H46" s="12"/>
      <c r="I46" s="13"/>
      <c r="J46" t="s">
        <v>62</v>
      </c>
      <c r="O46" s="403" t="s">
        <v>228</v>
      </c>
      <c r="P46" s="225" t="s">
        <v>14</v>
      </c>
      <c r="Q46" s="225">
        <v>300</v>
      </c>
      <c r="R46" s="225">
        <v>160</v>
      </c>
      <c r="S46" s="226">
        <f>Q46-R46</f>
        <v>140</v>
      </c>
      <c r="T46" s="227">
        <v>3000</v>
      </c>
      <c r="U46" s="228">
        <f>S46*T46</f>
        <v>420000</v>
      </c>
      <c r="V46" s="227">
        <v>0</v>
      </c>
      <c r="W46" s="228">
        <f>S46*V46</f>
        <v>0</v>
      </c>
      <c r="X46" s="229">
        <v>0</v>
      </c>
      <c r="Y46" s="228">
        <v>0</v>
      </c>
    </row>
    <row r="47" spans="1:25" x14ac:dyDescent="0.25">
      <c r="A47" s="22" t="s">
        <v>52</v>
      </c>
      <c r="B47" s="40">
        <v>220</v>
      </c>
      <c r="C47" s="24">
        <v>1</v>
      </c>
      <c r="D47" s="25">
        <f t="shared" ref="D47:D52" si="1">B47*C47</f>
        <v>220</v>
      </c>
      <c r="F47" s="18" t="str">
        <f>A47</f>
        <v>מגורים עיקרי בהרחבה</v>
      </c>
      <c r="G47">
        <v>160</v>
      </c>
      <c r="H47">
        <v>1</v>
      </c>
      <c r="I47" s="21">
        <f>G47*H47</f>
        <v>160</v>
      </c>
      <c r="J47" s="17"/>
      <c r="K47" s="17"/>
      <c r="O47" s="405"/>
      <c r="P47" s="230" t="s">
        <v>15</v>
      </c>
      <c r="Q47" s="230">
        <v>197</v>
      </c>
      <c r="R47" s="230">
        <v>160</v>
      </c>
      <c r="S47" s="231">
        <f>Q47-R47</f>
        <v>37</v>
      </c>
      <c r="T47" s="232">
        <v>3000</v>
      </c>
      <c r="U47" s="233">
        <f>S47*T47</f>
        <v>111000</v>
      </c>
      <c r="V47" s="232">
        <v>0</v>
      </c>
      <c r="W47" s="233">
        <v>0</v>
      </c>
      <c r="X47" s="234">
        <v>0</v>
      </c>
      <c r="Y47" s="233">
        <v>0</v>
      </c>
    </row>
    <row r="48" spans="1:25" x14ac:dyDescent="0.25">
      <c r="A48" s="18" t="s">
        <v>56</v>
      </c>
      <c r="B48" s="19">
        <v>40</v>
      </c>
      <c r="C48" s="20">
        <v>0.5</v>
      </c>
      <c r="D48" s="21">
        <f t="shared" si="1"/>
        <v>20</v>
      </c>
      <c r="F48" s="18" t="s">
        <v>53</v>
      </c>
      <c r="G48" s="91">
        <f>B46-G47</f>
        <v>190</v>
      </c>
      <c r="H48">
        <v>0.25</v>
      </c>
      <c r="I48" s="21">
        <f>G48*H48</f>
        <v>47.5</v>
      </c>
      <c r="J48" s="17"/>
      <c r="K48" s="17"/>
      <c r="O48" s="405"/>
      <c r="P48" s="230" t="s">
        <v>229</v>
      </c>
      <c r="Q48" s="230">
        <v>130</v>
      </c>
      <c r="R48" s="230">
        <v>0</v>
      </c>
      <c r="S48" s="231">
        <f>Q48-R48</f>
        <v>130</v>
      </c>
      <c r="T48" s="232">
        <v>3000</v>
      </c>
      <c r="U48" s="233">
        <f>S48*T48</f>
        <v>390000</v>
      </c>
      <c r="V48" s="232">
        <v>0</v>
      </c>
      <c r="W48" s="233">
        <v>0</v>
      </c>
      <c r="X48" s="234">
        <v>0</v>
      </c>
      <c r="Y48" s="233">
        <v>0</v>
      </c>
    </row>
    <row r="49" spans="1:25" ht="14.4" thickBot="1" x14ac:dyDescent="0.3">
      <c r="A49" s="18" t="s">
        <v>23</v>
      </c>
      <c r="B49" s="19">
        <v>12</v>
      </c>
      <c r="C49" s="20">
        <v>0.9</v>
      </c>
      <c r="D49" s="21">
        <f t="shared" si="1"/>
        <v>10.8</v>
      </c>
      <c r="F49" s="43" t="s">
        <v>60</v>
      </c>
      <c r="G49" s="108"/>
      <c r="H49" s="108"/>
      <c r="I49" s="109">
        <f>I47+I48</f>
        <v>207.5</v>
      </c>
      <c r="J49" s="17">
        <f>'תחשיב לפי שווי שומה (2)'!B8</f>
        <v>12000</v>
      </c>
      <c r="K49" s="17">
        <f>I49*J49</f>
        <v>2490000</v>
      </c>
      <c r="L49" s="110">
        <v>0.29249999999999998</v>
      </c>
      <c r="M49" s="91">
        <f>K49*L49</f>
        <v>728325</v>
      </c>
      <c r="O49" s="405"/>
      <c r="P49" s="235" t="s">
        <v>230</v>
      </c>
      <c r="Q49" s="235">
        <v>55</v>
      </c>
      <c r="R49" s="235">
        <v>0</v>
      </c>
      <c r="S49" s="236">
        <f>Q49-R49</f>
        <v>55</v>
      </c>
      <c r="T49" s="237">
        <v>3000</v>
      </c>
      <c r="U49" s="238">
        <f>S49*T49</f>
        <v>165000</v>
      </c>
      <c r="V49" s="237">
        <v>0</v>
      </c>
      <c r="W49" s="238">
        <v>0</v>
      </c>
      <c r="X49" s="239">
        <v>0</v>
      </c>
      <c r="Y49" s="238">
        <v>0</v>
      </c>
    </row>
    <row r="50" spans="1:25" ht="15" thickTop="1" thickBot="1" x14ac:dyDescent="0.3">
      <c r="A50" s="18" t="s">
        <v>24</v>
      </c>
      <c r="B50" s="19">
        <v>11</v>
      </c>
      <c r="C50" s="20">
        <v>0.5</v>
      </c>
      <c r="D50" s="21">
        <f t="shared" si="1"/>
        <v>5.5</v>
      </c>
      <c r="F50" s="101" t="s">
        <v>61</v>
      </c>
      <c r="G50" s="103"/>
      <c r="H50" s="103"/>
      <c r="I50" s="104">
        <f>D56-I49</f>
        <v>79.300000000000011</v>
      </c>
      <c r="J50" s="17">
        <f>J49</f>
        <v>12000</v>
      </c>
      <c r="K50" s="17">
        <f>I50*J50</f>
        <v>951600.00000000012</v>
      </c>
      <c r="L50" s="110">
        <v>0.33</v>
      </c>
      <c r="M50" s="91">
        <f>K50*L50</f>
        <v>314028.00000000006</v>
      </c>
      <c r="O50" s="404"/>
      <c r="P50" s="397" t="s">
        <v>8</v>
      </c>
      <c r="Q50" s="398"/>
      <c r="R50" s="399"/>
      <c r="S50" s="240">
        <f>SUM(S46:S49)</f>
        <v>362</v>
      </c>
      <c r="T50" s="241">
        <v>3000</v>
      </c>
      <c r="U50" s="242">
        <f>SUM(U46:U49)</f>
        <v>1086000</v>
      </c>
      <c r="V50" s="241">
        <v>0</v>
      </c>
      <c r="W50" s="242">
        <v>0</v>
      </c>
      <c r="X50" s="243">
        <v>0</v>
      </c>
      <c r="Y50" s="242">
        <v>0</v>
      </c>
    </row>
    <row r="51" spans="1:25" x14ac:dyDescent="0.25">
      <c r="A51" s="18" t="s">
        <v>25</v>
      </c>
      <c r="B51" s="19">
        <v>30</v>
      </c>
      <c r="C51" s="20">
        <v>0.35</v>
      </c>
      <c r="D51" s="21">
        <f t="shared" si="1"/>
        <v>10.5</v>
      </c>
      <c r="M51" s="91">
        <f>SUM(M49:M50)</f>
        <v>1042353</v>
      </c>
      <c r="O51" s="351" t="s">
        <v>231</v>
      </c>
      <c r="P51" s="225" t="s">
        <v>231</v>
      </c>
      <c r="Q51" s="244">
        <v>3.7499999999999999E-2</v>
      </c>
      <c r="R51" s="245"/>
      <c r="S51" s="226">
        <v>375</v>
      </c>
      <c r="T51" s="246">
        <v>240000</v>
      </c>
      <c r="U51" s="247">
        <f>T51</f>
        <v>240000</v>
      </c>
      <c r="V51" s="246">
        <v>0</v>
      </c>
      <c r="W51" s="247">
        <v>0</v>
      </c>
      <c r="X51" s="248">
        <v>0.06</v>
      </c>
      <c r="Y51" s="247">
        <f>U51*6%</f>
        <v>14400</v>
      </c>
    </row>
    <row r="52" spans="1:25" ht="14.4" thickBot="1" x14ac:dyDescent="0.3">
      <c r="A52" s="100" t="s">
        <v>26</v>
      </c>
      <c r="B52" s="71"/>
      <c r="C52" s="28">
        <v>0.5</v>
      </c>
      <c r="D52" s="29">
        <f t="shared" si="1"/>
        <v>0</v>
      </c>
      <c r="O52" s="353"/>
      <c r="P52" s="249" t="s">
        <v>232</v>
      </c>
      <c r="Q52" s="249"/>
      <c r="R52" s="249"/>
      <c r="S52" s="250">
        <f>SUM(S50:S51)</f>
        <v>737</v>
      </c>
      <c r="T52" s="251"/>
      <c r="U52" s="252"/>
      <c r="V52" s="251"/>
      <c r="W52" s="252"/>
      <c r="X52" s="253"/>
      <c r="Y52" s="252">
        <v>0</v>
      </c>
    </row>
    <row r="53" spans="1:25" x14ac:dyDescent="0.25">
      <c r="A53" s="22" t="s">
        <v>27</v>
      </c>
      <c r="B53" s="23">
        <f>SUM(B47:B52)-B48</f>
        <v>273</v>
      </c>
      <c r="C53" s="24"/>
      <c r="D53" s="25"/>
      <c r="O53" s="403" t="s">
        <v>172</v>
      </c>
      <c r="P53" s="225" t="s">
        <v>233</v>
      </c>
      <c r="Q53" s="254"/>
      <c r="R53" s="245"/>
      <c r="S53" s="226">
        <v>-160</v>
      </c>
      <c r="T53" s="227">
        <v>950000</v>
      </c>
      <c r="U53" s="228">
        <f>T53</f>
        <v>950000</v>
      </c>
      <c r="V53" s="227">
        <v>450000</v>
      </c>
      <c r="W53" s="228">
        <f>V53</f>
        <v>450000</v>
      </c>
      <c r="X53" s="229">
        <v>0.06</v>
      </c>
      <c r="Y53" s="228">
        <f>U53*6%</f>
        <v>57000</v>
      </c>
    </row>
    <row r="54" spans="1:25" ht="14.4" thickBot="1" x14ac:dyDescent="0.3">
      <c r="A54" s="18" t="s">
        <v>28</v>
      </c>
      <c r="B54" s="19">
        <f>B46-B53</f>
        <v>77</v>
      </c>
      <c r="C54" s="20"/>
      <c r="D54" s="21"/>
      <c r="O54" s="404"/>
      <c r="P54" s="249" t="s">
        <v>234</v>
      </c>
      <c r="Q54" s="249"/>
      <c r="R54" s="249"/>
      <c r="S54" s="250">
        <f>SUM(S52:S53)</f>
        <v>577</v>
      </c>
      <c r="T54" s="251"/>
      <c r="U54" s="252"/>
      <c r="V54" s="251"/>
      <c r="W54" s="252"/>
      <c r="X54" s="253"/>
      <c r="Y54" s="252"/>
    </row>
    <row r="55" spans="1:25" x14ac:dyDescent="0.25">
      <c r="A55" s="26" t="s">
        <v>29</v>
      </c>
      <c r="B55" s="105">
        <v>80</v>
      </c>
      <c r="C55" s="106">
        <v>0.25</v>
      </c>
      <c r="D55" s="107">
        <f>B55*C55</f>
        <v>20</v>
      </c>
      <c r="O55" s="403" t="s">
        <v>235</v>
      </c>
      <c r="P55" s="225" t="s">
        <v>236</v>
      </c>
      <c r="Q55" s="225"/>
      <c r="R55" s="225"/>
      <c r="S55" s="226">
        <f>-Q47-Q48-Q49</f>
        <v>-382</v>
      </c>
      <c r="T55" s="227"/>
      <c r="U55" s="228"/>
      <c r="V55" s="227"/>
      <c r="W55" s="228">
        <v>0</v>
      </c>
      <c r="X55" s="229">
        <v>0</v>
      </c>
      <c r="Y55" s="228">
        <v>0</v>
      </c>
    </row>
    <row r="56" spans="1:25" ht="14.4" thickBot="1" x14ac:dyDescent="0.3">
      <c r="A56" s="101" t="s">
        <v>31</v>
      </c>
      <c r="B56" s="102"/>
      <c r="C56" s="103"/>
      <c r="D56" s="104">
        <f>SUM(D47:D55)</f>
        <v>286.8</v>
      </c>
      <c r="F56" s="91"/>
      <c r="O56" s="404"/>
      <c r="P56" s="249" t="s">
        <v>237</v>
      </c>
      <c r="Q56" s="249"/>
      <c r="R56" s="249"/>
      <c r="S56" s="250">
        <f>SUM(S54:S55)</f>
        <v>195</v>
      </c>
      <c r="T56" s="251">
        <v>0</v>
      </c>
      <c r="U56" s="252">
        <v>0</v>
      </c>
      <c r="V56" s="251"/>
      <c r="W56" s="252">
        <v>0</v>
      </c>
      <c r="X56" s="253">
        <v>0</v>
      </c>
      <c r="Y56" s="252">
        <v>0</v>
      </c>
    </row>
    <row r="57" spans="1:25" ht="14.4" thickBot="1" x14ac:dyDescent="0.3">
      <c r="A57" s="18" t="s">
        <v>75</v>
      </c>
      <c r="B57" s="19"/>
      <c r="D57" s="91">
        <v>100000</v>
      </c>
      <c r="T57" s="218" t="s">
        <v>225</v>
      </c>
      <c r="U57" s="255">
        <f>SUM(U50:U56)</f>
        <v>2276000</v>
      </c>
      <c r="V57" s="219" t="s">
        <v>238</v>
      </c>
      <c r="W57" s="255">
        <f>SUM(W46:W56)</f>
        <v>450000</v>
      </c>
      <c r="X57" s="219" t="s">
        <v>239</v>
      </c>
      <c r="Y57" s="256">
        <f>SUM(Y50:Y56)</f>
        <v>71400</v>
      </c>
    </row>
    <row r="59" spans="1:25" ht="14.4" thickBot="1" x14ac:dyDescent="0.3">
      <c r="A59" t="s">
        <v>95</v>
      </c>
      <c r="B59">
        <v>2500</v>
      </c>
      <c r="F59" t="str">
        <f>A59</f>
        <v>לפי שומת הררי 2021</v>
      </c>
      <c r="G59">
        <v>3000</v>
      </c>
    </row>
    <row r="60" spans="1:25" x14ac:dyDescent="0.25">
      <c r="A60" s="10" t="s">
        <v>16</v>
      </c>
      <c r="B60" s="41" t="s">
        <v>20</v>
      </c>
      <c r="C60" s="41" t="s">
        <v>21</v>
      </c>
      <c r="D60" s="42" t="s">
        <v>22</v>
      </c>
      <c r="F60" s="10" t="s">
        <v>16</v>
      </c>
      <c r="G60" s="41" t="s">
        <v>20</v>
      </c>
      <c r="H60" s="41" t="s">
        <v>21</v>
      </c>
      <c r="I60" s="42" t="s">
        <v>22</v>
      </c>
    </row>
    <row r="61" spans="1:25" x14ac:dyDescent="0.25">
      <c r="A61" s="18" t="s">
        <v>14</v>
      </c>
      <c r="B61">
        <v>160</v>
      </c>
      <c r="C61">
        <v>1</v>
      </c>
      <c r="D61" s="21">
        <f t="shared" ref="D61:D66" si="2">C61*B61</f>
        <v>160</v>
      </c>
      <c r="F61" s="18" t="s">
        <v>14</v>
      </c>
      <c r="G61">
        <v>160</v>
      </c>
      <c r="H61">
        <v>1</v>
      </c>
      <c r="I61" s="21">
        <f>H61*G61</f>
        <v>160</v>
      </c>
    </row>
    <row r="62" spans="1:25" x14ac:dyDescent="0.25">
      <c r="A62" s="18" t="s">
        <v>15</v>
      </c>
      <c r="B62">
        <v>160</v>
      </c>
      <c r="C62">
        <v>1</v>
      </c>
      <c r="D62" s="21">
        <f t="shared" si="2"/>
        <v>160</v>
      </c>
      <c r="F62" s="18" t="s">
        <v>15</v>
      </c>
      <c r="G62">
        <v>160</v>
      </c>
      <c r="H62">
        <v>1</v>
      </c>
      <c r="I62" s="21">
        <f>H62*G62</f>
        <v>160</v>
      </c>
    </row>
    <row r="63" spans="1:25" x14ac:dyDescent="0.25">
      <c r="A63" s="18" t="s">
        <v>33</v>
      </c>
      <c r="B63">
        <v>55</v>
      </c>
      <c r="C63">
        <v>1</v>
      </c>
      <c r="D63" s="21">
        <f t="shared" si="2"/>
        <v>55</v>
      </c>
      <c r="F63" s="18" t="s">
        <v>33</v>
      </c>
      <c r="G63">
        <v>55</v>
      </c>
      <c r="H63">
        <v>1</v>
      </c>
      <c r="I63" s="21">
        <f>H63*G63</f>
        <v>55</v>
      </c>
    </row>
    <row r="64" spans="1:25" x14ac:dyDescent="0.25">
      <c r="A64" s="18" t="s">
        <v>27</v>
      </c>
      <c r="B64" s="40">
        <f>SUM(B61:B63)</f>
        <v>375</v>
      </c>
      <c r="D64" s="21"/>
      <c r="F64" s="18" t="s">
        <v>27</v>
      </c>
      <c r="G64" s="40">
        <f>SUM(G61:G63)</f>
        <v>375</v>
      </c>
      <c r="I64" s="21"/>
    </row>
    <row r="65" spans="1:9" x14ac:dyDescent="0.25">
      <c r="A65" s="18" t="s">
        <v>34</v>
      </c>
      <c r="B65">
        <v>1125</v>
      </c>
      <c r="C65" s="20">
        <v>0.25</v>
      </c>
      <c r="D65" s="21">
        <f t="shared" si="2"/>
        <v>281.25</v>
      </c>
      <c r="F65" s="18" t="s">
        <v>34</v>
      </c>
      <c r="G65">
        <v>1125</v>
      </c>
      <c r="H65" s="20">
        <v>0.25</v>
      </c>
      <c r="I65" s="21">
        <f>H65*G65</f>
        <v>281.25</v>
      </c>
    </row>
    <row r="66" spans="1:9" x14ac:dyDescent="0.25">
      <c r="A66" s="18" t="s">
        <v>54</v>
      </c>
      <c r="B66">
        <f>B59-B64-B65</f>
        <v>1000</v>
      </c>
      <c r="C66" s="20">
        <v>0.15</v>
      </c>
      <c r="D66" s="21">
        <f t="shared" si="2"/>
        <v>150</v>
      </c>
      <c r="F66" s="18" t="s">
        <v>54</v>
      </c>
      <c r="G66">
        <v>1000</v>
      </c>
      <c r="H66" s="20">
        <v>0.15</v>
      </c>
      <c r="I66" s="21">
        <f>H66*G66</f>
        <v>150</v>
      </c>
    </row>
    <row r="67" spans="1:9" x14ac:dyDescent="0.25">
      <c r="A67" s="18"/>
      <c r="C67" s="20"/>
      <c r="D67" s="21"/>
      <c r="F67" s="18" t="s">
        <v>73</v>
      </c>
      <c r="G67">
        <v>500</v>
      </c>
      <c r="H67" s="20">
        <v>0.1</v>
      </c>
      <c r="I67" s="128">
        <f>G67*H67</f>
        <v>50</v>
      </c>
    </row>
    <row r="68" spans="1:9" x14ac:dyDescent="0.25">
      <c r="A68" s="43" t="s">
        <v>31</v>
      </c>
      <c r="B68" s="40">
        <f>SUM(B61:B66)</f>
        <v>2875</v>
      </c>
      <c r="C68" s="40"/>
      <c r="D68" s="44">
        <f>SUM(D61:D66)</f>
        <v>806.25</v>
      </c>
      <c r="F68" s="43" t="s">
        <v>31</v>
      </c>
      <c r="G68" s="40">
        <f>SUM(G61:G67)</f>
        <v>3375</v>
      </c>
      <c r="H68" s="40"/>
      <c r="I68" s="44">
        <f>SUM(I61:I67)</f>
        <v>856.25</v>
      </c>
    </row>
    <row r="69" spans="1:9" ht="14.4" thickBot="1" x14ac:dyDescent="0.3">
      <c r="A69" s="34" t="s">
        <v>32</v>
      </c>
      <c r="B69" s="45"/>
      <c r="C69" s="45"/>
      <c r="D69" s="46">
        <f>D68</f>
        <v>806.25</v>
      </c>
      <c r="E69" s="72"/>
      <c r="F69" s="34" t="s">
        <v>32</v>
      </c>
      <c r="G69" s="45"/>
      <c r="H69" s="45"/>
      <c r="I69" s="46">
        <f>I68</f>
        <v>856.25</v>
      </c>
    </row>
    <row r="70" spans="1:9" x14ac:dyDescent="0.25">
      <c r="A70" t="s">
        <v>66</v>
      </c>
      <c r="D70" s="17">
        <v>175000</v>
      </c>
      <c r="F70" t="s">
        <v>66</v>
      </c>
      <c r="I70" s="17">
        <v>190000</v>
      </c>
    </row>
    <row r="76" spans="1:9" x14ac:dyDescent="0.25">
      <c r="A76" s="396" t="s">
        <v>299</v>
      </c>
      <c r="B76" s="396"/>
      <c r="C76" s="396"/>
      <c r="D76" s="396"/>
    </row>
    <row r="78" spans="1:9" x14ac:dyDescent="0.25">
      <c r="A78" t="s">
        <v>300</v>
      </c>
      <c r="D78">
        <f>תבעות!I4</f>
        <v>3550</v>
      </c>
    </row>
    <row r="79" spans="1:9" x14ac:dyDescent="0.25">
      <c r="A79" t="s">
        <v>301</v>
      </c>
      <c r="D79">
        <v>0.7</v>
      </c>
    </row>
    <row r="80" spans="1:9" x14ac:dyDescent="0.25">
      <c r="A80" t="s">
        <v>150</v>
      </c>
      <c r="D80">
        <f>D78*D79</f>
        <v>2485</v>
      </c>
    </row>
    <row r="81" spans="1:15" x14ac:dyDescent="0.25">
      <c r="A81" t="s">
        <v>151</v>
      </c>
      <c r="D81">
        <f>D80/2</f>
        <v>1242.5</v>
      </c>
    </row>
    <row r="92" spans="1:15" x14ac:dyDescent="0.25">
      <c r="O92">
        <f>55*1250</f>
        <v>68750</v>
      </c>
    </row>
  </sheetData>
  <mergeCells count="7">
    <mergeCell ref="P50:R50"/>
    <mergeCell ref="O51:O52"/>
    <mergeCell ref="A76:D76"/>
    <mergeCell ref="A29:D29"/>
    <mergeCell ref="O55:O56"/>
    <mergeCell ref="O53:O54"/>
    <mergeCell ref="O46:O5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F41E-AD07-4ECE-B78D-396261D7684A}">
  <dimension ref="D1:J27"/>
  <sheetViews>
    <sheetView rightToLeft="1" workbookViewId="0">
      <selection activeCell="J31" sqref="J31"/>
    </sheetView>
  </sheetViews>
  <sheetFormatPr defaultRowHeight="13.8" x14ac:dyDescent="0.25"/>
  <cols>
    <col min="5" max="5" width="10.8984375" customWidth="1"/>
    <col min="6" max="7" width="10.59765625" customWidth="1"/>
    <col min="8" max="8" width="9.296875" customWidth="1"/>
    <col min="9" max="9" width="10.5" bestFit="1" customWidth="1"/>
    <col min="10" max="10" width="11" customWidth="1"/>
  </cols>
  <sheetData>
    <row r="1" spans="4:10" ht="14.4" thickBot="1" x14ac:dyDescent="0.3"/>
    <row r="2" spans="4:10" x14ac:dyDescent="0.25">
      <c r="D2" s="416" t="s">
        <v>240</v>
      </c>
      <c r="E2" s="414" t="s">
        <v>241</v>
      </c>
      <c r="F2" s="414" t="s">
        <v>242</v>
      </c>
      <c r="G2" s="414" t="s">
        <v>243</v>
      </c>
      <c r="H2" s="414" t="s">
        <v>8</v>
      </c>
      <c r="I2" s="414" t="s">
        <v>49</v>
      </c>
      <c r="J2" s="406" t="s">
        <v>227</v>
      </c>
    </row>
    <row r="3" spans="4:10" ht="14.4" thickBot="1" x14ac:dyDescent="0.3">
      <c r="D3" s="417"/>
      <c r="E3" s="415"/>
      <c r="F3" s="415"/>
      <c r="G3" s="415"/>
      <c r="H3" s="415"/>
      <c r="I3" s="415"/>
      <c r="J3" s="407"/>
    </row>
    <row r="4" spans="4:10" x14ac:dyDescent="0.25">
      <c r="D4" s="408">
        <v>1</v>
      </c>
      <c r="E4" s="410"/>
      <c r="F4" s="410"/>
      <c r="G4" s="410"/>
      <c r="H4" s="410"/>
      <c r="I4" s="410"/>
      <c r="J4" s="412"/>
    </row>
    <row r="5" spans="4:10" x14ac:dyDescent="0.25">
      <c r="D5" s="409"/>
      <c r="E5" s="411"/>
      <c r="F5" s="411"/>
      <c r="G5" s="411"/>
      <c r="H5" s="411"/>
      <c r="I5" s="411"/>
      <c r="J5" s="413"/>
    </row>
    <row r="6" spans="4:10" x14ac:dyDescent="0.25">
      <c r="D6" s="409">
        <v>2</v>
      </c>
      <c r="E6" s="411"/>
      <c r="F6" s="411"/>
      <c r="G6" s="411"/>
      <c r="H6" s="411"/>
      <c r="I6" s="411"/>
      <c r="J6" s="413"/>
    </row>
    <row r="7" spans="4:10" x14ac:dyDescent="0.25">
      <c r="D7" s="409"/>
      <c r="E7" s="411"/>
      <c r="F7" s="411"/>
      <c r="G7" s="411"/>
      <c r="H7" s="411"/>
      <c r="I7" s="411"/>
      <c r="J7" s="413"/>
    </row>
    <row r="8" spans="4:10" x14ac:dyDescent="0.25">
      <c r="D8" s="409">
        <v>3</v>
      </c>
      <c r="E8" s="411"/>
      <c r="F8" s="411"/>
      <c r="G8" s="411"/>
      <c r="H8" s="411"/>
      <c r="I8" s="411"/>
      <c r="J8" s="413"/>
    </row>
    <row r="9" spans="4:10" x14ac:dyDescent="0.25">
      <c r="D9" s="409"/>
      <c r="E9" s="411"/>
      <c r="F9" s="411"/>
      <c r="G9" s="411"/>
      <c r="H9" s="411"/>
      <c r="I9" s="411"/>
      <c r="J9" s="413"/>
    </row>
    <row r="10" spans="4:10" x14ac:dyDescent="0.25">
      <c r="D10" s="409">
        <v>4</v>
      </c>
      <c r="E10" s="411"/>
      <c r="F10" s="411"/>
      <c r="G10" s="411"/>
      <c r="H10" s="411"/>
      <c r="I10" s="411"/>
      <c r="J10" s="413"/>
    </row>
    <row r="11" spans="4:10" x14ac:dyDescent="0.25">
      <c r="D11" s="409"/>
      <c r="E11" s="411"/>
      <c r="F11" s="411"/>
      <c r="G11" s="411"/>
      <c r="H11" s="411"/>
      <c r="I11" s="411"/>
      <c r="J11" s="413"/>
    </row>
    <row r="12" spans="4:10" x14ac:dyDescent="0.25">
      <c r="D12" s="409">
        <v>5</v>
      </c>
      <c r="E12" s="411"/>
      <c r="F12" s="411"/>
      <c r="G12" s="411"/>
      <c r="H12" s="411"/>
      <c r="I12" s="411"/>
      <c r="J12" s="413"/>
    </row>
    <row r="13" spans="4:10" x14ac:dyDescent="0.25">
      <c r="D13" s="409"/>
      <c r="E13" s="411"/>
      <c r="F13" s="411"/>
      <c r="G13" s="411"/>
      <c r="H13" s="411"/>
      <c r="I13" s="411"/>
      <c r="J13" s="413"/>
    </row>
    <row r="14" spans="4:10" x14ac:dyDescent="0.25">
      <c r="D14" s="409">
        <v>6</v>
      </c>
      <c r="E14" s="411"/>
      <c r="F14" s="411"/>
      <c r="G14" s="411"/>
      <c r="H14" s="411"/>
      <c r="I14" s="411"/>
      <c r="J14" s="413"/>
    </row>
    <row r="15" spans="4:10" x14ac:dyDescent="0.25">
      <c r="D15" s="409"/>
      <c r="E15" s="411"/>
      <c r="F15" s="411"/>
      <c r="G15" s="411"/>
      <c r="H15" s="411"/>
      <c r="I15" s="411"/>
      <c r="J15" s="413"/>
    </row>
    <row r="16" spans="4:10" x14ac:dyDescent="0.25">
      <c r="D16" s="409">
        <v>7</v>
      </c>
      <c r="E16" s="411"/>
      <c r="F16" s="411"/>
      <c r="G16" s="411"/>
      <c r="H16" s="411"/>
      <c r="I16" s="411"/>
      <c r="J16" s="413"/>
    </row>
    <row r="17" spans="4:10" x14ac:dyDescent="0.25">
      <c r="D17" s="409"/>
      <c r="E17" s="411"/>
      <c r="F17" s="411"/>
      <c r="G17" s="411"/>
      <c r="H17" s="411"/>
      <c r="I17" s="411"/>
      <c r="J17" s="413"/>
    </row>
    <row r="18" spans="4:10" x14ac:dyDescent="0.25">
      <c r="D18" s="409">
        <v>8</v>
      </c>
      <c r="E18" s="411"/>
      <c r="F18" s="411"/>
      <c r="G18" s="411"/>
      <c r="H18" s="411"/>
      <c r="I18" s="411"/>
      <c r="J18" s="413"/>
    </row>
    <row r="19" spans="4:10" x14ac:dyDescent="0.25">
      <c r="D19" s="409"/>
      <c r="E19" s="411"/>
      <c r="F19" s="411"/>
      <c r="G19" s="411"/>
      <c r="H19" s="411"/>
      <c r="I19" s="411"/>
      <c r="J19" s="413"/>
    </row>
    <row r="20" spans="4:10" x14ac:dyDescent="0.25">
      <c r="D20" s="409">
        <v>9</v>
      </c>
      <c r="E20" s="411"/>
      <c r="F20" s="411"/>
      <c r="G20" s="411"/>
      <c r="H20" s="411"/>
      <c r="I20" s="411"/>
      <c r="J20" s="413"/>
    </row>
    <row r="21" spans="4:10" x14ac:dyDescent="0.25">
      <c r="D21" s="409"/>
      <c r="E21" s="411"/>
      <c r="F21" s="411"/>
      <c r="G21" s="411"/>
      <c r="H21" s="411"/>
      <c r="I21" s="411"/>
      <c r="J21" s="413"/>
    </row>
    <row r="22" spans="4:10" x14ac:dyDescent="0.25">
      <c r="D22" s="409">
        <v>10</v>
      </c>
      <c r="E22" s="411"/>
      <c r="F22" s="411"/>
      <c r="G22" s="411"/>
      <c r="H22" s="411"/>
      <c r="I22" s="411"/>
      <c r="J22" s="413"/>
    </row>
    <row r="23" spans="4:10" x14ac:dyDescent="0.25">
      <c r="D23" s="409"/>
      <c r="E23" s="411"/>
      <c r="F23" s="411"/>
      <c r="G23" s="411"/>
      <c r="H23" s="411"/>
      <c r="I23" s="411"/>
      <c r="J23" s="413"/>
    </row>
    <row r="24" spans="4:10" x14ac:dyDescent="0.25">
      <c r="D24" s="409">
        <v>11</v>
      </c>
      <c r="E24" s="411"/>
      <c r="F24" s="411"/>
      <c r="G24" s="411"/>
      <c r="H24" s="411"/>
      <c r="I24" s="411"/>
      <c r="J24" s="413"/>
    </row>
    <row r="25" spans="4:10" x14ac:dyDescent="0.25">
      <c r="D25" s="409"/>
      <c r="E25" s="411"/>
      <c r="F25" s="411"/>
      <c r="G25" s="411"/>
      <c r="H25" s="411"/>
      <c r="I25" s="411"/>
      <c r="J25" s="413"/>
    </row>
    <row r="26" spans="4:10" x14ac:dyDescent="0.25">
      <c r="D26" s="418" t="s">
        <v>8</v>
      </c>
      <c r="E26" s="419"/>
      <c r="F26" s="419"/>
      <c r="G26" s="420"/>
      <c r="H26" s="411">
        <f>SUM(H4:H25)</f>
        <v>0</v>
      </c>
      <c r="I26" s="411">
        <f t="shared" ref="I26:J26" si="0">SUM(I4:I25)</f>
        <v>0</v>
      </c>
      <c r="J26" s="411">
        <f t="shared" si="0"/>
        <v>0</v>
      </c>
    </row>
    <row r="27" spans="4:10" ht="14.4" thickBot="1" x14ac:dyDescent="0.3">
      <c r="D27" s="421"/>
      <c r="E27" s="422"/>
      <c r="F27" s="422"/>
      <c r="G27" s="423"/>
      <c r="H27" s="424"/>
      <c r="I27" s="424"/>
      <c r="J27" s="424"/>
    </row>
  </sheetData>
  <mergeCells count="88">
    <mergeCell ref="D26:G27"/>
    <mergeCell ref="H26:H27"/>
    <mergeCell ref="I26:I27"/>
    <mergeCell ref="J26:J27"/>
    <mergeCell ref="J22:J23"/>
    <mergeCell ref="D24:D25"/>
    <mergeCell ref="E24:E25"/>
    <mergeCell ref="F24:F25"/>
    <mergeCell ref="G24:G25"/>
    <mergeCell ref="H24:H25"/>
    <mergeCell ref="I24:I25"/>
    <mergeCell ref="J24:J25"/>
    <mergeCell ref="D22:D23"/>
    <mergeCell ref="E22:E23"/>
    <mergeCell ref="F22:F23"/>
    <mergeCell ref="G22:G23"/>
    <mergeCell ref="H22:H23"/>
    <mergeCell ref="I22:I23"/>
    <mergeCell ref="J18:J19"/>
    <mergeCell ref="D20:D21"/>
    <mergeCell ref="E20:E21"/>
    <mergeCell ref="F20:F21"/>
    <mergeCell ref="G20:G21"/>
    <mergeCell ref="H20:H21"/>
    <mergeCell ref="I20:I21"/>
    <mergeCell ref="J20:J21"/>
    <mergeCell ref="D18:D19"/>
    <mergeCell ref="E18:E19"/>
    <mergeCell ref="F18:F19"/>
    <mergeCell ref="G18:G19"/>
    <mergeCell ref="H18:H19"/>
    <mergeCell ref="I18:I19"/>
    <mergeCell ref="J14:J15"/>
    <mergeCell ref="D16:D17"/>
    <mergeCell ref="E16:E17"/>
    <mergeCell ref="F16:F17"/>
    <mergeCell ref="G16:G17"/>
    <mergeCell ref="H16:H17"/>
    <mergeCell ref="I16:I17"/>
    <mergeCell ref="J16:J17"/>
    <mergeCell ref="D14:D15"/>
    <mergeCell ref="E14:E15"/>
    <mergeCell ref="F14:F15"/>
    <mergeCell ref="G14:G15"/>
    <mergeCell ref="H14:H15"/>
    <mergeCell ref="I14:I15"/>
    <mergeCell ref="J10:J11"/>
    <mergeCell ref="D12:D13"/>
    <mergeCell ref="E12:E13"/>
    <mergeCell ref="F12:F13"/>
    <mergeCell ref="G12:G13"/>
    <mergeCell ref="H12:H13"/>
    <mergeCell ref="I12:I13"/>
    <mergeCell ref="J12:J13"/>
    <mergeCell ref="D10:D11"/>
    <mergeCell ref="E10:E11"/>
    <mergeCell ref="F10:F11"/>
    <mergeCell ref="G10:G11"/>
    <mergeCell ref="H10:H11"/>
    <mergeCell ref="I10:I11"/>
    <mergeCell ref="J6:J7"/>
    <mergeCell ref="D8:D9"/>
    <mergeCell ref="E8:E9"/>
    <mergeCell ref="F8:F9"/>
    <mergeCell ref="G8:G9"/>
    <mergeCell ref="H8:H9"/>
    <mergeCell ref="I8:I9"/>
    <mergeCell ref="J8:J9"/>
    <mergeCell ref="D6:D7"/>
    <mergeCell ref="E6:E7"/>
    <mergeCell ref="F6:F7"/>
    <mergeCell ref="G6:G7"/>
    <mergeCell ref="H6:H7"/>
    <mergeCell ref="I6:I7"/>
    <mergeCell ref="J2:J3"/>
    <mergeCell ref="D4:D5"/>
    <mergeCell ref="E4:E5"/>
    <mergeCell ref="F4:F5"/>
    <mergeCell ref="G4:G5"/>
    <mergeCell ref="H4:H5"/>
    <mergeCell ref="I4:I5"/>
    <mergeCell ref="J4:J5"/>
    <mergeCell ref="H2:H3"/>
    <mergeCell ref="D2:D3"/>
    <mergeCell ref="E2:E3"/>
    <mergeCell ref="F2:F3"/>
    <mergeCell ref="G2:G3"/>
    <mergeCell ref="I2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N52"/>
  <sheetViews>
    <sheetView rightToLeft="1" topLeftCell="A3" zoomScale="85" zoomScaleNormal="85" workbookViewId="0">
      <selection activeCell="C8" sqref="C8"/>
    </sheetView>
  </sheetViews>
  <sheetFormatPr defaultRowHeight="13.8" x14ac:dyDescent="0.25"/>
  <cols>
    <col min="1" max="1" width="5.296875" customWidth="1"/>
    <col min="2" max="2" width="12.5" customWidth="1"/>
    <col min="3" max="3" width="9.5" bestFit="1" customWidth="1"/>
    <col min="4" max="4" width="10.296875" style="17" customWidth="1"/>
    <col min="5" max="5" width="10.796875" style="17" bestFit="1" customWidth="1"/>
    <col min="6" max="6" width="8.296875" style="17" bestFit="1" customWidth="1"/>
    <col min="7" max="7" width="10" bestFit="1" customWidth="1"/>
    <col min="8" max="8" width="14.59765625" bestFit="1" customWidth="1"/>
    <col min="9" max="9" width="12.09765625" bestFit="1" customWidth="1"/>
    <col min="10" max="10" width="14.59765625" bestFit="1" customWidth="1"/>
    <col min="11" max="11" width="19.09765625" bestFit="1" customWidth="1"/>
    <col min="13" max="13" width="22" bestFit="1" customWidth="1"/>
  </cols>
  <sheetData>
    <row r="2" spans="2:13" ht="15.6" x14ac:dyDescent="0.4">
      <c r="B2" s="39" t="s">
        <v>154</v>
      </c>
      <c r="C2" s="39"/>
      <c r="D2" s="131"/>
    </row>
    <row r="3" spans="2:13" x14ac:dyDescent="0.25">
      <c r="B3" t="s">
        <v>94</v>
      </c>
      <c r="C3" s="149"/>
      <c r="D3" s="149"/>
      <c r="G3" s="190"/>
      <c r="H3" s="149"/>
      <c r="I3" s="150"/>
      <c r="J3" s="150"/>
    </row>
    <row r="4" spans="2:13" x14ac:dyDescent="0.25">
      <c r="B4" t="s">
        <v>128</v>
      </c>
      <c r="C4" s="187"/>
      <c r="D4" s="38"/>
      <c r="G4" s="190"/>
      <c r="J4" s="150"/>
    </row>
    <row r="5" spans="2:13" x14ac:dyDescent="0.25">
      <c r="B5" t="s">
        <v>129</v>
      </c>
    </row>
    <row r="6" spans="2:13" x14ac:dyDescent="0.25">
      <c r="B6" t="s">
        <v>130</v>
      </c>
      <c r="C6" s="150"/>
      <c r="D6" s="149"/>
    </row>
    <row r="7" spans="2:13" x14ac:dyDescent="0.25">
      <c r="B7" t="s">
        <v>144</v>
      </c>
      <c r="C7" s="150">
        <f>M24</f>
        <v>12000</v>
      </c>
    </row>
    <row r="8" spans="2:13" x14ac:dyDescent="0.25">
      <c r="C8" s="150"/>
    </row>
    <row r="9" spans="2:13" x14ac:dyDescent="0.25">
      <c r="B9" s="39" t="s">
        <v>131</v>
      </c>
      <c r="C9" s="151"/>
    </row>
    <row r="10" spans="2:13" ht="27.6" x14ac:dyDescent="0.4">
      <c r="B10" s="39" t="s">
        <v>133</v>
      </c>
      <c r="C10" s="39" t="s">
        <v>132</v>
      </c>
      <c r="D10" s="131" t="s">
        <v>134</v>
      </c>
      <c r="E10" s="131" t="s">
        <v>135</v>
      </c>
      <c r="F10" s="131" t="s">
        <v>136</v>
      </c>
      <c r="G10" s="131" t="s">
        <v>137</v>
      </c>
      <c r="H10" s="189" t="s">
        <v>138</v>
      </c>
      <c r="I10" s="131" t="s">
        <v>139</v>
      </c>
      <c r="J10" s="131" t="s">
        <v>140</v>
      </c>
      <c r="K10" s="131" t="s">
        <v>141</v>
      </c>
      <c r="L10" s="131" t="s">
        <v>142</v>
      </c>
      <c r="M10" s="131" t="s">
        <v>143</v>
      </c>
    </row>
    <row r="11" spans="2:13" x14ac:dyDescent="0.25">
      <c r="B11" s="188"/>
    </row>
    <row r="13" spans="2:13" ht="14.4" thickBot="1" x14ac:dyDescent="0.3">
      <c r="C13" s="150"/>
    </row>
    <row r="14" spans="2:13" ht="14.4" thickBot="1" x14ac:dyDescent="0.3">
      <c r="C14" s="150"/>
      <c r="D14" s="427" t="s">
        <v>251</v>
      </c>
      <c r="E14" s="428"/>
      <c r="F14" s="428"/>
      <c r="G14" s="428"/>
      <c r="H14" s="428"/>
      <c r="I14" s="428"/>
      <c r="J14" s="428"/>
      <c r="K14" s="428"/>
      <c r="L14" s="428"/>
      <c r="M14" s="429"/>
    </row>
    <row r="15" spans="2:13" x14ac:dyDescent="0.25">
      <c r="B15" s="39"/>
      <c r="D15" s="259" t="s">
        <v>252</v>
      </c>
      <c r="E15" s="260" t="s">
        <v>253</v>
      </c>
      <c r="F15" s="260" t="s">
        <v>254</v>
      </c>
      <c r="G15" s="260" t="s">
        <v>123</v>
      </c>
      <c r="H15" s="260" t="s">
        <v>255</v>
      </c>
      <c r="I15" s="261" t="s">
        <v>256</v>
      </c>
      <c r="J15" s="260" t="s">
        <v>66</v>
      </c>
      <c r="K15" s="260" t="s">
        <v>257</v>
      </c>
      <c r="L15" s="260" t="s">
        <v>258</v>
      </c>
      <c r="M15" s="262" t="s">
        <v>259</v>
      </c>
    </row>
    <row r="16" spans="2:13" x14ac:dyDescent="0.25">
      <c r="C16" s="149"/>
      <c r="D16" s="263">
        <v>1</v>
      </c>
      <c r="E16" s="264" t="s">
        <v>260</v>
      </c>
      <c r="F16" s="265">
        <v>526</v>
      </c>
      <c r="G16" s="265" t="s">
        <v>261</v>
      </c>
      <c r="H16" s="266">
        <v>3900770</v>
      </c>
      <c r="I16" s="266">
        <f>H16*1.18</f>
        <v>4602908.5999999996</v>
      </c>
      <c r="J16" s="266">
        <v>148086</v>
      </c>
      <c r="K16" s="266">
        <f>I16+J16</f>
        <v>4750994.5999999996</v>
      </c>
      <c r="L16" s="257">
        <v>499</v>
      </c>
      <c r="M16" s="267">
        <f>G38</f>
        <v>14468.198248953177</v>
      </c>
    </row>
    <row r="17" spans="3:14" x14ac:dyDescent="0.25">
      <c r="C17" s="17"/>
      <c r="D17" s="181">
        <v>2</v>
      </c>
      <c r="E17" s="264" t="s">
        <v>262</v>
      </c>
      <c r="F17" s="265">
        <v>529</v>
      </c>
      <c r="G17" s="265" t="s">
        <v>261</v>
      </c>
      <c r="H17" s="266">
        <v>3311111</v>
      </c>
      <c r="I17" s="266">
        <f t="shared" ref="I17:I19" si="0">H17*1.18</f>
        <v>3907110.98</v>
      </c>
      <c r="J17" s="266">
        <v>148086</v>
      </c>
      <c r="K17" s="266">
        <f t="shared" ref="K17:K19" si="1">I17+J17</f>
        <v>4055196.98</v>
      </c>
      <c r="L17" s="257">
        <v>499</v>
      </c>
      <c r="M17" s="267">
        <f>M38</f>
        <v>12349.286577845451</v>
      </c>
    </row>
    <row r="18" spans="3:14" x14ac:dyDescent="0.25">
      <c r="D18" s="268">
        <v>3</v>
      </c>
      <c r="E18" s="264" t="s">
        <v>263</v>
      </c>
      <c r="F18" s="265" t="s">
        <v>264</v>
      </c>
      <c r="G18" s="265" t="s">
        <v>261</v>
      </c>
      <c r="H18" s="266">
        <v>3350000</v>
      </c>
      <c r="I18" s="266">
        <f t="shared" si="0"/>
        <v>3953000</v>
      </c>
      <c r="J18" s="266">
        <v>148086</v>
      </c>
      <c r="K18" s="266">
        <f t="shared" si="1"/>
        <v>4101086</v>
      </c>
      <c r="L18" s="257">
        <v>506</v>
      </c>
      <c r="M18" s="267">
        <f>G51</f>
        <v>12422.827716773949</v>
      </c>
    </row>
    <row r="19" spans="3:14" x14ac:dyDescent="0.25">
      <c r="C19" s="150"/>
      <c r="D19" s="269">
        <v>4</v>
      </c>
      <c r="E19" s="264" t="s">
        <v>265</v>
      </c>
      <c r="F19" s="265">
        <v>623</v>
      </c>
      <c r="G19" s="265" t="s">
        <v>261</v>
      </c>
      <c r="H19" s="266">
        <v>3701555</v>
      </c>
      <c r="I19" s="266">
        <f t="shared" si="0"/>
        <v>4367834.8999999994</v>
      </c>
      <c r="J19" s="266">
        <v>148086</v>
      </c>
      <c r="K19" s="266">
        <f t="shared" si="1"/>
        <v>4515920.8999999994</v>
      </c>
      <c r="L19" s="257">
        <v>512</v>
      </c>
      <c r="M19" s="267">
        <f>M51</f>
        <v>13617.552657369015</v>
      </c>
    </row>
    <row r="20" spans="3:14" x14ac:dyDescent="0.25">
      <c r="C20" s="150"/>
      <c r="D20" s="430" t="s">
        <v>266</v>
      </c>
      <c r="E20" s="411"/>
      <c r="F20" s="411"/>
      <c r="G20" s="411"/>
      <c r="H20" s="411"/>
      <c r="I20" s="411"/>
      <c r="J20" s="411"/>
      <c r="K20" s="411"/>
      <c r="L20" s="411"/>
      <c r="M20" s="267">
        <f>AVERAGE(M16:M19)</f>
        <v>13214.466300235397</v>
      </c>
    </row>
    <row r="21" spans="3:14" x14ac:dyDescent="0.25">
      <c r="C21" s="150"/>
      <c r="D21" s="430" t="s">
        <v>267</v>
      </c>
      <c r="E21" s="411"/>
      <c r="F21" s="411"/>
      <c r="G21" s="411"/>
      <c r="H21" s="411"/>
      <c r="I21" s="411"/>
      <c r="J21" s="411"/>
      <c r="K21" s="411"/>
      <c r="L21" s="411"/>
      <c r="M21" s="267">
        <f>M20/0.97</f>
        <v>13623.161134263297</v>
      </c>
    </row>
    <row r="22" spans="3:14" x14ac:dyDescent="0.25">
      <c r="D22" s="430" t="s">
        <v>268</v>
      </c>
      <c r="E22" s="411"/>
      <c r="F22" s="411"/>
      <c r="G22" s="411"/>
      <c r="H22" s="411"/>
      <c r="I22" s="411"/>
      <c r="J22" s="411"/>
      <c r="K22" s="411"/>
      <c r="L22" s="411"/>
      <c r="M22" s="231">
        <v>0.85</v>
      </c>
    </row>
    <row r="23" spans="3:14" x14ac:dyDescent="0.25">
      <c r="D23" s="430" t="s">
        <v>269</v>
      </c>
      <c r="E23" s="411"/>
      <c r="F23" s="411"/>
      <c r="G23" s="411"/>
      <c r="H23" s="411"/>
      <c r="I23" s="411"/>
      <c r="J23" s="411"/>
      <c r="K23" s="411"/>
      <c r="L23" s="411"/>
      <c r="M23" s="270">
        <f>M21*M22</f>
        <v>11579.686964123803</v>
      </c>
    </row>
    <row r="24" spans="3:14" ht="14.4" thickBot="1" x14ac:dyDescent="0.3">
      <c r="D24" s="425" t="s">
        <v>270</v>
      </c>
      <c r="E24" s="426"/>
      <c r="F24" s="426"/>
      <c r="G24" s="426"/>
      <c r="H24" s="426"/>
      <c r="I24" s="426"/>
      <c r="J24" s="426"/>
      <c r="K24" s="426"/>
      <c r="L24" s="426"/>
      <c r="M24" s="271">
        <v>12000</v>
      </c>
    </row>
    <row r="25" spans="3:14" x14ac:dyDescent="0.25">
      <c r="D25"/>
      <c r="G25" s="17"/>
      <c r="H25" s="17"/>
    </row>
    <row r="26" spans="3:14" x14ac:dyDescent="0.25">
      <c r="D26"/>
      <c r="G26" s="17"/>
      <c r="H26" s="17"/>
    </row>
    <row r="27" spans="3:14" x14ac:dyDescent="0.25">
      <c r="D27"/>
      <c r="G27" s="17"/>
      <c r="H27" s="17"/>
    </row>
    <row r="28" spans="3:14" x14ac:dyDescent="0.25">
      <c r="D28" s="431" t="s">
        <v>271</v>
      </c>
      <c r="E28" s="431"/>
      <c r="F28" s="431"/>
      <c r="G28" s="431"/>
      <c r="H28" s="272" t="s">
        <v>272</v>
      </c>
      <c r="J28" s="432" t="s">
        <v>273</v>
      </c>
      <c r="K28" s="432"/>
      <c r="L28" s="432"/>
      <c r="M28" s="432"/>
      <c r="N28" s="272" t="s">
        <v>272</v>
      </c>
    </row>
    <row r="29" spans="3:14" x14ac:dyDescent="0.25">
      <c r="D29" s="230" t="s">
        <v>274</v>
      </c>
      <c r="E29" s="264" t="s">
        <v>275</v>
      </c>
      <c r="F29" s="264" t="s">
        <v>21</v>
      </c>
      <c r="G29" s="264" t="s">
        <v>8</v>
      </c>
      <c r="H29" s="264">
        <f>L16</f>
        <v>499</v>
      </c>
      <c r="J29" s="230" t="s">
        <v>274</v>
      </c>
      <c r="K29" s="264" t="s">
        <v>275</v>
      </c>
      <c r="L29" s="264" t="s">
        <v>21</v>
      </c>
      <c r="M29" s="264" t="s">
        <v>8</v>
      </c>
      <c r="N29" s="264">
        <f>L17</f>
        <v>499</v>
      </c>
    </row>
    <row r="30" spans="3:14" x14ac:dyDescent="0.25">
      <c r="D30" s="230" t="s">
        <v>55</v>
      </c>
      <c r="E30" s="264">
        <v>220</v>
      </c>
      <c r="F30" s="264">
        <v>1</v>
      </c>
      <c r="G30" s="264">
        <f>F30*E30</f>
        <v>220</v>
      </c>
      <c r="H30" s="17"/>
      <c r="J30" s="230" t="s">
        <v>55</v>
      </c>
      <c r="K30" s="264">
        <v>220</v>
      </c>
      <c r="L30" s="264">
        <v>1</v>
      </c>
      <c r="M30" s="264">
        <f>L30*K30</f>
        <v>220</v>
      </c>
      <c r="N30" s="17"/>
    </row>
    <row r="31" spans="3:14" x14ac:dyDescent="0.25">
      <c r="D31" s="230" t="s">
        <v>68</v>
      </c>
      <c r="E31" s="273">
        <v>7.5</v>
      </c>
      <c r="F31" s="264">
        <v>0.9</v>
      </c>
      <c r="G31" s="264">
        <f t="shared" ref="G31:G35" si="2">F31*E31</f>
        <v>6.75</v>
      </c>
      <c r="H31" s="17"/>
      <c r="J31" s="230" t="s">
        <v>68</v>
      </c>
      <c r="K31" s="273">
        <v>7.5</v>
      </c>
      <c r="L31" s="264">
        <v>0.9</v>
      </c>
      <c r="M31" s="264">
        <f t="shared" ref="M31:M33" si="3">L31*K31</f>
        <v>6.75</v>
      </c>
      <c r="N31" s="17"/>
    </row>
    <row r="32" spans="3:14" x14ac:dyDescent="0.25">
      <c r="D32" s="230" t="s">
        <v>18</v>
      </c>
      <c r="E32" s="264">
        <v>15</v>
      </c>
      <c r="F32" s="264">
        <v>0.5</v>
      </c>
      <c r="G32" s="264">
        <f t="shared" si="2"/>
        <v>7.5</v>
      </c>
      <c r="H32" s="17"/>
      <c r="J32" s="230" t="s">
        <v>18</v>
      </c>
      <c r="K32" s="264">
        <v>15</v>
      </c>
      <c r="L32" s="264">
        <v>0.5</v>
      </c>
      <c r="M32" s="264">
        <f t="shared" si="3"/>
        <v>7.5</v>
      </c>
      <c r="N32" s="17"/>
    </row>
    <row r="33" spans="4:14" x14ac:dyDescent="0.25">
      <c r="D33" s="230" t="s">
        <v>276</v>
      </c>
      <c r="E33" s="264">
        <v>25</v>
      </c>
      <c r="F33" s="264">
        <v>0.35</v>
      </c>
      <c r="G33" s="264">
        <f t="shared" si="2"/>
        <v>8.75</v>
      </c>
      <c r="H33" s="17"/>
      <c r="J33" s="230" t="s">
        <v>276</v>
      </c>
      <c r="K33" s="264">
        <v>25</v>
      </c>
      <c r="L33" s="264">
        <v>0.35</v>
      </c>
      <c r="M33" s="264">
        <f t="shared" si="3"/>
        <v>8.75</v>
      </c>
      <c r="N33" s="17"/>
    </row>
    <row r="34" spans="4:14" x14ac:dyDescent="0.25">
      <c r="D34" s="230" t="s">
        <v>277</v>
      </c>
      <c r="E34" s="264">
        <f>E30/2+E31+E32+E33</f>
        <v>157.5</v>
      </c>
      <c r="F34" s="264" t="s">
        <v>214</v>
      </c>
      <c r="G34" s="264">
        <v>0</v>
      </c>
      <c r="H34" s="17"/>
      <c r="J34" s="230" t="s">
        <v>277</v>
      </c>
      <c r="K34" s="264">
        <f>K30/2+K31+K32+K33</f>
        <v>157.5</v>
      </c>
      <c r="L34" s="264" t="s">
        <v>214</v>
      </c>
      <c r="M34" s="264">
        <v>0</v>
      </c>
      <c r="N34" s="17"/>
    </row>
    <row r="35" spans="4:14" x14ac:dyDescent="0.25">
      <c r="D35" s="230" t="s">
        <v>53</v>
      </c>
      <c r="E35" s="264">
        <f>H29-E34</f>
        <v>341.5</v>
      </c>
      <c r="F35" s="264">
        <v>0.25</v>
      </c>
      <c r="G35" s="264">
        <f t="shared" si="2"/>
        <v>85.375</v>
      </c>
      <c r="H35" s="17"/>
      <c r="J35" s="230" t="s">
        <v>53</v>
      </c>
      <c r="K35" s="264">
        <f>N29-K34</f>
        <v>341.5</v>
      </c>
      <c r="L35" s="264">
        <v>0.25</v>
      </c>
      <c r="M35" s="264">
        <f t="shared" ref="M35" si="4">L35*K35</f>
        <v>85.375</v>
      </c>
      <c r="N35" s="17"/>
    </row>
    <row r="36" spans="4:14" x14ac:dyDescent="0.25">
      <c r="D36" s="411" t="s">
        <v>278</v>
      </c>
      <c r="E36" s="411"/>
      <c r="F36" s="411"/>
      <c r="G36" s="264">
        <f>SUM(G30:G35)</f>
        <v>328.375</v>
      </c>
      <c r="H36" s="17"/>
      <c r="J36" s="411" t="s">
        <v>278</v>
      </c>
      <c r="K36" s="411"/>
      <c r="L36" s="411"/>
      <c r="M36" s="264">
        <f>SUM(M30:M35)</f>
        <v>328.375</v>
      </c>
      <c r="N36" s="17"/>
    </row>
    <row r="37" spans="4:14" x14ac:dyDescent="0.25">
      <c r="D37" s="411" t="s">
        <v>279</v>
      </c>
      <c r="E37" s="411"/>
      <c r="F37" s="411"/>
      <c r="G37" s="264">
        <f>K16</f>
        <v>4750994.5999999996</v>
      </c>
      <c r="H37" s="17"/>
      <c r="J37" s="411" t="s">
        <v>279</v>
      </c>
      <c r="K37" s="411"/>
      <c r="L37" s="411"/>
      <c r="M37" s="264">
        <f>K17</f>
        <v>4055196.98</v>
      </c>
      <c r="N37" s="17"/>
    </row>
    <row r="38" spans="4:14" x14ac:dyDescent="0.25">
      <c r="D38" s="433" t="s">
        <v>259</v>
      </c>
      <c r="E38" s="433"/>
      <c r="F38" s="433"/>
      <c r="G38" s="264">
        <f>G37/G36</f>
        <v>14468.198248953177</v>
      </c>
      <c r="H38" s="17"/>
      <c r="J38" s="433" t="s">
        <v>259</v>
      </c>
      <c r="K38" s="433"/>
      <c r="L38" s="433"/>
      <c r="M38" s="264">
        <f>M37/M36</f>
        <v>12349.286577845451</v>
      </c>
      <c r="N38" s="17"/>
    </row>
    <row r="39" spans="4:14" x14ac:dyDescent="0.25">
      <c r="D39"/>
      <c r="G39" s="17"/>
      <c r="H39" s="17"/>
    </row>
    <row r="40" spans="4:14" x14ac:dyDescent="0.25">
      <c r="D40"/>
      <c r="G40" s="17"/>
      <c r="H40" s="17"/>
    </row>
    <row r="41" spans="4:14" x14ac:dyDescent="0.25">
      <c r="D41" s="434" t="s">
        <v>280</v>
      </c>
      <c r="E41" s="434"/>
      <c r="F41" s="434"/>
      <c r="G41" s="434"/>
      <c r="H41" s="272" t="s">
        <v>272</v>
      </c>
      <c r="J41" s="435" t="s">
        <v>281</v>
      </c>
      <c r="K41" s="435"/>
      <c r="L41" s="435"/>
      <c r="M41" s="435"/>
      <c r="N41" s="272" t="s">
        <v>272</v>
      </c>
    </row>
    <row r="42" spans="4:14" x14ac:dyDescent="0.25">
      <c r="D42" s="230" t="s">
        <v>274</v>
      </c>
      <c r="E42" s="264" t="s">
        <v>275</v>
      </c>
      <c r="F42" s="264" t="s">
        <v>21</v>
      </c>
      <c r="G42" s="264" t="s">
        <v>8</v>
      </c>
      <c r="H42" s="264">
        <f>L18</f>
        <v>506</v>
      </c>
      <c r="J42" s="230" t="s">
        <v>274</v>
      </c>
      <c r="K42" s="264" t="s">
        <v>275</v>
      </c>
      <c r="L42" s="264" t="s">
        <v>21</v>
      </c>
      <c r="M42" s="264" t="s">
        <v>8</v>
      </c>
      <c r="N42" s="264">
        <f>L19</f>
        <v>512</v>
      </c>
    </row>
    <row r="43" spans="4:14" x14ac:dyDescent="0.25">
      <c r="D43" s="230" t="s">
        <v>55</v>
      </c>
      <c r="E43" s="264">
        <v>220</v>
      </c>
      <c r="F43" s="264">
        <v>1</v>
      </c>
      <c r="G43" s="264">
        <f>F43*E43</f>
        <v>220</v>
      </c>
      <c r="H43" s="17"/>
      <c r="J43" s="230" t="s">
        <v>55</v>
      </c>
      <c r="K43" s="264">
        <v>220</v>
      </c>
      <c r="L43" s="264">
        <v>1</v>
      </c>
      <c r="M43" s="264">
        <f>L43*K43</f>
        <v>220</v>
      </c>
      <c r="N43" s="17"/>
    </row>
    <row r="44" spans="4:14" x14ac:dyDescent="0.25">
      <c r="D44" s="230" t="s">
        <v>68</v>
      </c>
      <c r="E44" s="273">
        <v>7.5</v>
      </c>
      <c r="F44" s="264">
        <v>0.9</v>
      </c>
      <c r="G44" s="264">
        <f t="shared" ref="G44:G46" si="5">F44*E44</f>
        <v>6.75</v>
      </c>
      <c r="H44" s="17"/>
      <c r="J44" s="230" t="s">
        <v>68</v>
      </c>
      <c r="K44" s="273">
        <v>7.5</v>
      </c>
      <c r="L44" s="264">
        <v>0.9</v>
      </c>
      <c r="M44" s="264">
        <f t="shared" ref="M44:M46" si="6">L44*K44</f>
        <v>6.75</v>
      </c>
      <c r="N44" s="17"/>
    </row>
    <row r="45" spans="4:14" x14ac:dyDescent="0.25">
      <c r="D45" s="230" t="s">
        <v>18</v>
      </c>
      <c r="E45" s="264">
        <v>15</v>
      </c>
      <c r="F45" s="264">
        <v>0.5</v>
      </c>
      <c r="G45" s="264">
        <f t="shared" si="5"/>
        <v>7.5</v>
      </c>
      <c r="H45" s="17"/>
      <c r="J45" s="230" t="s">
        <v>18</v>
      </c>
      <c r="K45" s="264">
        <v>15</v>
      </c>
      <c r="L45" s="264">
        <v>0.5</v>
      </c>
      <c r="M45" s="264">
        <f t="shared" si="6"/>
        <v>7.5</v>
      </c>
      <c r="N45" s="17"/>
    </row>
    <row r="46" spans="4:14" x14ac:dyDescent="0.25">
      <c r="D46" s="230" t="s">
        <v>276</v>
      </c>
      <c r="E46" s="264">
        <v>25</v>
      </c>
      <c r="F46" s="264">
        <v>0.35</v>
      </c>
      <c r="G46" s="264">
        <f t="shared" si="5"/>
        <v>8.75</v>
      </c>
      <c r="H46" s="17"/>
      <c r="J46" s="230" t="s">
        <v>276</v>
      </c>
      <c r="K46" s="264">
        <v>25</v>
      </c>
      <c r="L46" s="264">
        <v>0.35</v>
      </c>
      <c r="M46" s="264">
        <f t="shared" si="6"/>
        <v>8.75</v>
      </c>
      <c r="N46" s="17"/>
    </row>
    <row r="47" spans="4:14" x14ac:dyDescent="0.25">
      <c r="D47" s="230" t="s">
        <v>277</v>
      </c>
      <c r="E47" s="264">
        <f>E43/2+E44+E45+E46</f>
        <v>157.5</v>
      </c>
      <c r="F47" s="264" t="s">
        <v>214</v>
      </c>
      <c r="G47" s="264">
        <v>0</v>
      </c>
      <c r="H47" s="17"/>
      <c r="J47" s="230" t="s">
        <v>277</v>
      </c>
      <c r="K47" s="264">
        <f>K43/2+K44+K45+K46</f>
        <v>157.5</v>
      </c>
      <c r="L47" s="264" t="s">
        <v>214</v>
      </c>
      <c r="M47" s="264">
        <v>0</v>
      </c>
      <c r="N47" s="17"/>
    </row>
    <row r="48" spans="4:14" x14ac:dyDescent="0.25">
      <c r="D48" s="230" t="s">
        <v>53</v>
      </c>
      <c r="E48" s="264">
        <f>H42-E47</f>
        <v>348.5</v>
      </c>
      <c r="F48" s="264">
        <v>0.25</v>
      </c>
      <c r="G48" s="264">
        <f t="shared" ref="G48" si="7">F48*E48</f>
        <v>87.125</v>
      </c>
      <c r="H48" s="17"/>
      <c r="J48" s="230" t="s">
        <v>53</v>
      </c>
      <c r="K48" s="264">
        <f>N42-K47</f>
        <v>354.5</v>
      </c>
      <c r="L48" s="264">
        <v>0.25</v>
      </c>
      <c r="M48" s="264">
        <f t="shared" ref="M48" si="8">L48*K48</f>
        <v>88.625</v>
      </c>
      <c r="N48" s="17"/>
    </row>
    <row r="49" spans="4:14" x14ac:dyDescent="0.25">
      <c r="D49" s="411" t="s">
        <v>278</v>
      </c>
      <c r="E49" s="411"/>
      <c r="F49" s="411"/>
      <c r="G49" s="264">
        <f>SUM(G43:G48)</f>
        <v>330.125</v>
      </c>
      <c r="H49" s="17"/>
      <c r="J49" s="411" t="s">
        <v>278</v>
      </c>
      <c r="K49" s="411"/>
      <c r="L49" s="411"/>
      <c r="M49" s="264">
        <f>SUM(M43:M48)</f>
        <v>331.625</v>
      </c>
      <c r="N49" s="17"/>
    </row>
    <row r="50" spans="4:14" x14ac:dyDescent="0.25">
      <c r="D50" s="411" t="s">
        <v>279</v>
      </c>
      <c r="E50" s="411"/>
      <c r="F50" s="411"/>
      <c r="G50" s="264">
        <f>K18</f>
        <v>4101086</v>
      </c>
      <c r="H50" s="17"/>
      <c r="J50" s="411" t="s">
        <v>279</v>
      </c>
      <c r="K50" s="411"/>
      <c r="L50" s="411"/>
      <c r="M50" s="264">
        <f>K19</f>
        <v>4515920.8999999994</v>
      </c>
      <c r="N50" s="17"/>
    </row>
    <row r="51" spans="4:14" x14ac:dyDescent="0.25">
      <c r="D51" s="433" t="s">
        <v>259</v>
      </c>
      <c r="E51" s="433"/>
      <c r="F51" s="433"/>
      <c r="G51" s="264">
        <f>G50/G49</f>
        <v>12422.827716773949</v>
      </c>
      <c r="H51" s="17"/>
      <c r="J51" s="433" t="s">
        <v>259</v>
      </c>
      <c r="K51" s="433"/>
      <c r="L51" s="433"/>
      <c r="M51" s="264">
        <f>M50/M49</f>
        <v>13617.552657369015</v>
      </c>
      <c r="N51" s="17"/>
    </row>
    <row r="52" spans="4:14" x14ac:dyDescent="0.25">
      <c r="D52"/>
      <c r="G52" s="17"/>
      <c r="H52" s="17"/>
    </row>
  </sheetData>
  <mergeCells count="22">
    <mergeCell ref="D50:F50"/>
    <mergeCell ref="J50:L50"/>
    <mergeCell ref="D51:F51"/>
    <mergeCell ref="J51:L51"/>
    <mergeCell ref="D38:F38"/>
    <mergeCell ref="J38:L38"/>
    <mergeCell ref="D41:G41"/>
    <mergeCell ref="J41:M41"/>
    <mergeCell ref="D49:F49"/>
    <mergeCell ref="J49:L49"/>
    <mergeCell ref="D28:G28"/>
    <mergeCell ref="J28:M28"/>
    <mergeCell ref="D36:F36"/>
    <mergeCell ref="J36:L36"/>
    <mergeCell ref="D37:F37"/>
    <mergeCell ref="J37:L37"/>
    <mergeCell ref="D24:L24"/>
    <mergeCell ref="D14:M14"/>
    <mergeCell ref="D20:L20"/>
    <mergeCell ref="D21:L21"/>
    <mergeCell ref="D22:L22"/>
    <mergeCell ref="D23:L2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S60"/>
  <sheetViews>
    <sheetView rightToLeft="1" zoomScale="130" zoomScaleNormal="130" workbookViewId="0">
      <selection activeCell="E6" sqref="E6"/>
    </sheetView>
  </sheetViews>
  <sheetFormatPr defaultRowHeight="13.8" x14ac:dyDescent="0.25"/>
  <cols>
    <col min="1" max="1" width="19.796875" customWidth="1"/>
    <col min="2" max="3" width="6" customWidth="1"/>
    <col min="4" max="4" width="17.5" customWidth="1"/>
    <col min="5" max="5" width="14.09765625" style="17" customWidth="1"/>
    <col min="6" max="6" width="14.69921875" customWidth="1"/>
    <col min="7" max="7" width="12.69921875" customWidth="1"/>
    <col min="8" max="8" width="13.3984375" customWidth="1"/>
    <col min="9" max="9" width="11.19921875" customWidth="1"/>
    <col min="10" max="10" width="11.59765625" customWidth="1"/>
    <col min="11" max="11" width="11.19921875" customWidth="1"/>
    <col min="12" max="12" width="10.296875" customWidth="1"/>
    <col min="13" max="13" width="9.19921875" customWidth="1"/>
    <col min="14" max="20" width="9.59765625" customWidth="1"/>
  </cols>
  <sheetData>
    <row r="1" spans="1:19" ht="16.5" customHeight="1" thickBot="1" x14ac:dyDescent="0.3">
      <c r="D1" s="66"/>
      <c r="E1"/>
    </row>
    <row r="2" spans="1:19" ht="55.8" thickBot="1" x14ac:dyDescent="0.3">
      <c r="A2" s="120" t="s">
        <v>35</v>
      </c>
      <c r="B2" s="192" t="s">
        <v>161</v>
      </c>
      <c r="C2" s="120" t="s">
        <v>162</v>
      </c>
      <c r="D2" s="92" t="s">
        <v>282</v>
      </c>
      <c r="E2" s="97" t="s">
        <v>284</v>
      </c>
      <c r="F2" s="92" t="s">
        <v>285</v>
      </c>
      <c r="G2" s="92" t="s">
        <v>286</v>
      </c>
      <c r="H2" s="47" t="s">
        <v>287</v>
      </c>
      <c r="I2" s="47" t="s">
        <v>288</v>
      </c>
      <c r="J2" s="117" t="s">
        <v>289</v>
      </c>
      <c r="K2" s="117" t="s">
        <v>290</v>
      </c>
      <c r="L2" s="274" t="s">
        <v>291</v>
      </c>
      <c r="M2" s="117" t="s">
        <v>292</v>
      </c>
      <c r="N2" s="47" t="s">
        <v>293</v>
      </c>
      <c r="O2" s="47"/>
      <c r="P2" s="47"/>
      <c r="Q2" s="117"/>
      <c r="R2" s="117"/>
      <c r="S2" s="118"/>
    </row>
    <row r="3" spans="1:19" x14ac:dyDescent="0.25">
      <c r="A3" s="121" t="s">
        <v>149</v>
      </c>
      <c r="B3" s="193"/>
      <c r="C3" s="121"/>
      <c r="D3" s="93"/>
      <c r="E3" s="144">
        <v>18</v>
      </c>
      <c r="F3" s="93">
        <v>42</v>
      </c>
      <c r="G3" s="64">
        <v>187</v>
      </c>
      <c r="H3" s="64">
        <v>220</v>
      </c>
      <c r="I3" s="64">
        <v>92</v>
      </c>
      <c r="J3" s="49">
        <v>63</v>
      </c>
      <c r="K3" s="49">
        <v>37</v>
      </c>
      <c r="L3" s="49">
        <v>26</v>
      </c>
      <c r="M3" s="49"/>
      <c r="N3" s="48">
        <v>452</v>
      </c>
      <c r="O3" s="48"/>
      <c r="P3" s="48"/>
      <c r="Q3" s="49"/>
      <c r="R3" s="49"/>
      <c r="S3" s="50"/>
    </row>
    <row r="4" spans="1:19" x14ac:dyDescent="0.25">
      <c r="A4" s="121" t="s">
        <v>283</v>
      </c>
      <c r="B4" s="193"/>
      <c r="C4" s="121"/>
      <c r="D4" s="93">
        <v>35</v>
      </c>
      <c r="E4" s="144"/>
      <c r="F4" s="93"/>
      <c r="G4" s="64">
        <v>61</v>
      </c>
      <c r="H4" s="64"/>
      <c r="I4" s="64"/>
      <c r="J4" s="49"/>
      <c r="K4" s="49"/>
      <c r="L4" s="49"/>
      <c r="M4" s="49">
        <v>15</v>
      </c>
      <c r="N4" s="48"/>
      <c r="O4" s="48"/>
      <c r="P4" s="48"/>
      <c r="Q4" s="49"/>
      <c r="R4" s="49"/>
      <c r="S4" s="50"/>
    </row>
    <row r="5" spans="1:19" x14ac:dyDescent="0.25">
      <c r="A5" s="121" t="s">
        <v>76</v>
      </c>
      <c r="B5" s="193"/>
      <c r="C5" s="121"/>
      <c r="D5" s="93">
        <f>133*2-D4</f>
        <v>231</v>
      </c>
      <c r="E5" s="144"/>
      <c r="F5" s="93"/>
      <c r="G5" s="64">
        <v>65</v>
      </c>
      <c r="H5" s="64"/>
      <c r="I5" s="64"/>
      <c r="J5" s="49"/>
      <c r="K5" s="49"/>
      <c r="L5" s="49"/>
      <c r="M5" s="49">
        <v>14</v>
      </c>
      <c r="N5" s="48"/>
      <c r="O5" s="48"/>
      <c r="P5" s="48"/>
      <c r="Q5" s="49"/>
      <c r="R5" s="49"/>
      <c r="S5" s="50"/>
    </row>
    <row r="6" spans="1:19" x14ac:dyDescent="0.25">
      <c r="A6" s="121" t="s">
        <v>145</v>
      </c>
      <c r="B6" s="193"/>
      <c r="C6" s="121"/>
      <c r="D6" s="93">
        <v>18</v>
      </c>
      <c r="E6" s="144"/>
      <c r="F6" s="93"/>
      <c r="G6" s="64">
        <v>61</v>
      </c>
      <c r="H6" s="64"/>
      <c r="I6" s="64"/>
      <c r="J6" s="49"/>
      <c r="K6" s="49"/>
      <c r="L6" s="49"/>
      <c r="M6" s="49"/>
      <c r="N6" s="48"/>
      <c r="O6" s="48"/>
      <c r="P6" s="48"/>
      <c r="Q6" s="49"/>
      <c r="R6" s="49"/>
      <c r="S6" s="50"/>
    </row>
    <row r="7" spans="1:19" x14ac:dyDescent="0.25">
      <c r="A7" s="121" t="s">
        <v>146</v>
      </c>
      <c r="B7" s="193"/>
      <c r="C7" s="121"/>
      <c r="D7" s="93"/>
      <c r="E7" s="64"/>
      <c r="F7" s="93">
        <v>24</v>
      </c>
      <c r="G7" s="64"/>
      <c r="H7" s="64"/>
      <c r="I7" s="64"/>
      <c r="J7" s="49">
        <v>32</v>
      </c>
      <c r="K7" s="49"/>
      <c r="L7" s="49"/>
      <c r="M7" s="49"/>
      <c r="N7" s="48"/>
      <c r="O7" s="48"/>
      <c r="P7" s="48"/>
      <c r="Q7" s="49"/>
      <c r="R7" s="49"/>
      <c r="S7" s="50"/>
    </row>
    <row r="8" spans="1:19" x14ac:dyDescent="0.25">
      <c r="A8" s="121" t="s">
        <v>147</v>
      </c>
      <c r="B8" s="193"/>
      <c r="C8" s="121"/>
      <c r="D8" s="94"/>
      <c r="E8" s="54"/>
      <c r="F8" s="94"/>
      <c r="G8" s="54"/>
      <c r="H8" s="54"/>
      <c r="I8" s="54"/>
      <c r="J8" s="52"/>
      <c r="K8" s="52"/>
      <c r="L8" s="52"/>
      <c r="M8" s="52"/>
      <c r="N8" s="51"/>
      <c r="O8" s="51"/>
      <c r="P8" s="51"/>
      <c r="Q8" s="52"/>
      <c r="R8" s="52"/>
      <c r="S8" s="53"/>
    </row>
    <row r="9" spans="1:19" x14ac:dyDescent="0.25">
      <c r="A9" s="121" t="s">
        <v>148</v>
      </c>
      <c r="B9" s="194"/>
      <c r="C9" s="209"/>
      <c r="D9" s="95"/>
      <c r="E9" s="56"/>
      <c r="F9" s="94"/>
      <c r="G9" s="54"/>
      <c r="H9" s="54"/>
      <c r="I9" s="54"/>
      <c r="J9" s="52"/>
      <c r="K9" s="52"/>
      <c r="L9" s="52"/>
      <c r="M9" s="52"/>
      <c r="N9" s="51"/>
      <c r="O9" s="51"/>
      <c r="P9" s="51"/>
      <c r="Q9" s="52"/>
      <c r="R9" s="52"/>
      <c r="S9" s="53"/>
    </row>
    <row r="10" spans="1:19" x14ac:dyDescent="0.25">
      <c r="A10" s="122" t="s">
        <v>50</v>
      </c>
      <c r="B10" s="195"/>
      <c r="C10" s="123"/>
      <c r="D10" s="95"/>
      <c r="E10" s="56"/>
      <c r="F10" s="94"/>
      <c r="G10" s="54"/>
      <c r="H10" s="54"/>
      <c r="I10" s="54"/>
      <c r="J10" s="52" t="s">
        <v>296</v>
      </c>
      <c r="K10" s="52"/>
      <c r="L10" s="52"/>
      <c r="M10" s="52"/>
      <c r="N10" s="51"/>
      <c r="O10" s="51"/>
      <c r="P10" s="51"/>
      <c r="Q10" s="52"/>
      <c r="R10" s="52"/>
      <c r="S10" s="53"/>
    </row>
    <row r="11" spans="1:19" x14ac:dyDescent="0.25">
      <c r="A11" s="123" t="s">
        <v>91</v>
      </c>
      <c r="B11" s="195"/>
      <c r="C11" s="123"/>
      <c r="D11" s="95"/>
      <c r="E11" s="56"/>
      <c r="F11" s="95"/>
      <c r="G11" s="56"/>
      <c r="H11" s="56"/>
      <c r="I11" s="56"/>
      <c r="J11" s="57"/>
      <c r="K11" s="57"/>
      <c r="L11" s="57"/>
      <c r="M11" s="57"/>
      <c r="N11" s="55"/>
      <c r="O11" s="55"/>
      <c r="P11" s="55"/>
      <c r="Q11" s="57"/>
      <c r="R11" s="57"/>
      <c r="S11" s="58"/>
    </row>
    <row r="12" spans="1:19" ht="14.4" thickBot="1" x14ac:dyDescent="0.3">
      <c r="A12" s="124" t="s">
        <v>87</v>
      </c>
      <c r="B12" s="196"/>
      <c r="C12" s="124"/>
      <c r="D12" s="96"/>
      <c r="E12" s="90"/>
      <c r="F12" s="96"/>
      <c r="G12" s="90"/>
      <c r="H12" s="90"/>
      <c r="I12" s="90"/>
      <c r="J12" s="60"/>
      <c r="K12" s="60"/>
      <c r="L12" s="60"/>
      <c r="M12" s="60"/>
      <c r="N12" s="59"/>
      <c r="O12" s="59"/>
      <c r="P12" s="59"/>
      <c r="Q12" s="60"/>
      <c r="R12" s="60"/>
      <c r="S12" s="61"/>
    </row>
    <row r="13" spans="1:19" ht="15" thickTop="1" thickBot="1" x14ac:dyDescent="0.3">
      <c r="A13" s="200" t="s">
        <v>36</v>
      </c>
      <c r="B13" s="211"/>
      <c r="C13" s="210"/>
      <c r="D13" s="207">
        <f>SUM(D4:D12)</f>
        <v>284</v>
      </c>
      <c r="E13" s="201">
        <f>SUM(E4:E12)</f>
        <v>0</v>
      </c>
      <c r="F13" s="201">
        <f>SUM(F3:F12)</f>
        <v>66</v>
      </c>
      <c r="G13" s="201">
        <f>SUM(G3:G12)</f>
        <v>374</v>
      </c>
      <c r="H13" s="201">
        <f>SUM(H3:H12)</f>
        <v>220</v>
      </c>
      <c r="I13" s="202">
        <f t="shared" ref="I13:S13" si="0">SUM(I3:I12)</f>
        <v>92</v>
      </c>
      <c r="J13" s="202">
        <f t="shared" si="0"/>
        <v>95</v>
      </c>
      <c r="K13" s="202">
        <f t="shared" si="0"/>
        <v>37</v>
      </c>
      <c r="L13" s="202">
        <f t="shared" si="0"/>
        <v>26</v>
      </c>
      <c r="M13" s="202">
        <f t="shared" si="0"/>
        <v>29</v>
      </c>
      <c r="N13" s="203">
        <f t="shared" si="0"/>
        <v>452</v>
      </c>
      <c r="O13" s="203">
        <f t="shared" si="0"/>
        <v>0</v>
      </c>
      <c r="P13" s="203">
        <f t="shared" si="0"/>
        <v>0</v>
      </c>
      <c r="Q13" s="202">
        <f t="shared" si="0"/>
        <v>0</v>
      </c>
      <c r="R13" s="202">
        <f t="shared" si="0"/>
        <v>0</v>
      </c>
      <c r="S13" s="204">
        <f t="shared" si="0"/>
        <v>0</v>
      </c>
    </row>
    <row r="14" spans="1:19" ht="28.2" thickBot="1" x14ac:dyDescent="0.3">
      <c r="A14" s="126" t="s">
        <v>37</v>
      </c>
      <c r="B14" s="192" t="s">
        <v>161</v>
      </c>
      <c r="C14" s="120" t="s">
        <v>162</v>
      </c>
      <c r="D14" s="206"/>
      <c r="E14" s="205"/>
      <c r="F14" s="206"/>
      <c r="G14" s="62"/>
      <c r="H14" s="62"/>
      <c r="I14" s="62"/>
      <c r="J14" s="62"/>
      <c r="K14" s="62"/>
      <c r="L14" s="62"/>
      <c r="M14" s="140"/>
      <c r="N14" s="62"/>
      <c r="O14" s="62"/>
      <c r="P14" s="62"/>
      <c r="Q14" s="140"/>
      <c r="R14" s="140"/>
      <c r="S14" s="63"/>
    </row>
    <row r="15" spans="1:19" x14ac:dyDescent="0.25">
      <c r="A15" s="122" t="s">
        <v>295</v>
      </c>
      <c r="B15" s="197"/>
      <c r="C15" s="122"/>
      <c r="D15" s="52">
        <v>174.56</v>
      </c>
      <c r="E15" s="145"/>
      <c r="F15" s="52"/>
      <c r="G15" s="64"/>
      <c r="H15" s="64"/>
      <c r="I15" s="48"/>
      <c r="J15" s="64"/>
      <c r="K15" s="48"/>
      <c r="L15" s="48"/>
      <c r="M15" s="48"/>
      <c r="N15" s="48"/>
      <c r="O15" s="48"/>
      <c r="P15" s="48"/>
      <c r="Q15" s="49"/>
      <c r="R15" s="49"/>
      <c r="S15" s="50"/>
    </row>
    <row r="16" spans="1:19" x14ac:dyDescent="0.25">
      <c r="A16" s="122" t="s">
        <v>294</v>
      </c>
      <c r="B16" s="197"/>
      <c r="C16" s="122"/>
      <c r="D16" s="52"/>
      <c r="E16" s="51"/>
      <c r="F16" s="52">
        <v>42.7</v>
      </c>
      <c r="G16" s="64"/>
      <c r="H16" s="64"/>
      <c r="I16" s="48"/>
      <c r="J16" s="64"/>
      <c r="K16" s="48"/>
      <c r="L16" s="48"/>
      <c r="M16" s="48"/>
      <c r="N16" s="48"/>
      <c r="O16" s="48"/>
      <c r="P16" s="48"/>
      <c r="Q16" s="49"/>
      <c r="R16" s="49"/>
      <c r="S16" s="50"/>
    </row>
    <row r="17" spans="1:19" x14ac:dyDescent="0.25">
      <c r="A17" s="122" t="s">
        <v>198</v>
      </c>
      <c r="B17" s="197"/>
      <c r="C17" s="122"/>
      <c r="D17" s="52"/>
      <c r="E17" s="51"/>
      <c r="F17" s="52"/>
      <c r="G17" s="64"/>
      <c r="H17" s="64"/>
      <c r="I17" s="48"/>
      <c r="J17" s="64"/>
      <c r="K17" s="48"/>
      <c r="L17" s="48"/>
      <c r="M17" s="48"/>
      <c r="N17" s="48"/>
      <c r="O17" s="48"/>
      <c r="P17" s="48"/>
      <c r="Q17" s="49"/>
      <c r="R17" s="49"/>
      <c r="S17" s="50"/>
    </row>
    <row r="18" spans="1:19" x14ac:dyDescent="0.25">
      <c r="A18" s="122" t="s">
        <v>200</v>
      </c>
      <c r="B18" s="197"/>
      <c r="C18" s="122"/>
      <c r="D18" s="52"/>
      <c r="E18" s="51"/>
      <c r="F18" s="52"/>
      <c r="G18" s="64"/>
      <c r="H18" s="64"/>
      <c r="I18" s="48"/>
      <c r="J18" s="64"/>
      <c r="K18" s="48"/>
      <c r="L18" s="48"/>
      <c r="M18" s="48"/>
      <c r="N18" s="48"/>
      <c r="O18" s="48"/>
      <c r="P18" s="48"/>
      <c r="Q18" s="49"/>
      <c r="R18" s="49"/>
      <c r="S18" s="50"/>
    </row>
    <row r="19" spans="1:19" x14ac:dyDescent="0.25">
      <c r="A19" s="122" t="s">
        <v>200</v>
      </c>
      <c r="B19" s="197"/>
      <c r="C19" s="122"/>
      <c r="D19" s="52"/>
      <c r="E19" s="51"/>
      <c r="F19" s="52"/>
      <c r="G19" s="64"/>
      <c r="H19" s="64"/>
      <c r="I19" s="48"/>
      <c r="J19" s="64"/>
      <c r="K19" s="48"/>
      <c r="L19" s="48"/>
      <c r="M19" s="48"/>
      <c r="N19" s="48"/>
      <c r="O19" s="48"/>
      <c r="P19" s="48"/>
      <c r="Q19" s="49"/>
      <c r="R19" s="49"/>
      <c r="S19" s="50"/>
    </row>
    <row r="20" spans="1:19" x14ac:dyDescent="0.25">
      <c r="A20" s="122" t="s">
        <v>199</v>
      </c>
      <c r="B20" s="197"/>
      <c r="C20" s="122"/>
      <c r="D20" s="52"/>
      <c r="E20" s="51"/>
      <c r="F20" s="52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2"/>
      <c r="R20" s="52"/>
      <c r="S20" s="53"/>
    </row>
    <row r="21" spans="1:19" x14ac:dyDescent="0.25">
      <c r="A21" s="122"/>
      <c r="B21" s="197"/>
      <c r="C21" s="122"/>
      <c r="D21" s="49"/>
      <c r="E21" s="51"/>
      <c r="F21" s="52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2"/>
      <c r="R21" s="52"/>
      <c r="S21" s="53"/>
    </row>
    <row r="22" spans="1:19" x14ac:dyDescent="0.25">
      <c r="A22" s="122"/>
      <c r="B22" s="197"/>
      <c r="C22" s="122"/>
      <c r="D22" s="52"/>
      <c r="E22" s="51"/>
      <c r="F22" s="52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2"/>
      <c r="R22" s="52"/>
      <c r="S22" s="53"/>
    </row>
    <row r="23" spans="1:19" ht="14.4" thickBot="1" x14ac:dyDescent="0.3">
      <c r="A23" s="124"/>
      <c r="B23" s="196"/>
      <c r="C23" s="124"/>
      <c r="D23" s="60"/>
      <c r="E23" s="59"/>
      <c r="F23" s="60"/>
      <c r="G23" s="59"/>
      <c r="H23" s="59"/>
      <c r="I23" s="59"/>
      <c r="J23" s="51"/>
      <c r="K23" s="51"/>
      <c r="L23" s="51"/>
      <c r="M23" s="51"/>
      <c r="N23" s="51"/>
      <c r="O23" s="59"/>
      <c r="P23" s="59"/>
      <c r="Q23" s="60"/>
      <c r="R23" s="60"/>
      <c r="S23" s="61"/>
    </row>
    <row r="24" spans="1:19" ht="14.4" thickTop="1" x14ac:dyDescent="0.25">
      <c r="A24" s="127" t="s">
        <v>90</v>
      </c>
      <c r="B24" s="198"/>
      <c r="C24" s="127"/>
      <c r="D24" s="208">
        <f>SUM(D17:D23)</f>
        <v>0</v>
      </c>
      <c r="E24" s="119">
        <f>SUM(E17:E23)</f>
        <v>0</v>
      </c>
      <c r="F24" s="119">
        <f t="shared" ref="F24:S24" si="1">SUM(F15:F23)</f>
        <v>42.7</v>
      </c>
      <c r="G24" s="119">
        <f t="shared" si="1"/>
        <v>0</v>
      </c>
      <c r="H24" s="119">
        <f t="shared" si="1"/>
        <v>0</v>
      </c>
      <c r="I24" s="119">
        <f t="shared" si="1"/>
        <v>0</v>
      </c>
      <c r="J24" s="119">
        <f t="shared" si="1"/>
        <v>0</v>
      </c>
      <c r="K24" s="65">
        <f t="shared" si="1"/>
        <v>0</v>
      </c>
      <c r="L24" s="65">
        <f t="shared" si="1"/>
        <v>0</v>
      </c>
      <c r="M24" s="65">
        <f t="shared" si="1"/>
        <v>0</v>
      </c>
      <c r="N24" s="65">
        <f t="shared" si="1"/>
        <v>0</v>
      </c>
      <c r="O24" s="65">
        <f t="shared" si="1"/>
        <v>0</v>
      </c>
      <c r="P24" s="65">
        <f t="shared" si="1"/>
        <v>0</v>
      </c>
      <c r="Q24" s="141">
        <f t="shared" si="1"/>
        <v>0</v>
      </c>
      <c r="R24" s="141">
        <f t="shared" si="1"/>
        <v>0</v>
      </c>
      <c r="S24" s="139">
        <f t="shared" si="1"/>
        <v>0</v>
      </c>
    </row>
    <row r="25" spans="1:19" ht="14.4" thickBot="1" x14ac:dyDescent="0.3">
      <c r="A25" s="125" t="s">
        <v>38</v>
      </c>
      <c r="B25" s="199"/>
      <c r="C25" s="125"/>
      <c r="D25" s="142">
        <f t="shared" ref="D25:S25" si="2">D13-D24</f>
        <v>284</v>
      </c>
      <c r="E25" s="138">
        <f t="shared" si="2"/>
        <v>0</v>
      </c>
      <c r="F25" s="138">
        <f t="shared" si="2"/>
        <v>23.299999999999997</v>
      </c>
      <c r="G25" s="138">
        <f t="shared" si="2"/>
        <v>374</v>
      </c>
      <c r="H25" s="138">
        <f t="shared" si="2"/>
        <v>220</v>
      </c>
      <c r="I25" s="138">
        <f t="shared" si="2"/>
        <v>92</v>
      </c>
      <c r="J25" s="138">
        <f t="shared" si="2"/>
        <v>95</v>
      </c>
      <c r="K25" s="138">
        <f t="shared" si="2"/>
        <v>37</v>
      </c>
      <c r="L25" s="138">
        <f t="shared" si="2"/>
        <v>26</v>
      </c>
      <c r="M25" s="138">
        <f t="shared" si="2"/>
        <v>29</v>
      </c>
      <c r="N25" s="138">
        <f t="shared" si="2"/>
        <v>452</v>
      </c>
      <c r="O25" s="138">
        <f t="shared" si="2"/>
        <v>0</v>
      </c>
      <c r="P25" s="138">
        <f t="shared" si="2"/>
        <v>0</v>
      </c>
      <c r="Q25" s="143">
        <f t="shared" si="2"/>
        <v>0</v>
      </c>
      <c r="R25" s="142">
        <f t="shared" si="2"/>
        <v>0</v>
      </c>
      <c r="S25" s="146">
        <f t="shared" si="2"/>
        <v>0</v>
      </c>
    </row>
    <row r="26" spans="1:19" x14ac:dyDescent="0.25">
      <c r="D26" s="135"/>
      <c r="E26" s="73"/>
      <c r="F26" s="148"/>
      <c r="H26" s="73"/>
      <c r="I26" s="73"/>
      <c r="J26" s="73"/>
      <c r="K26" s="98"/>
      <c r="L26" s="148"/>
      <c r="M26" s="73"/>
    </row>
    <row r="27" spans="1:19" x14ac:dyDescent="0.25">
      <c r="A27" t="s">
        <v>88</v>
      </c>
      <c r="D27" s="136">
        <f>D8+D7</f>
        <v>0</v>
      </c>
      <c r="F27" s="73"/>
    </row>
    <row r="28" spans="1:19" x14ac:dyDescent="0.25">
      <c r="E28" s="91">
        <f>E3*9300*5%*7</f>
        <v>58590</v>
      </c>
      <c r="F28" s="66"/>
      <c r="G28" s="91"/>
      <c r="H28" s="91"/>
      <c r="K28" s="91"/>
    </row>
    <row r="29" spans="1:19" x14ac:dyDescent="0.25">
      <c r="E29" s="38">
        <f>375-E24-F24-I24</f>
        <v>332.3</v>
      </c>
      <c r="F29" s="66"/>
      <c r="G29" s="91"/>
      <c r="H29" s="91"/>
    </row>
    <row r="30" spans="1:19" x14ac:dyDescent="0.25">
      <c r="N30" s="91"/>
      <c r="O30" s="91"/>
    </row>
    <row r="31" spans="1:19" x14ac:dyDescent="0.25">
      <c r="A31" s="67" t="s">
        <v>39</v>
      </c>
      <c r="B31" s="67"/>
      <c r="C31" s="67"/>
      <c r="D31" s="68"/>
      <c r="L31" s="91"/>
      <c r="N31" s="17"/>
    </row>
    <row r="32" spans="1:19" x14ac:dyDescent="0.25">
      <c r="A32" t="s">
        <v>14</v>
      </c>
      <c r="E32" s="69">
        <f>-D13</f>
        <v>-284</v>
      </c>
      <c r="G32" s="72"/>
      <c r="H32" s="72"/>
      <c r="L32" s="91"/>
    </row>
    <row r="33" spans="1:10" x14ac:dyDescent="0.25">
      <c r="A33" t="s">
        <v>15</v>
      </c>
      <c r="E33" s="17">
        <f>-E13</f>
        <v>0</v>
      </c>
      <c r="G33" s="72"/>
    </row>
    <row r="34" spans="1:10" x14ac:dyDescent="0.25">
      <c r="A34" t="s">
        <v>18</v>
      </c>
      <c r="E34" s="17">
        <f>I24</f>
        <v>0</v>
      </c>
    </row>
    <row r="35" spans="1:10" x14ac:dyDescent="0.25">
      <c r="A35" s="40" t="s">
        <v>8</v>
      </c>
      <c r="B35" s="40"/>
      <c r="C35" s="40"/>
      <c r="D35" s="40"/>
      <c r="E35" s="23">
        <f>SUM(E31:E34)</f>
        <v>-284</v>
      </c>
      <c r="J35" s="72"/>
    </row>
    <row r="36" spans="1:10" x14ac:dyDescent="0.25">
      <c r="A36" t="s">
        <v>40</v>
      </c>
      <c r="E36" s="38">
        <v>375</v>
      </c>
      <c r="H36" s="91"/>
    </row>
    <row r="37" spans="1:10" x14ac:dyDescent="0.25">
      <c r="A37" s="40" t="s">
        <v>41</v>
      </c>
      <c r="B37" s="40"/>
      <c r="C37" s="40"/>
      <c r="D37" s="40"/>
      <c r="E37" s="23">
        <f>SUM(E35:E36)</f>
        <v>91</v>
      </c>
    </row>
    <row r="38" spans="1:10" x14ac:dyDescent="0.25">
      <c r="A38" t="s">
        <v>42</v>
      </c>
      <c r="E38" s="17">
        <f>-E24-F24-I24</f>
        <v>-42.7</v>
      </c>
    </row>
    <row r="39" spans="1:10" x14ac:dyDescent="0.25">
      <c r="A39" s="40" t="s">
        <v>43</v>
      </c>
      <c r="B39" s="40"/>
      <c r="C39" s="40"/>
      <c r="D39" s="40"/>
      <c r="E39" s="70">
        <f>SUM(E37:E38)</f>
        <v>48.3</v>
      </c>
    </row>
    <row r="43" spans="1:10" x14ac:dyDescent="0.25">
      <c r="A43" s="130" t="s">
        <v>77</v>
      </c>
      <c r="B43" s="130"/>
      <c r="C43" s="130"/>
    </row>
    <row r="44" spans="1:10" ht="15.6" x14ac:dyDescent="0.4">
      <c r="A44" s="39" t="s">
        <v>78</v>
      </c>
      <c r="B44" s="39"/>
      <c r="C44" s="39"/>
      <c r="D44" s="39" t="s">
        <v>80</v>
      </c>
      <c r="E44" s="131" t="s">
        <v>81</v>
      </c>
      <c r="F44" s="39" t="s">
        <v>84</v>
      </c>
      <c r="G44" s="39"/>
      <c r="H44" s="17"/>
      <c r="I44" s="17"/>
    </row>
    <row r="45" spans="1:10" x14ac:dyDescent="0.25">
      <c r="A45" t="s">
        <v>44</v>
      </c>
      <c r="F45" s="91">
        <f>E45-D45</f>
        <v>0</v>
      </c>
    </row>
    <row r="46" spans="1:10" x14ac:dyDescent="0.25">
      <c r="A46" t="s">
        <v>79</v>
      </c>
      <c r="F46" s="91">
        <f>E46-D46</f>
        <v>0</v>
      </c>
    </row>
    <row r="47" spans="1:10" x14ac:dyDescent="0.25">
      <c r="A47" s="108" t="s">
        <v>82</v>
      </c>
      <c r="B47" s="108"/>
      <c r="C47" s="108"/>
      <c r="D47" s="108">
        <f>SUM(D45:D46)</f>
        <v>0</v>
      </c>
      <c r="E47" s="70">
        <f>SUM(E45:E46)</f>
        <v>0</v>
      </c>
      <c r="F47" s="132">
        <f>E47-D47</f>
        <v>0</v>
      </c>
    </row>
    <row r="49" spans="1:10" ht="15.6" x14ac:dyDescent="0.4">
      <c r="A49" s="39" t="s">
        <v>83</v>
      </c>
      <c r="B49" s="39"/>
      <c r="C49" s="39"/>
      <c r="D49" s="39" t="s">
        <v>80</v>
      </c>
      <c r="E49" s="131" t="s">
        <v>81</v>
      </c>
      <c r="F49" s="39" t="s">
        <v>84</v>
      </c>
    </row>
    <row r="50" spans="1:10" x14ac:dyDescent="0.25">
      <c r="A50" t="s">
        <v>44</v>
      </c>
      <c r="F50" s="91">
        <f>E50-D50</f>
        <v>0</v>
      </c>
      <c r="G50" s="39"/>
      <c r="J50" s="17"/>
    </row>
    <row r="51" spans="1:10" x14ac:dyDescent="0.25">
      <c r="A51" t="s">
        <v>79</v>
      </c>
      <c r="F51" s="91">
        <f>E51-D51</f>
        <v>0</v>
      </c>
    </row>
    <row r="52" spans="1:10" x14ac:dyDescent="0.25">
      <c r="A52" s="108" t="s">
        <v>82</v>
      </c>
      <c r="B52" s="108"/>
      <c r="C52" s="108"/>
      <c r="D52" s="108">
        <f>SUM(D50:D51)</f>
        <v>0</v>
      </c>
      <c r="E52" s="70">
        <f>SUM(E50:E51)</f>
        <v>0</v>
      </c>
      <c r="F52" s="132">
        <f>E52-D52</f>
        <v>0</v>
      </c>
      <c r="J52" s="147"/>
    </row>
    <row r="54" spans="1:10" x14ac:dyDescent="0.25">
      <c r="A54" s="133" t="s">
        <v>8</v>
      </c>
      <c r="B54" s="133"/>
      <c r="C54" s="133"/>
      <c r="D54" s="133">
        <f>D52+D47</f>
        <v>0</v>
      </c>
      <c r="E54" s="133">
        <f>E52+E47</f>
        <v>0</v>
      </c>
      <c r="F54" s="134">
        <f>F52+F47</f>
        <v>0</v>
      </c>
    </row>
    <row r="58" spans="1:10" x14ac:dyDescent="0.25">
      <c r="G58" s="39"/>
      <c r="J58" s="17"/>
    </row>
    <row r="60" spans="1:10" x14ac:dyDescent="0.25">
      <c r="J60" s="14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I7"/>
  <sheetViews>
    <sheetView rightToLeft="1" zoomScale="175" zoomScaleNormal="175" workbookViewId="0">
      <selection activeCell="J5" sqref="J5"/>
    </sheetView>
  </sheetViews>
  <sheetFormatPr defaultRowHeight="13.8" x14ac:dyDescent="0.25"/>
  <cols>
    <col min="2" max="2" width="11.5" bestFit="1" customWidth="1"/>
    <col min="3" max="3" width="9.8984375" bestFit="1" customWidth="1"/>
  </cols>
  <sheetData>
    <row r="2" spans="1:9" x14ac:dyDescent="0.25">
      <c r="A2" s="39" t="s">
        <v>165</v>
      </c>
      <c r="B2" s="39" t="s">
        <v>166</v>
      </c>
      <c r="C2" s="39" t="s">
        <v>133</v>
      </c>
      <c r="D2" s="39" t="s">
        <v>167</v>
      </c>
    </row>
    <row r="3" spans="1:9" x14ac:dyDescent="0.25">
      <c r="A3" t="s">
        <v>168</v>
      </c>
      <c r="B3" t="s">
        <v>244</v>
      </c>
      <c r="C3" s="188">
        <v>39849</v>
      </c>
      <c r="D3">
        <v>500</v>
      </c>
      <c r="E3" t="s">
        <v>169</v>
      </c>
      <c r="H3" t="s">
        <v>297</v>
      </c>
      <c r="I3" t="s">
        <v>298</v>
      </c>
    </row>
    <row r="4" spans="1:9" x14ac:dyDescent="0.25">
      <c r="C4" s="276">
        <v>2007</v>
      </c>
      <c r="D4">
        <v>2.5</v>
      </c>
      <c r="E4" t="s">
        <v>171</v>
      </c>
      <c r="G4">
        <v>2500</v>
      </c>
      <c r="H4">
        <v>1.42</v>
      </c>
      <c r="I4">
        <f>H4*G4</f>
        <v>3550</v>
      </c>
    </row>
    <row r="5" spans="1:9" x14ac:dyDescent="0.25">
      <c r="A5" t="s">
        <v>170</v>
      </c>
      <c r="B5" t="s">
        <v>245</v>
      </c>
      <c r="C5" s="188">
        <v>36020</v>
      </c>
      <c r="E5" t="s">
        <v>246</v>
      </c>
      <c r="F5" t="s">
        <v>172</v>
      </c>
    </row>
    <row r="6" spans="1:9" x14ac:dyDescent="0.25">
      <c r="A6" t="s">
        <v>170</v>
      </c>
      <c r="B6" t="s">
        <v>247</v>
      </c>
      <c r="C6" s="188">
        <v>30231</v>
      </c>
      <c r="D6">
        <v>2</v>
      </c>
      <c r="E6" t="s">
        <v>171</v>
      </c>
    </row>
    <row r="7" spans="1:9" x14ac:dyDescent="0.25">
      <c r="A7" t="s">
        <v>170</v>
      </c>
      <c r="B7" t="s">
        <v>248</v>
      </c>
      <c r="C7" s="188">
        <v>24463</v>
      </c>
      <c r="D7" s="212">
        <v>1</v>
      </c>
      <c r="E7" t="s">
        <v>171</v>
      </c>
    </row>
  </sheetData>
  <autoFilter ref="A2:F7" xr:uid="{3056B9E0-6524-4EBC-9BE5-F818961ABBE2}">
    <sortState xmlns:xlrd2="http://schemas.microsoft.com/office/spreadsheetml/2017/richdata2" ref="A3:F7">
      <sortCondition descending="1" ref="C2:C7"/>
    </sortState>
  </autoFilter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3.8" x14ac:dyDescent="0.25"/>
  <cols>
    <col min="1" max="1" width="1.69921875" customWidth="1"/>
    <col min="2" max="2" width="18.19921875" customWidth="1"/>
    <col min="3" max="3" width="13" bestFit="1" customWidth="1"/>
    <col min="4" max="4" width="10.59765625" bestFit="1" customWidth="1"/>
    <col min="5" max="5" width="9.5" bestFit="1" customWidth="1"/>
    <col min="6" max="6" width="11.69921875" bestFit="1" customWidth="1"/>
  </cols>
  <sheetData>
    <row r="1" spans="2:10" ht="4.5" customHeight="1" thickBot="1" x14ac:dyDescent="0.3"/>
    <row r="2" spans="2:10" ht="14.4" thickBot="1" x14ac:dyDescent="0.3">
      <c r="B2" s="436" t="s">
        <v>117</v>
      </c>
      <c r="C2" s="437"/>
      <c r="D2" s="437"/>
      <c r="E2" s="437"/>
      <c r="F2" s="438"/>
    </row>
    <row r="3" spans="2:10" ht="14.4" thickBot="1" x14ac:dyDescent="0.3">
      <c r="B3" s="152" t="s">
        <v>49</v>
      </c>
      <c r="C3" s="439" t="s">
        <v>44</v>
      </c>
      <c r="D3" s="440"/>
      <c r="E3" s="439" t="s">
        <v>99</v>
      </c>
      <c r="F3" s="441"/>
    </row>
    <row r="4" spans="2:10" x14ac:dyDescent="0.25">
      <c r="B4" s="167" t="s">
        <v>100</v>
      </c>
      <c r="C4" s="453">
        <v>0</v>
      </c>
      <c r="D4" s="454"/>
      <c r="E4" s="453">
        <v>0</v>
      </c>
      <c r="F4" s="455"/>
    </row>
    <row r="5" spans="2:10" x14ac:dyDescent="0.25">
      <c r="B5" s="172" t="s">
        <v>101</v>
      </c>
      <c r="C5" s="453">
        <v>140000</v>
      </c>
      <c r="D5" s="454"/>
      <c r="E5" s="453">
        <f>6000*2</f>
        <v>12000</v>
      </c>
      <c r="F5" s="455"/>
    </row>
    <row r="6" spans="2:10" ht="27.6" x14ac:dyDescent="0.25">
      <c r="B6" s="172" t="s">
        <v>113</v>
      </c>
      <c r="C6" s="453">
        <f>46500*7</f>
        <v>325500</v>
      </c>
      <c r="D6" s="454"/>
      <c r="E6" s="453">
        <v>0</v>
      </c>
      <c r="F6" s="455"/>
    </row>
    <row r="7" spans="2:10" x14ac:dyDescent="0.25">
      <c r="B7" s="172" t="s">
        <v>102</v>
      </c>
      <c r="C7" s="453">
        <f>13000*7</f>
        <v>91000</v>
      </c>
      <c r="D7" s="454"/>
      <c r="E7" s="453">
        <f>4000*7</f>
        <v>28000</v>
      </c>
      <c r="F7" s="455"/>
    </row>
    <row r="8" spans="2:10" ht="14.4" thickBot="1" x14ac:dyDescent="0.3">
      <c r="B8" s="158" t="s">
        <v>103</v>
      </c>
      <c r="C8" s="453">
        <f>65000*7</f>
        <v>455000</v>
      </c>
      <c r="D8" s="454"/>
      <c r="E8" s="453">
        <v>50000</v>
      </c>
      <c r="F8" s="455"/>
      <c r="J8" t="s">
        <v>163</v>
      </c>
    </row>
    <row r="9" spans="2:10" ht="14.4" thickBot="1" x14ac:dyDescent="0.3">
      <c r="B9" s="436" t="s">
        <v>116</v>
      </c>
      <c r="C9" s="437"/>
      <c r="D9" s="437"/>
      <c r="E9" s="437"/>
      <c r="F9" s="438"/>
      <c r="J9" t="s">
        <v>164</v>
      </c>
    </row>
    <row r="10" spans="2:10" ht="16.2" thickBot="1" x14ac:dyDescent="0.3">
      <c r="B10" s="153" t="s">
        <v>111</v>
      </c>
      <c r="C10" s="154" t="s">
        <v>109</v>
      </c>
      <c r="D10" s="155" t="s">
        <v>106</v>
      </c>
      <c r="E10" s="156" t="s">
        <v>107</v>
      </c>
      <c r="F10" s="157" t="s">
        <v>108</v>
      </c>
    </row>
    <row r="11" spans="2:10" x14ac:dyDescent="0.25">
      <c r="B11" s="167" t="s">
        <v>100</v>
      </c>
      <c r="C11" s="184">
        <f>197-160</f>
        <v>37</v>
      </c>
      <c r="D11" s="179">
        <f>C11*6605</f>
        <v>244385</v>
      </c>
      <c r="E11" s="184">
        <v>35</v>
      </c>
      <c r="F11" s="180">
        <f>E11*6605/2</f>
        <v>115587.5</v>
      </c>
    </row>
    <row r="12" spans="2:10" x14ac:dyDescent="0.25">
      <c r="B12" s="172" t="s">
        <v>101</v>
      </c>
      <c r="C12" s="185">
        <v>0</v>
      </c>
      <c r="D12" s="183">
        <v>0</v>
      </c>
      <c r="E12" s="185">
        <f>147+24-160</f>
        <v>11</v>
      </c>
      <c r="F12" s="178">
        <f>E12*6605/2</f>
        <v>36327.5</v>
      </c>
    </row>
    <row r="13" spans="2:10" x14ac:dyDescent="0.25">
      <c r="B13" s="181" t="s">
        <v>104</v>
      </c>
      <c r="C13" s="445" t="s">
        <v>110</v>
      </c>
      <c r="D13" s="445"/>
      <c r="E13" s="445"/>
      <c r="F13" s="446"/>
    </row>
    <row r="14" spans="2:10" x14ac:dyDescent="0.25">
      <c r="B14" s="182" t="s">
        <v>102</v>
      </c>
      <c r="C14" s="445" t="s">
        <v>112</v>
      </c>
      <c r="D14" s="445"/>
      <c r="E14" s="445"/>
      <c r="F14" s="446"/>
    </row>
    <row r="15" spans="2:10" ht="14.4" thickBot="1" x14ac:dyDescent="0.3">
      <c r="B15" s="158" t="s">
        <v>103</v>
      </c>
      <c r="C15" s="447" t="s">
        <v>114</v>
      </c>
      <c r="D15" s="448"/>
      <c r="E15" s="448"/>
      <c r="F15" s="449"/>
    </row>
    <row r="16" spans="2:10" ht="14.4" thickBot="1" x14ac:dyDescent="0.3"/>
    <row r="17" spans="2:6" ht="14.4" thickBot="1" x14ac:dyDescent="0.3">
      <c r="B17" s="436" t="s">
        <v>98</v>
      </c>
      <c r="C17" s="437"/>
      <c r="D17" s="437"/>
      <c r="E17" s="437"/>
      <c r="F17" s="438"/>
    </row>
    <row r="18" spans="2:6" ht="14.4" thickBot="1" x14ac:dyDescent="0.3">
      <c r="B18" s="152" t="s">
        <v>105</v>
      </c>
      <c r="C18" s="439" t="s">
        <v>44</v>
      </c>
      <c r="D18" s="440"/>
      <c r="E18" s="439" t="s">
        <v>99</v>
      </c>
      <c r="F18" s="441"/>
    </row>
    <row r="19" spans="2:6" x14ac:dyDescent="0.25">
      <c r="B19" s="167" t="s">
        <v>100</v>
      </c>
      <c r="C19" s="450">
        <v>0</v>
      </c>
      <c r="D19" s="451"/>
      <c r="E19" s="450">
        <v>0</v>
      </c>
      <c r="F19" s="452"/>
    </row>
    <row r="20" spans="2:6" x14ac:dyDescent="0.25">
      <c r="B20" s="172" t="s">
        <v>101</v>
      </c>
      <c r="C20" s="467">
        <v>70000</v>
      </c>
      <c r="D20" s="468"/>
      <c r="E20" s="469">
        <f>6000*7</f>
        <v>42000</v>
      </c>
      <c r="F20" s="470"/>
    </row>
    <row r="21" spans="2:6" x14ac:dyDescent="0.25">
      <c r="B21" s="176" t="s">
        <v>104</v>
      </c>
      <c r="C21" s="467">
        <f>46500*7</f>
        <v>325500</v>
      </c>
      <c r="D21" s="468"/>
      <c r="E21" s="467">
        <v>0</v>
      </c>
      <c r="F21" s="471"/>
    </row>
    <row r="22" spans="2:6" x14ac:dyDescent="0.25">
      <c r="B22" s="172" t="s">
        <v>102</v>
      </c>
      <c r="C22" s="467">
        <f>13000*7</f>
        <v>91000</v>
      </c>
      <c r="D22" s="468"/>
      <c r="E22" s="467">
        <f>4000*7</f>
        <v>28000</v>
      </c>
      <c r="F22" s="471"/>
    </row>
    <row r="23" spans="2:6" ht="14.4" thickBot="1" x14ac:dyDescent="0.3">
      <c r="B23" s="158" t="s">
        <v>103</v>
      </c>
      <c r="C23" s="442">
        <f>65000*7</f>
        <v>455000</v>
      </c>
      <c r="D23" s="443"/>
      <c r="E23" s="442">
        <f>7000*7</f>
        <v>49000</v>
      </c>
      <c r="F23" s="444"/>
    </row>
    <row r="24" spans="2:6" ht="14.4" thickBot="1" x14ac:dyDescent="0.3">
      <c r="B24" s="163"/>
      <c r="C24" s="164"/>
      <c r="D24" s="165"/>
      <c r="E24" s="165"/>
      <c r="F24" s="166"/>
    </row>
    <row r="25" spans="2:6" ht="16.2" thickBot="1" x14ac:dyDescent="0.3">
      <c r="B25" s="153" t="s">
        <v>111</v>
      </c>
      <c r="C25" s="154" t="s">
        <v>109</v>
      </c>
      <c r="D25" s="155" t="s">
        <v>106</v>
      </c>
      <c r="E25" s="156" t="s">
        <v>107</v>
      </c>
      <c r="F25" s="157" t="s">
        <v>108</v>
      </c>
    </row>
    <row r="26" spans="2:6" x14ac:dyDescent="0.25">
      <c r="B26" s="167" t="s">
        <v>100</v>
      </c>
      <c r="C26" s="168">
        <f>197-160</f>
        <v>37</v>
      </c>
      <c r="D26" s="169">
        <f>C26*6605</f>
        <v>244385</v>
      </c>
      <c r="E26" s="170">
        <v>35</v>
      </c>
      <c r="F26" s="171">
        <f>E26*6605/2</f>
        <v>115587.5</v>
      </c>
    </row>
    <row r="27" spans="2:6" x14ac:dyDescent="0.25">
      <c r="B27" s="172" t="s">
        <v>101</v>
      </c>
      <c r="C27" s="173">
        <v>0</v>
      </c>
      <c r="D27" s="174">
        <f>C27*6605</f>
        <v>0</v>
      </c>
      <c r="E27" s="177">
        <f>147+24-160</f>
        <v>11</v>
      </c>
      <c r="F27" s="175">
        <f>E27*6605/2</f>
        <v>36327.5</v>
      </c>
    </row>
    <row r="28" spans="2:6" x14ac:dyDescent="0.25">
      <c r="B28" s="176" t="s">
        <v>104</v>
      </c>
      <c r="C28" s="465" t="s">
        <v>110</v>
      </c>
      <c r="D28" s="465"/>
      <c r="E28" s="465"/>
      <c r="F28" s="466"/>
    </row>
    <row r="29" spans="2:6" x14ac:dyDescent="0.25">
      <c r="B29" s="172" t="s">
        <v>102</v>
      </c>
      <c r="C29" s="173">
        <v>0</v>
      </c>
      <c r="D29" s="174">
        <v>0</v>
      </c>
      <c r="E29" s="173">
        <v>0</v>
      </c>
      <c r="F29" s="175">
        <v>0</v>
      </c>
    </row>
    <row r="30" spans="2:6" ht="14.4" thickBot="1" x14ac:dyDescent="0.3">
      <c r="B30" s="158" t="s">
        <v>103</v>
      </c>
      <c r="C30" s="159">
        <v>0</v>
      </c>
      <c r="D30" s="160">
        <v>0</v>
      </c>
      <c r="E30" s="161">
        <f>139+31-160</f>
        <v>10</v>
      </c>
      <c r="F30" s="162">
        <f>E30*6605/2</f>
        <v>33025</v>
      </c>
    </row>
    <row r="34" spans="2:6" ht="14.4" thickBot="1" x14ac:dyDescent="0.3"/>
    <row r="35" spans="2:6" ht="14.4" thickBot="1" x14ac:dyDescent="0.3">
      <c r="B35" s="436" t="s">
        <v>115</v>
      </c>
      <c r="C35" s="437"/>
      <c r="D35" s="437"/>
      <c r="E35" s="437"/>
      <c r="F35" s="438"/>
    </row>
    <row r="36" spans="2:6" ht="14.4" thickBot="1" x14ac:dyDescent="0.3">
      <c r="B36" s="152" t="s">
        <v>118</v>
      </c>
      <c r="C36" s="439" t="s">
        <v>44</v>
      </c>
      <c r="D36" s="440"/>
      <c r="E36" s="439" t="s">
        <v>99</v>
      </c>
      <c r="F36" s="441"/>
    </row>
    <row r="37" spans="2:6" x14ac:dyDescent="0.25">
      <c r="B37" s="167" t="s">
        <v>119</v>
      </c>
      <c r="C37" s="456" t="s">
        <v>122</v>
      </c>
      <c r="D37" s="457"/>
      <c r="E37" s="457"/>
      <c r="F37" s="458"/>
    </row>
    <row r="38" spans="2:6" x14ac:dyDescent="0.25">
      <c r="B38" s="172" t="s">
        <v>120</v>
      </c>
      <c r="C38" s="459" t="s">
        <v>121</v>
      </c>
      <c r="D38" s="460"/>
      <c r="E38" s="460"/>
      <c r="F38" s="461"/>
    </row>
    <row r="39" spans="2:6" x14ac:dyDescent="0.25">
      <c r="B39" s="172" t="s">
        <v>123</v>
      </c>
      <c r="C39" s="459" t="s">
        <v>124</v>
      </c>
      <c r="D39" s="460"/>
      <c r="E39" s="460"/>
      <c r="F39" s="461"/>
    </row>
    <row r="40" spans="2:6" ht="14.4" thickBot="1" x14ac:dyDescent="0.3">
      <c r="B40" s="158" t="s">
        <v>125</v>
      </c>
      <c r="C40" s="462" t="s">
        <v>126</v>
      </c>
      <c r="D40" s="463"/>
      <c r="E40" s="463"/>
      <c r="F40" s="464"/>
    </row>
  </sheetData>
  <mergeCells count="38"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  <mergeCell ref="B9:F9"/>
    <mergeCell ref="E3:F3"/>
    <mergeCell ref="E4:F4"/>
    <mergeCell ref="E5:F5"/>
    <mergeCell ref="E6:F6"/>
    <mergeCell ref="E7:F7"/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3.8" x14ac:dyDescent="0.25"/>
  <cols>
    <col min="1" max="1" width="20.59765625" customWidth="1"/>
    <col min="2" max="2" width="10.5" bestFit="1" customWidth="1"/>
    <col min="3" max="3" width="14.59765625" customWidth="1"/>
    <col min="6" max="7" width="14.19921875" customWidth="1"/>
    <col min="8" max="8" width="11.09765625" bestFit="1" customWidth="1"/>
    <col min="9" max="9" width="13.5" bestFit="1" customWidth="1"/>
    <col min="10" max="10" width="13" bestFit="1" customWidth="1"/>
    <col min="11" max="11" width="12.5" bestFit="1" customWidth="1"/>
    <col min="12" max="12" width="11.09765625" bestFit="1" customWidth="1"/>
    <col min="14" max="14" width="9.3984375" customWidth="1"/>
  </cols>
  <sheetData>
    <row r="2" spans="1:14" x14ac:dyDescent="0.25">
      <c r="A2" t="s">
        <v>173</v>
      </c>
      <c r="B2" t="s">
        <v>174</v>
      </c>
    </row>
    <row r="3" spans="1:14" x14ac:dyDescent="0.25">
      <c r="B3" t="s">
        <v>44</v>
      </c>
    </row>
    <row r="7" spans="1:14" x14ac:dyDescent="0.25">
      <c r="N7" t="s">
        <v>175</v>
      </c>
    </row>
    <row r="8" spans="1:14" x14ac:dyDescent="0.25">
      <c r="A8" t="s">
        <v>176</v>
      </c>
      <c r="N8" t="s">
        <v>177</v>
      </c>
    </row>
    <row r="9" spans="1:14" x14ac:dyDescent="0.25">
      <c r="A9" t="s">
        <v>178</v>
      </c>
      <c r="D9" s="213" t="s">
        <v>179</v>
      </c>
      <c r="E9" s="213"/>
      <c r="N9" t="s">
        <v>180</v>
      </c>
    </row>
    <row r="10" spans="1:14" x14ac:dyDescent="0.25">
      <c r="N10" t="s">
        <v>181</v>
      </c>
    </row>
    <row r="15" spans="1:14" x14ac:dyDescent="0.25">
      <c r="A15" t="s">
        <v>182</v>
      </c>
      <c r="B15" t="s">
        <v>183</v>
      </c>
    </row>
    <row r="19" spans="1:12" x14ac:dyDescent="0.25">
      <c r="A19" s="39" t="s">
        <v>184</v>
      </c>
      <c r="B19" s="39" t="s">
        <v>175</v>
      </c>
      <c r="C19" s="39" t="s">
        <v>80</v>
      </c>
      <c r="D19" s="39" t="s">
        <v>185</v>
      </c>
      <c r="E19" s="39" t="s">
        <v>186</v>
      </c>
      <c r="F19" s="39" t="s">
        <v>187</v>
      </c>
      <c r="G19" s="39" t="s">
        <v>21</v>
      </c>
      <c r="H19" s="39" t="s">
        <v>188</v>
      </c>
      <c r="I19" s="39" t="s">
        <v>189</v>
      </c>
      <c r="J19" s="39" t="s">
        <v>190</v>
      </c>
      <c r="K19" s="39" t="s">
        <v>191</v>
      </c>
      <c r="L19" s="39" t="s">
        <v>192</v>
      </c>
    </row>
    <row r="20" spans="1:12" x14ac:dyDescent="0.25">
      <c r="A20" t="s">
        <v>193</v>
      </c>
      <c r="H20" s="149">
        <f>'תחשיב לפי שווי שומה (2)'!B8</f>
        <v>12000</v>
      </c>
      <c r="I20" s="190">
        <v>0</v>
      </c>
      <c r="J20" s="150">
        <f>D20*G20*H20*I20</f>
        <v>0</v>
      </c>
      <c r="K20" s="190">
        <v>0.51</v>
      </c>
      <c r="L20" s="149">
        <f>'[1]תחשיב לפי שווי שומה (2)'!$B$26*G20</f>
        <v>0</v>
      </c>
    </row>
    <row r="21" spans="1:12" x14ac:dyDescent="0.25">
      <c r="A21" t="s">
        <v>194</v>
      </c>
      <c r="H21" s="150">
        <f>H20</f>
        <v>12000</v>
      </c>
      <c r="I21" s="190">
        <v>0</v>
      </c>
      <c r="J21" s="150">
        <f>D21*G21*H21*I21</f>
        <v>0</v>
      </c>
      <c r="K21" s="190">
        <v>0.51</v>
      </c>
      <c r="L21" s="149">
        <f>'[1]תחשיב לפי שווי שומה (2)'!$B$26*G21</f>
        <v>0</v>
      </c>
    </row>
    <row r="22" spans="1:12" x14ac:dyDescent="0.25">
      <c r="A22" t="s">
        <v>195</v>
      </c>
      <c r="H22" s="150">
        <f>H21</f>
        <v>12000</v>
      </c>
      <c r="I22" s="190">
        <v>0.05</v>
      </c>
      <c r="J22" s="150">
        <f>D22*G22*H22*I22</f>
        <v>0</v>
      </c>
      <c r="K22" s="190">
        <v>0.51</v>
      </c>
      <c r="L22" s="149">
        <f>'[1]תחשיב לפי שווי שומה (2)'!$B$26*G22</f>
        <v>0</v>
      </c>
    </row>
    <row r="23" spans="1:12" x14ac:dyDescent="0.25">
      <c r="A23" t="s">
        <v>196</v>
      </c>
      <c r="H23" s="150">
        <f>H22</f>
        <v>12000</v>
      </c>
      <c r="I23" s="190">
        <v>0.05</v>
      </c>
      <c r="J23" s="150">
        <f>D23*G23*H23*I23</f>
        <v>0</v>
      </c>
      <c r="K23" s="190">
        <v>0.51</v>
      </c>
      <c r="L23" s="149">
        <f>'[1]תחשיב לפי שווי שומה (2)'!$B$26*G23</f>
        <v>0</v>
      </c>
    </row>
    <row r="24" spans="1:12" x14ac:dyDescent="0.25">
      <c r="A24" t="s">
        <v>197</v>
      </c>
      <c r="H24" s="150"/>
      <c r="I24" s="190">
        <v>0.05</v>
      </c>
      <c r="J24" s="150">
        <f>D24*G24*H24*I24</f>
        <v>0</v>
      </c>
      <c r="K24" s="190">
        <v>0.51</v>
      </c>
      <c r="L24" s="149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customXml/itemProps3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תחשיב לפי שווי שומה (2)</vt:lpstr>
      <vt:lpstr>סיכום עלויות פיצולים</vt:lpstr>
      <vt:lpstr>מ"ר אקו' נחלה</vt:lpstr>
      <vt:lpstr>תחשיבי הסדרה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Roi Boost</cp:lastModifiedBy>
  <cp:lastPrinted>2021-12-23T08:27:36Z</cp:lastPrinted>
  <dcterms:created xsi:type="dcterms:W3CDTF">2021-03-08T14:46:48Z</dcterms:created>
  <dcterms:modified xsi:type="dcterms:W3CDTF">2026-02-18T14:56:12Z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