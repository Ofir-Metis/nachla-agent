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ברוך אילון - רשפון/פרויקט בדיקת התכנות/בדיקת התכנות/"/>
    </mc:Choice>
  </mc:AlternateContent>
  <xr:revisionPtr revIDLastSave="703" documentId="8_{E9A5D54E-385F-4F6C-AF2C-D62B03C85759}" xr6:coauthVersionLast="47" xr6:coauthVersionMax="47" xr10:uidLastSave="{71488A01-2AA2-45D9-8914-B8B705D9C355}"/>
  <bookViews>
    <workbookView xWindow="-28920" yWindow="-120" windowWidth="29040" windowHeight="15720" activeTab="2" xr2:uid="{A05DD401-26F7-4249-BA87-8825FF0852EB}"/>
  </bookViews>
  <sheets>
    <sheet name="תחשיב לפי שווי שומה (2)" sheetId="6" r:id="rId1"/>
    <sheet name="היטל השבחה בית שלישי" sheetId="11" r:id="rId2"/>
    <sheet name="מ&quot;ר אקו' נחלה" sheetId="3" r:id="rId3"/>
    <sheet name="זיכוי דמי היתר ששולמו" sheetId="10" r:id="rId4"/>
    <sheet name="ניתוח איזור לעסקאות דמה" sheetId="5" r:id="rId5"/>
    <sheet name="חישוב גדלי בתים" sheetId="4" r:id="rId6"/>
    <sheet name="תבעות" sheetId="8" r:id="rId7"/>
    <sheet name="גיליון1" sheetId="7" r:id="rId8"/>
    <sheet name="בקרה" sheetId="9" r:id="rId9"/>
  </sheets>
  <externalReferences>
    <externalReference r:id="rId10"/>
  </externalReferences>
  <definedNames>
    <definedName name="_xlnm._FilterDatabase" localSheetId="6" hidden="1">תבעות!$A$2:$F$9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0" l="1"/>
  <c r="T21" i="10"/>
  <c r="T12" i="10"/>
  <c r="T13" i="10"/>
  <c r="T11" i="10"/>
  <c r="F6" i="10"/>
  <c r="F9" i="10"/>
  <c r="F10" i="10"/>
  <c r="D16" i="10"/>
  <c r="F16" i="10"/>
  <c r="F17" i="10"/>
  <c r="E25" i="10"/>
  <c r="E26" i="10"/>
  <c r="E27" i="10"/>
  <c r="E28" i="10"/>
  <c r="E29" i="10"/>
  <c r="E30" i="10"/>
  <c r="T14" i="10" l="1"/>
  <c r="T16" i="10" s="1"/>
  <c r="F11" i="10"/>
  <c r="F12" i="10" s="1"/>
  <c r="F18" i="10"/>
  <c r="F19" i="10" s="1"/>
  <c r="I26" i="10"/>
  <c r="T23" i="10"/>
  <c r="T25" i="10" s="1"/>
  <c r="J4" i="10" l="1"/>
  <c r="L19" i="10"/>
  <c r="L20" i="10" s="1"/>
  <c r="T27" i="10"/>
  <c r="F20" i="10"/>
  <c r="F21" i="10" s="1"/>
  <c r="R33" i="10" l="1"/>
  <c r="D27" i="11"/>
  <c r="D28" i="11" s="1"/>
  <c r="B24" i="3"/>
  <c r="D21" i="3"/>
  <c r="D22" i="3"/>
  <c r="D23" i="3"/>
  <c r="D20" i="3"/>
  <c r="D16" i="11"/>
  <c r="F16" i="11" s="1"/>
  <c r="F6" i="11"/>
  <c r="F15" i="11"/>
  <c r="F14" i="11"/>
  <c r="F13" i="11"/>
  <c r="F12" i="11"/>
  <c r="D28" i="3"/>
  <c r="B8" i="3"/>
  <c r="D25" i="4"/>
  <c r="D15" i="4"/>
  <c r="F28" i="5"/>
  <c r="D26" i="5"/>
  <c r="F26" i="5" s="1"/>
  <c r="F25" i="5"/>
  <c r="F23" i="5"/>
  <c r="D22" i="5"/>
  <c r="D27" i="5" s="1"/>
  <c r="F27" i="5" s="1"/>
  <c r="I18" i="5"/>
  <c r="D29" i="5" s="1"/>
  <c r="F29" i="5" s="1"/>
  <c r="M15" i="5"/>
  <c r="N15" i="5" s="1"/>
  <c r="F31" i="5" s="1"/>
  <c r="G79" i="4"/>
  <c r="G80" i="4" s="1"/>
  <c r="I80" i="4" s="1"/>
  <c r="G73" i="4"/>
  <c r="G74" i="4" s="1"/>
  <c r="G77" i="4"/>
  <c r="G82" i="4"/>
  <c r="G83" i="4" s="1"/>
  <c r="I83" i="4" s="1"/>
  <c r="G76" i="4"/>
  <c r="G75" i="4"/>
  <c r="D25" i="3" l="1"/>
  <c r="D27" i="3" s="1"/>
  <c r="D29" i="3" s="1"/>
  <c r="G78" i="4"/>
  <c r="I78" i="4" s="1"/>
  <c r="D30" i="3"/>
  <c r="F17" i="11"/>
  <c r="I74" i="4"/>
  <c r="I84" i="4" s="1"/>
  <c r="K69" i="4"/>
  <c r="F22" i="5"/>
  <c r="D24" i="5"/>
  <c r="F24" i="5" s="1"/>
  <c r="E15" i="4"/>
  <c r="L24" i="9"/>
  <c r="J24" i="9"/>
  <c r="L23" i="9"/>
  <c r="L22" i="9"/>
  <c r="L21" i="9"/>
  <c r="L20" i="9"/>
  <c r="C41" i="6"/>
  <c r="B7" i="6"/>
  <c r="D31" i="3" l="1"/>
  <c r="B4" i="6" s="1"/>
  <c r="F23" i="11"/>
  <c r="E38" i="10"/>
  <c r="G38" i="10" s="1"/>
  <c r="H20" i="9"/>
  <c r="H21" i="9" s="1"/>
  <c r="F21" i="11"/>
  <c r="F22" i="11" s="1"/>
  <c r="F24" i="11" s="1"/>
  <c r="F30" i="5"/>
  <c r="F32" i="5" s="1"/>
  <c r="O15" i="5" s="1"/>
  <c r="J21" i="9"/>
  <c r="H22" i="9"/>
  <c r="J20" i="9"/>
  <c r="B31" i="6"/>
  <c r="D39" i="6"/>
  <c r="D38" i="6"/>
  <c r="D30" i="6"/>
  <c r="D31" i="6"/>
  <c r="C42" i="6"/>
  <c r="D42" i="6" s="1"/>
  <c r="C33" i="6"/>
  <c r="D33" i="6" s="1"/>
  <c r="G15" i="4"/>
  <c r="F15" i="4"/>
  <c r="H15" i="4"/>
  <c r="E25" i="4"/>
  <c r="F25" i="4"/>
  <c r="G25" i="4"/>
  <c r="H25" i="4"/>
  <c r="I15" i="4"/>
  <c r="I25" i="4"/>
  <c r="E29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C3" i="5" l="1"/>
  <c r="O17" i="5"/>
  <c r="C6" i="5" s="1"/>
  <c r="H23" i="9"/>
  <c r="J23" i="9" s="1"/>
  <c r="J22" i="9"/>
  <c r="D41" i="6"/>
  <c r="C34" i="6"/>
  <c r="D34" i="6" s="1"/>
  <c r="G26" i="4"/>
  <c r="I26" i="4"/>
  <c r="H26" i="4"/>
  <c r="D26" i="4"/>
  <c r="F26" i="4"/>
  <c r="E26" i="4"/>
  <c r="C14" i="6" l="1"/>
  <c r="D28" i="4"/>
  <c r="D8" i="6" l="1"/>
  <c r="S25" i="4" l="1"/>
  <c r="R25" i="4"/>
  <c r="Q25" i="4"/>
  <c r="P25" i="4"/>
  <c r="O25" i="4"/>
  <c r="N25" i="4"/>
  <c r="M25" i="4"/>
  <c r="L25" i="4"/>
  <c r="K25" i="4"/>
  <c r="J25" i="4"/>
  <c r="D10" i="3" l="1"/>
  <c r="D7" i="3"/>
  <c r="D6" i="3"/>
  <c r="D5" i="3"/>
  <c r="D4" i="3"/>
  <c r="B9" i="3" l="1"/>
  <c r="B11" i="3" l="1"/>
  <c r="D11" i="3" s="1"/>
  <c r="D13" i="3" s="1"/>
  <c r="G26" i="3" s="1"/>
  <c r="S15" i="4"/>
  <c r="R15" i="4"/>
  <c r="Q15" i="4"/>
  <c r="O15" i="4"/>
  <c r="M15" i="4"/>
  <c r="L15" i="4"/>
  <c r="K15" i="4"/>
  <c r="J15" i="4"/>
  <c r="P15" i="4"/>
  <c r="N15" i="4"/>
  <c r="H24" i="3"/>
  <c r="B13" i="3" l="1"/>
  <c r="S26" i="4"/>
  <c r="R26" i="4"/>
  <c r="O26" i="4"/>
  <c r="P26" i="4"/>
  <c r="N26" i="4"/>
  <c r="Q26" i="4"/>
  <c r="M26" i="4"/>
  <c r="L26" i="4"/>
  <c r="K26" i="4"/>
  <c r="J26" i="4"/>
  <c r="E53" i="4"/>
  <c r="F52" i="4"/>
  <c r="F51" i="4"/>
  <c r="F47" i="4"/>
  <c r="E48" i="4"/>
  <c r="D48" i="4"/>
  <c r="F48" i="4" l="1"/>
  <c r="E55" i="4"/>
  <c r="F46" i="4"/>
  <c r="D53" i="4"/>
  <c r="F53" i="4" s="1"/>
  <c r="G11" i="6"/>
  <c r="G12" i="6" s="1"/>
  <c r="F55" i="4" l="1"/>
  <c r="D55" i="4"/>
  <c r="I57" i="3"/>
  <c r="F49" i="3"/>
  <c r="I55" i="3"/>
  <c r="G54" i="3"/>
  <c r="I56" i="3" s="1"/>
  <c r="I53" i="3"/>
  <c r="I52" i="3"/>
  <c r="I51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G10" i="6"/>
  <c r="I37" i="3"/>
  <c r="G38" i="3"/>
  <c r="I38" i="3" s="1"/>
  <c r="F37" i="3"/>
  <c r="B43" i="3"/>
  <c r="B44" i="3" s="1"/>
  <c r="D45" i="3" s="1"/>
  <c r="D38" i="3"/>
  <c r="D41" i="3"/>
  <c r="D40" i="3"/>
  <c r="D39" i="3"/>
  <c r="F17" i="6"/>
  <c r="I7" i="3" l="1"/>
  <c r="I4" i="3"/>
  <c r="G8" i="3"/>
  <c r="G9" i="3" s="1"/>
  <c r="I6" i="3"/>
  <c r="J39" i="3"/>
  <c r="J40" i="3" s="1"/>
  <c r="I58" i="3"/>
  <c r="I59" i="3" s="1"/>
  <c r="G58" i="3"/>
  <c r="I39" i="3"/>
  <c r="I5" i="3"/>
  <c r="D42" i="3"/>
  <c r="D37" i="3"/>
  <c r="D46" i="3" l="1"/>
  <c r="B38" i="6" s="1"/>
  <c r="B39" i="6" s="1"/>
  <c r="B41" i="6" s="1"/>
  <c r="B42" i="6" s="1"/>
  <c r="D6" i="6"/>
  <c r="B11" i="6" s="1"/>
  <c r="B14" i="6"/>
  <c r="D14" i="6" s="1"/>
  <c r="F14" i="6" s="1"/>
  <c r="K39" i="3"/>
  <c r="M39" i="3" s="1"/>
  <c r="D23" i="6"/>
  <c r="D22" i="6"/>
  <c r="F22" i="6" s="1"/>
  <c r="D21" i="6"/>
  <c r="D20" i="6"/>
  <c r="F20" i="6" s="1"/>
  <c r="D19" i="6"/>
  <c r="D18" i="6"/>
  <c r="D17" i="6"/>
  <c r="D16" i="6"/>
  <c r="B30" i="6" l="1"/>
  <c r="B33" i="6" s="1"/>
  <c r="B34" i="6" s="1"/>
  <c r="I40" i="3"/>
  <c r="K40" i="3" s="1"/>
  <c r="M40" i="3" s="1"/>
  <c r="M41" i="3" s="1"/>
  <c r="B6" i="6"/>
  <c r="B12" i="6" s="1"/>
  <c r="B13" i="6" s="1"/>
  <c r="D11" i="6"/>
  <c r="F11" i="6" s="1"/>
  <c r="H11" i="6" s="1"/>
  <c r="F19" i="6"/>
  <c r="F23" i="6"/>
  <c r="F18" i="6"/>
  <c r="F21" i="6"/>
  <c r="D12" i="6" l="1"/>
  <c r="F12" i="6" s="1"/>
  <c r="F13" i="6" l="1"/>
  <c r="H12" i="6"/>
  <c r="H13" i="6" s="1"/>
  <c r="E35" i="4" l="1"/>
  <c r="D55" i="3"/>
  <c r="B54" i="3"/>
  <c r="B56" i="3" s="1"/>
  <c r="D56" i="3" s="1"/>
  <c r="D53" i="3"/>
  <c r="D52" i="3"/>
  <c r="D51" i="3"/>
  <c r="E33" i="4" l="1"/>
  <c r="D58" i="3"/>
  <c r="D59" i="3" s="1"/>
  <c r="E30" i="4"/>
  <c r="B58" i="3"/>
  <c r="E39" i="4"/>
  <c r="G17" i="6" l="1"/>
  <c r="E34" i="4"/>
  <c r="E36" i="4" s="1"/>
  <c r="E38" i="4" s="1"/>
  <c r="E40" i="4" s="1"/>
  <c r="B5" i="6"/>
  <c r="B10" i="6" s="1"/>
  <c r="D10" i="6" l="1"/>
  <c r="F10" i="6" s="1"/>
  <c r="H10" i="6" s="1"/>
  <c r="G11" i="3" l="1"/>
  <c r="D14" i="3" l="1"/>
  <c r="I11" i="3"/>
  <c r="G13" i="3"/>
  <c r="B3" i="6" l="1"/>
  <c r="J3" i="10"/>
  <c r="R5" i="10"/>
  <c r="I13" i="3"/>
  <c r="I14" i="3" s="1"/>
  <c r="B2" i="6" s="1"/>
  <c r="R6" i="10" l="1"/>
  <c r="R7" i="10" s="1"/>
  <c r="R32" i="10"/>
  <c r="R34" i="10" s="1"/>
  <c r="J5" i="10"/>
  <c r="E37" i="10"/>
  <c r="G37" i="10" s="1"/>
  <c r="G40" i="10" s="1"/>
  <c r="B15" i="6" l="1"/>
  <c r="D15" i="6" s="1"/>
  <c r="F15" i="6" s="1"/>
  <c r="H15" i="6" s="1"/>
  <c r="R36" i="10"/>
  <c r="R37" i="10" s="1"/>
  <c r="R38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4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5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77" authorId="0" shapeId="0" xr:uid="{54AF3ABE-A2D0-423C-A2DD-E82764B0B2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חלק מהבית</t>
        </r>
      </text>
    </comment>
  </commentList>
</comments>
</file>

<file path=xl/sharedStrings.xml><?xml version="1.0" encoding="utf-8"?>
<sst xmlns="http://schemas.openxmlformats.org/spreadsheetml/2006/main" count="480" uniqueCount="304">
  <si>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</si>
  <si>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</si>
  <si>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</si>
  <si>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</si>
  <si>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</si>
  <si>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</si>
  <si>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</si>
  <si>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</si>
  <si>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</si>
  <si>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</si>
  <si>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</si>
  <si>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</si>
  <si>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</si>
  <si>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</si>
  <si>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</si>
  <si>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</si>
  <si>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</si>
  <si>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</si>
  <si>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</si>
  <si>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</si>
  <si>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</si>
  <si>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</si>
  <si>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</si>
  <si>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</si>
  <si>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</si>
  <si>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</si>
  <si>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</si>
  <si>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</si>
  <si>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</si>
  <si>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</si>
  <si>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</si>
  <si>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</si>
  <si>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</si>
  <si>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</si>
  <si>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</si>
  <si>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</si>
  <si>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</si>
  <si>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</si>
  <si>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</si>
  <si>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</si>
  <si>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</si>
  <si>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</si>
  <si>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</si>
  <si>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</si>
  <si>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</si>
  <si>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</si>
  <si>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</si>
  <si>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</si>
  <si>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</si>
  <si>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</si>
  <si>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</si>
  <si>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</si>
  <si>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</si>
  <si>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</si>
  <si>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</si>
  <si>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</si>
  <si>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</si>
  <si>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</si>
  <si>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</si>
  <si>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</si>
  <si>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</si>
  <si>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</si>
  <si>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</si>
  <si>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</si>
  <si>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</si>
  <si>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</si>
  <si>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</si>
  <si>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</si>
  <si>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</si>
  <si>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</si>
  <si>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</si>
  <si>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</si>
  <si>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</si>
  <si>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</si>
  <si>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</si>
  <si>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</si>
  <si>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</si>
  <si>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</si>
  <si>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</si>
  <si>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</si>
  <si>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</si>
  <si>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</si>
  <si>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</si>
  <si>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</si>
  <si>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</si>
  <si>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</si>
  <si>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</si>
  <si>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</si>
  <si>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</si>
  <si>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</si>
  <si>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</si>
  <si>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</si>
  <si>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</si>
  <si>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</si>
  <si>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</si>
  <si>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</si>
  <si>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</si>
  <si>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</si>
  <si>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</si>
  <si>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</si>
  <si>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</si>
  <si>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</si>
  <si>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</si>
  <si>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</si>
  <si>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</si>
  <si>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</si>
  <si>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</si>
  <si>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</si>
  <si>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</si>
  <si>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</si>
  <si>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</si>
  <si>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</si>
  <si>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</si>
  <si>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</si>
  <si>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</si>
  <si>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</si>
  <si>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</si>
  <si>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</si>
  <si>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</si>
  <si>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</si>
  <si>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</si>
  <si>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</si>
  <si>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</si>
  <si>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</si>
  <si>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</si>
  <si>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</si>
  <si>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</si>
  <si>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</si>
  <si>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</si>
  <si>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</si>
  <si>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</si>
  <si>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</si>
  <si>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</si>
  <si>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</si>
  <si>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</si>
  <si>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</si>
  <si>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</si>
  <si>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</si>
  <si>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</si>
  <si>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</si>
  <si>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</si>
  <si>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</si>
  <si>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</si>
  <si>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</si>
  <si>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</si>
  <si>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</si>
  <si>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</si>
  <si>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</si>
  <si>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</si>
  <si>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</si>
  <si>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</si>
  <si>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</si>
  <si>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</si>
  <si>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</si>
  <si>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</si>
  <si>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</si>
  <si>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</si>
  <si>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</si>
  <si>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</si>
  <si>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</si>
  <si>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</si>
  <si>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</si>
  <si>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</si>
  <si>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</si>
  <si>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</si>
  <si>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גובמאפ</t>
  </si>
  <si>
    <t>בתים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</si>
  <si>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</si>
  <si>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</si>
  <si>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</si>
  <si>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</si>
  <si>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</si>
  <si>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</si>
  <si>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</si>
  <si>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</si>
  <si>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</si>
  <si>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</si>
  <si>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</si>
  <si>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</si>
  <si>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</si>
  <si>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</si>
  <si>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</si>
  <si>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</si>
  <si>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</si>
  <si>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</si>
  <si>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</si>
  <si>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</si>
  <si>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</si>
  <si>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</si>
  <si>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</si>
  <si>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</si>
  <si>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</si>
  <si>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חש/13</t>
  </si>
  <si>
    <t>1 או 2 מחוברים</t>
  </si>
  <si>
    <t>אתר הועדה</t>
  </si>
  <si>
    <t>חש/מק/36/13</t>
  </si>
  <si>
    <t>היטל השבחה</t>
  </si>
  <si>
    <t>מבנה מס' 1- בית מגורים</t>
  </si>
  <si>
    <t>קומה א'</t>
  </si>
  <si>
    <t>מרתף</t>
  </si>
  <si>
    <t>מבנה מס' 2- פרגולה</t>
  </si>
  <si>
    <t>מבנה מס' 3- מלונות כלבים</t>
  </si>
  <si>
    <t>מבנה מס' 4-מלונות כלבים</t>
  </si>
  <si>
    <t>מבנה מס' 5-סככת חניה</t>
  </si>
  <si>
    <t>מבנה מס' 6-קונטיינר מגורים עובד</t>
  </si>
  <si>
    <t>מבנה מס' 7- לול תרנגולות</t>
  </si>
  <si>
    <t>מבנה מס' 8-אורוות סוסים</t>
  </si>
  <si>
    <t>מבנה מס' 9-סככה</t>
  </si>
  <si>
    <t>מבנה מס' 10-מכולה</t>
  </si>
  <si>
    <t>חש/6/13</t>
  </si>
  <si>
    <t>בריכה</t>
  </si>
  <si>
    <t>היתר שנת2010</t>
  </si>
  <si>
    <t>היתר 2010</t>
  </si>
  <si>
    <t>דירה א'</t>
  </si>
  <si>
    <t>שטח קרקע</t>
  </si>
  <si>
    <t>פרגולה</t>
  </si>
  <si>
    <t>דירה ב'</t>
  </si>
  <si>
    <t>פל"ח</t>
  </si>
  <si>
    <t>חניה</t>
  </si>
  <si>
    <t>סה"כ מרתף</t>
  </si>
  <si>
    <t>סה"כ קרקע</t>
  </si>
  <si>
    <t>סה"כ א'</t>
  </si>
  <si>
    <t>סה"כ פרגולות</t>
  </si>
  <si>
    <t>מפה</t>
  </si>
  <si>
    <t>פער</t>
  </si>
  <si>
    <t>גוש חלקה</t>
  </si>
  <si>
    <t>יום מכירה</t>
  </si>
  <si>
    <t>תמורה מוצהרת בש"ח</t>
  </si>
  <si>
    <t>שווי מכירה בש"ח</t>
  </si>
  <si>
    <t>מהות</t>
  </si>
  <si>
    <t>חלק נמכר</t>
  </si>
  <si>
    <t>ישוב</t>
  </si>
  <si>
    <t>שטח חלקה</t>
  </si>
  <si>
    <t>תרומת הבנוי</t>
  </si>
  <si>
    <t>שווי יתרת מגרש</t>
  </si>
  <si>
    <t>שווי מ"ר מבונה</t>
  </si>
  <si>
    <t>דירת מגורים</t>
  </si>
  <si>
    <t>רשפון</t>
  </si>
  <si>
    <t>תבע</t>
  </si>
  <si>
    <t>שירות</t>
  </si>
  <si>
    <t>קומות</t>
  </si>
  <si>
    <t>תכסית</t>
  </si>
  <si>
    <t>חש/במ/17/13</t>
  </si>
  <si>
    <t>קונטור ולא יותר מ140</t>
  </si>
  <si>
    <t>ניתוח שטח אקו' עסקת ההשוואה</t>
  </si>
  <si>
    <t>שטח</t>
  </si>
  <si>
    <t>עיקרי ק.ק</t>
  </si>
  <si>
    <t>עיקרי ק.א</t>
  </si>
  <si>
    <t>חדר יציאה לגג</t>
  </si>
  <si>
    <t>יתרת שירות עילי</t>
  </si>
  <si>
    <t>סה"כ שטח אקו'</t>
  </si>
  <si>
    <t>שווי מ"ר מבונה אקו'</t>
  </si>
  <si>
    <t>מקדם נחלה</t>
  </si>
  <si>
    <t>מתואם</t>
  </si>
  <si>
    <t>דחייה למימוש</t>
  </si>
  <si>
    <t>בית ראשון בהיתר</t>
  </si>
  <si>
    <t>בית שני בהיתר</t>
  </si>
  <si>
    <t>בניכוי 160 פטור</t>
  </si>
  <si>
    <t>סה"כ דמי היתר ששולמו לזיכוי</t>
  </si>
  <si>
    <t>זיכוי מתוך הדמי רכישה 20%</t>
  </si>
  <si>
    <t>שטח מגרש</t>
  </si>
  <si>
    <t>מצב קודם</t>
  </si>
  <si>
    <t>חצר שולית</t>
  </si>
  <si>
    <t>מצב חדש</t>
  </si>
  <si>
    <t>סה"כ השבחה</t>
  </si>
  <si>
    <t>שווי מ"ר מבונה אק'</t>
  </si>
  <si>
    <t>סה"כ היטל השבחה</t>
  </si>
  <si>
    <t>ניכוי תשלום דמי היתר</t>
  </si>
  <si>
    <t>יתרת שירות</t>
  </si>
  <si>
    <t>סה"כ לאחר דחיה</t>
  </si>
  <si>
    <t>שווי מ"ר בנוי</t>
  </si>
  <si>
    <t>בניכוי חצר שולית</t>
  </si>
  <si>
    <t xml:space="preserve">סה"כ דמי היתר עודפים ששולמו </t>
  </si>
  <si>
    <t>סה"כ שטח אקו' בנחלה</t>
  </si>
  <si>
    <t>שטח לתשלום 20%</t>
  </si>
  <si>
    <t>מ"ר להיוון</t>
  </si>
  <si>
    <t>מ"ר ששולמו</t>
  </si>
  <si>
    <t>בית קדמי A</t>
  </si>
  <si>
    <t>שולם</t>
  </si>
  <si>
    <t>עיקרי קומה א'</t>
  </si>
  <si>
    <t>בית אחורי B</t>
  </si>
  <si>
    <t>שטח אקו' נחלה</t>
  </si>
  <si>
    <t>שטח פטור</t>
  </si>
  <si>
    <t xml:space="preserve">עיקרי </t>
  </si>
  <si>
    <t>סה"כ שטח נוסף שנרכש</t>
  </si>
  <si>
    <t>שטח שנרכש</t>
  </si>
  <si>
    <t>סה"כ זיכוי</t>
  </si>
  <si>
    <t>יתרת שטח לתשלום לאחר זיכוי</t>
  </si>
  <si>
    <t>בניכוי עלויות פיתוח</t>
  </si>
  <si>
    <t>תשלום בשיעור 20%</t>
  </si>
  <si>
    <t>תשלום בשיעור 20% לאחר זיכוי</t>
  </si>
  <si>
    <t>היוון 20%</t>
  </si>
  <si>
    <t>שווי קרקע</t>
  </si>
  <si>
    <t>שיעור</t>
  </si>
  <si>
    <t>סכום</t>
  </si>
  <si>
    <t>שווי דמי היתר ששוולמו</t>
  </si>
  <si>
    <t>תשלום היוון מלא</t>
  </si>
  <si>
    <t>ניכוי פיתוח</t>
  </si>
  <si>
    <t>תחשיב ההיוון</t>
  </si>
  <si>
    <t>חש/10/10</t>
  </si>
  <si>
    <t>תבע עכשיו</t>
  </si>
  <si>
    <t>מרתף והגדלת שירות</t>
  </si>
  <si>
    <t>חש/11/10</t>
  </si>
  <si>
    <t>008922-0039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</si>
</sst>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  <numFmt numFmtId="167" formatCode="0.0"/>
    <numFmt numFmtId="168" formatCode="_ * #,##0.0_ ;_ * \-#,##0.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sz val="10"/>
      <color rgb="FF263C4A"/>
      <name val="Arial"/>
      <family val="2"/>
      <scheme val="minor"/>
    </font>
    <font>
      <sz val="10"/>
      <color rgb="FF32332F"/>
      <name val="Arial"/>
      <family val="2"/>
      <scheme val="minor"/>
    </font>
    <font>
      <u/>
      <sz val="11"/>
      <color rgb="FFFF0000"/>
      <name val="Arial"/>
      <family val="2"/>
      <charset val="177"/>
      <scheme val="minor"/>
    </font>
    <font>
      <b/>
      <sz val="9"/>
      <color rgb="FF32332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rgb="FFCCDD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6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14" fontId="19" fillId="0" borderId="0" xfId="0" applyNumberFormat="1" applyFont="1"/>
    <xf numFmtId="14" fontId="20" fillId="0" borderId="0" xfId="0" applyNumberFormat="1" applyFont="1"/>
    <xf numFmtId="165" fontId="21" fillId="3" borderId="17" xfId="1" applyNumberFormat="1" applyFont="1" applyFill="1" applyBorder="1" applyAlignment="1">
      <alignment horizontal="center" vertical="center" wrapText="1"/>
    </xf>
    <xf numFmtId="0" fontId="22" fillId="0" borderId="0" xfId="0" applyFont="1"/>
    <xf numFmtId="0" fontId="23" fillId="11" borderId="69" xfId="0" applyFont="1" applyFill="1" applyBorder="1" applyAlignment="1">
      <alignment horizontal="center" vertical="center" wrapText="1"/>
    </xf>
    <xf numFmtId="0" fontId="24" fillId="0" borderId="69" xfId="0" applyFont="1" applyBorder="1" applyAlignment="1">
      <alignment wrapText="1"/>
    </xf>
    <xf numFmtId="14" fontId="24" fillId="0" borderId="69" xfId="0" applyNumberFormat="1" applyFont="1" applyBorder="1" applyAlignment="1">
      <alignment wrapText="1"/>
    </xf>
    <xf numFmtId="3" fontId="24" fillId="0" borderId="69" xfId="0" applyNumberFormat="1" applyFont="1" applyBorder="1" applyAlignment="1">
      <alignment wrapText="1"/>
    </xf>
    <xf numFmtId="165" fontId="24" fillId="0" borderId="69" xfId="0" applyNumberFormat="1" applyFont="1" applyBorder="1" applyAlignment="1">
      <alignment wrapText="1"/>
    </xf>
    <xf numFmtId="0" fontId="24" fillId="0" borderId="22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 wrapText="1"/>
    </xf>
    <xf numFmtId="0" fontId="23" fillId="0" borderId="0" xfId="0" applyFont="1"/>
    <xf numFmtId="0" fontId="0" fillId="0" borderId="0" xfId="0" applyAlignment="1">
      <alignment wrapText="1"/>
    </xf>
    <xf numFmtId="0" fontId="0" fillId="0" borderId="22" xfId="0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3" fontId="0" fillId="0" borderId="22" xfId="0" applyNumberForma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65" fontId="6" fillId="0" borderId="22" xfId="1" applyNumberFormat="1" applyFont="1" applyBorder="1" applyAlignment="1">
      <alignment horizontal="center" vertical="center"/>
    </xf>
    <xf numFmtId="0" fontId="0" fillId="0" borderId="22" xfId="0" applyBorder="1"/>
    <xf numFmtId="0" fontId="6" fillId="0" borderId="22" xfId="0" applyFont="1" applyBorder="1"/>
    <xf numFmtId="165" fontId="0" fillId="0" borderId="22" xfId="1" applyNumberFormat="1" applyFont="1" applyBorder="1"/>
    <xf numFmtId="165" fontId="6" fillId="0" borderId="22" xfId="1" applyNumberFormat="1" applyFont="1" applyBorder="1"/>
    <xf numFmtId="0" fontId="0" fillId="2" borderId="22" xfId="0" applyFill="1" applyBorder="1"/>
    <xf numFmtId="165" fontId="0" fillId="2" borderId="22" xfId="1" applyNumberFormat="1" applyFont="1" applyFill="1" applyBorder="1"/>
    <xf numFmtId="0" fontId="0" fillId="0" borderId="0" xfId="0" applyAlignment="1">
      <alignment horizontal="center" vertical="center"/>
    </xf>
    <xf numFmtId="0" fontId="0" fillId="0" borderId="46" xfId="0" applyBorder="1"/>
    <xf numFmtId="0" fontId="0" fillId="0" borderId="70" xfId="0" applyBorder="1"/>
    <xf numFmtId="0" fontId="0" fillId="0" borderId="46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30" xfId="0" applyBorder="1" applyAlignment="1">
      <alignment horizontal="center"/>
    </xf>
    <xf numFmtId="2" fontId="6" fillId="0" borderId="72" xfId="0" applyNumberFormat="1" applyFont="1" applyBorder="1" applyAlignment="1">
      <alignment horizontal="center"/>
    </xf>
    <xf numFmtId="167" fontId="0" fillId="0" borderId="22" xfId="0" applyNumberFormat="1" applyBorder="1"/>
    <xf numFmtId="43" fontId="0" fillId="0" borderId="22" xfId="1" applyFont="1" applyBorder="1"/>
    <xf numFmtId="168" fontId="0" fillId="0" borderId="22" xfId="1" applyNumberFormat="1" applyFont="1" applyBorder="1"/>
    <xf numFmtId="0" fontId="6" fillId="0" borderId="0" xfId="0" applyFont="1" applyAlignment="1">
      <alignment horizontal="center"/>
    </xf>
    <xf numFmtId="0" fontId="5" fillId="0" borderId="22" xfId="0" applyFont="1" applyBorder="1"/>
    <xf numFmtId="1" fontId="6" fillId="0" borderId="0" xfId="0" applyNumberFormat="1" applyFont="1"/>
    <xf numFmtId="0" fontId="6" fillId="0" borderId="22" xfId="0" applyFont="1" applyBorder="1" applyAlignment="1">
      <alignment horizontal="center"/>
    </xf>
    <xf numFmtId="1" fontId="6" fillId="0" borderId="22" xfId="0" applyNumberFormat="1" applyFont="1" applyBorder="1"/>
    <xf numFmtId="43" fontId="6" fillId="0" borderId="22" xfId="1" applyFont="1" applyBorder="1"/>
    <xf numFmtId="0" fontId="0" fillId="13" borderId="22" xfId="0" applyFill="1" applyBorder="1" applyAlignment="1">
      <alignment horizontal="center" vertical="center"/>
    </xf>
    <xf numFmtId="0" fontId="6" fillId="13" borderId="22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31" xfId="0" applyBorder="1"/>
    <xf numFmtId="0" fontId="0" fillId="0" borderId="11" xfId="0" applyBorder="1"/>
    <xf numFmtId="0" fontId="0" fillId="0" borderId="21" xfId="0" applyBorder="1"/>
    <xf numFmtId="0" fontId="5" fillId="0" borderId="73" xfId="0" applyFont="1" applyBorder="1"/>
    <xf numFmtId="0" fontId="5" fillId="0" borderId="64" xfId="0" applyFont="1" applyBorder="1"/>
    <xf numFmtId="0" fontId="0" fillId="0" borderId="73" xfId="0" applyBorder="1"/>
    <xf numFmtId="0" fontId="0" fillId="0" borderId="64" xfId="0" applyBorder="1"/>
    <xf numFmtId="164" fontId="0" fillId="0" borderId="64" xfId="0" applyNumberFormat="1" applyBorder="1"/>
    <xf numFmtId="164" fontId="0" fillId="0" borderId="0" xfId="2" applyNumberFormat="1" applyFont="1" applyBorder="1"/>
    <xf numFmtId="164" fontId="0" fillId="0" borderId="2" xfId="2" applyNumberFormat="1" applyFont="1" applyBorder="1"/>
    <xf numFmtId="0" fontId="5" fillId="0" borderId="7" xfId="0" applyFont="1" applyBorder="1"/>
    <xf numFmtId="0" fontId="5" fillId="0" borderId="8" xfId="0" applyFont="1" applyBorder="1"/>
    <xf numFmtId="0" fontId="8" fillId="0" borderId="7" xfId="0" applyFont="1" applyBorder="1"/>
    <xf numFmtId="0" fontId="8" fillId="0" borderId="8" xfId="0" applyFont="1" applyBorder="1"/>
    <xf numFmtId="0" fontId="6" fillId="0" borderId="7" xfId="0" applyFont="1" applyBorder="1"/>
    <xf numFmtId="0" fontId="6" fillId="0" borderId="8" xfId="0" applyFont="1" applyBorder="1"/>
    <xf numFmtId="0" fontId="0" fillId="0" borderId="34" xfId="0" applyBorder="1"/>
    <xf numFmtId="0" fontId="0" fillId="0" borderId="35" xfId="0" applyBorder="1"/>
    <xf numFmtId="164" fontId="6" fillId="0" borderId="0" xfId="2" applyNumberFormat="1" applyFont="1" applyBorder="1"/>
    <xf numFmtId="0" fontId="16" fillId="0" borderId="7" xfId="0" applyFont="1" applyBorder="1"/>
    <xf numFmtId="0" fontId="0" fillId="0" borderId="33" xfId="0" applyBorder="1"/>
    <xf numFmtId="164" fontId="0" fillId="0" borderId="34" xfId="0" applyNumberFormat="1" applyBorder="1"/>
    <xf numFmtId="164" fontId="8" fillId="0" borderId="0" xfId="2" applyNumberFormat="1" applyFont="1" applyBorder="1"/>
    <xf numFmtId="164" fontId="0" fillId="0" borderId="22" xfId="2" applyNumberFormat="1" applyFont="1" applyBorder="1"/>
    <xf numFmtId="9" fontId="0" fillId="0" borderId="22" xfId="0" applyNumberFormat="1" applyBorder="1"/>
    <xf numFmtId="0" fontId="5" fillId="0" borderId="49" xfId="0" applyFont="1" applyBorder="1"/>
    <xf numFmtId="0" fontId="5" fillId="0" borderId="55" xfId="0" applyFont="1" applyBorder="1"/>
    <xf numFmtId="0" fontId="5" fillId="0" borderId="56" xfId="0" applyFont="1" applyBorder="1"/>
    <xf numFmtId="164" fontId="0" fillId="0" borderId="70" xfId="2" applyNumberFormat="1" applyFont="1" applyBorder="1"/>
    <xf numFmtId="0" fontId="0" fillId="0" borderId="71" xfId="0" applyBorder="1"/>
    <xf numFmtId="0" fontId="0" fillId="0" borderId="30" xfId="0" applyBorder="1"/>
    <xf numFmtId="164" fontId="0" fillId="0" borderId="72" xfId="2" applyNumberFormat="1" applyFont="1" applyBorder="1"/>
    <xf numFmtId="0" fontId="0" fillId="0" borderId="47" xfId="0" applyBorder="1"/>
    <xf numFmtId="0" fontId="0" fillId="0" borderId="74" xfId="0" applyBorder="1"/>
    <xf numFmtId="164" fontId="0" fillId="0" borderId="75" xfId="2" applyNumberFormat="1" applyFont="1" applyBorder="1"/>
    <xf numFmtId="0" fontId="6" fillId="0" borderId="2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6" fillId="13" borderId="53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0" fontId="6" fillId="13" borderId="23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23" xfId="0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53" xfId="0" applyNumberForma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0" fontId="0" fillId="12" borderId="53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2"/>
  <sheetViews>
    <sheetView rightToLeft="1" zoomScale="70" zoomScaleNormal="70" workbookViewId="0">
      <selection activeCell="H15" sqref="H15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45</v>
      </c>
      <c r="B2" s="76">
        <f>'מ"ר אקו'' נחלה'!I14</f>
        <v>1087.5</v>
      </c>
      <c r="K2" s="1"/>
    </row>
    <row r="3" spans="1:11" x14ac:dyDescent="0.35">
      <c r="A3" s="1" t="s">
        <v>17</v>
      </c>
      <c r="B3" s="76">
        <f>'מ"ר אקו'' נחלה'!D14</f>
        <v>1037.5</v>
      </c>
      <c r="K3" s="1"/>
    </row>
    <row r="4" spans="1:11" x14ac:dyDescent="0.35">
      <c r="A4" s="1" t="s">
        <v>90</v>
      </c>
      <c r="B4" s="76">
        <f>'מ"ר אקו'' נחלה'!D31</f>
        <v>262.78960752836224</v>
      </c>
      <c r="K4" s="1"/>
    </row>
    <row r="5" spans="1:11" x14ac:dyDescent="0.35">
      <c r="A5" s="1" t="s">
        <v>3</v>
      </c>
      <c r="B5" s="1">
        <f>'מ"ר אקו'' נחלה'!D59</f>
        <v>806.25</v>
      </c>
      <c r="F5" s="7"/>
      <c r="K5" s="1"/>
    </row>
    <row r="6" spans="1:11" x14ac:dyDescent="0.35">
      <c r="A6" s="1" t="s">
        <v>57</v>
      </c>
      <c r="B6" s="1">
        <f>'מ"ר אקו'' נחלה'!D46</f>
        <v>286.8</v>
      </c>
      <c r="C6" s="1" t="s">
        <v>58</v>
      </c>
      <c r="D6" s="75">
        <f>'מ"ר אקו'' נחלה'!I39</f>
        <v>245</v>
      </c>
      <c r="F6" s="75"/>
      <c r="K6" s="1"/>
    </row>
    <row r="7" spans="1:11" x14ac:dyDescent="0.35">
      <c r="A7" s="1" t="s">
        <v>12</v>
      </c>
      <c r="B7" s="129">
        <f>'ניתוח איזור לעסקאות דמה'!C7</f>
        <v>28000</v>
      </c>
      <c r="C7" s="1" t="s">
        <v>84</v>
      </c>
      <c r="D7" s="5">
        <v>2500</v>
      </c>
      <c r="F7" s="75"/>
      <c r="K7" s="1"/>
    </row>
    <row r="8" spans="1:11" x14ac:dyDescent="0.35">
      <c r="A8" s="3"/>
      <c r="B8" s="5"/>
      <c r="C8" s="1" t="s">
        <v>91</v>
      </c>
      <c r="D8" s="1" t="e">
        <f>'ניתוח איזור לעסקאות דמה'!#REF!</f>
        <v>#REF!</v>
      </c>
      <c r="E8" s="8">
        <v>1.17</v>
      </c>
    </row>
    <row r="9" spans="1:11" x14ac:dyDescent="0.35">
      <c r="B9" s="2" t="s">
        <v>0</v>
      </c>
      <c r="C9" s="4" t="s">
        <v>4</v>
      </c>
      <c r="D9" s="2" t="s">
        <v>1</v>
      </c>
      <c r="E9" s="2" t="s">
        <v>6</v>
      </c>
      <c r="F9" s="2" t="s">
        <v>2</v>
      </c>
      <c r="G9" s="2" t="s">
        <v>67</v>
      </c>
      <c r="J9" s="2"/>
    </row>
    <row r="10" spans="1:11" ht="21" x14ac:dyDescent="0.4">
      <c r="A10" s="77" t="s">
        <v>16</v>
      </c>
      <c r="B10" s="77">
        <f>B5</f>
        <v>806.25</v>
      </c>
      <c r="C10" s="78">
        <v>3.7499999999999999E-2</v>
      </c>
      <c r="D10" s="77">
        <f t="shared" ref="D10:D20" si="0">C10*B10</f>
        <v>30.234375</v>
      </c>
      <c r="E10" s="77">
        <v>1</v>
      </c>
      <c r="F10" s="79">
        <f>D10*$B$7*E10</f>
        <v>846562.5</v>
      </c>
      <c r="G10" s="75">
        <f>'מ"ר אקו'' נחלה'!D60*-3.75%</f>
        <v>-6562.5</v>
      </c>
      <c r="H10" s="88">
        <f>SUM(F10:G10)</f>
        <v>840000</v>
      </c>
      <c r="I10" s="9"/>
      <c r="J10" s="75"/>
    </row>
    <row r="11" spans="1:11" x14ac:dyDescent="0.35">
      <c r="A11" s="82" t="s">
        <v>63</v>
      </c>
      <c r="B11" s="114">
        <f>D6</f>
        <v>245</v>
      </c>
      <c r="C11" s="115">
        <v>0.29249999999999998</v>
      </c>
      <c r="D11" s="82">
        <f t="shared" si="0"/>
        <v>71.662499999999994</v>
      </c>
      <c r="E11" s="82">
        <v>1</v>
      </c>
      <c r="F11" s="84">
        <f>D11*$B$7*E11</f>
        <v>2006549.9999999998</v>
      </c>
      <c r="G11" s="75">
        <f>-'מ"ר אקו'' נחלה'!D47*C11</f>
        <v>-29250</v>
      </c>
      <c r="H11" s="6">
        <f>SUM(F11:G11)</f>
        <v>1977299.9999999998</v>
      </c>
      <c r="J11" s="87"/>
    </row>
    <row r="12" spans="1:11" x14ac:dyDescent="0.35">
      <c r="A12" s="82" t="s">
        <v>64</v>
      </c>
      <c r="B12" s="114">
        <f>B6-B11</f>
        <v>41.800000000000011</v>
      </c>
      <c r="C12" s="115">
        <v>0.33</v>
      </c>
      <c r="D12" s="82">
        <f t="shared" si="0"/>
        <v>13.794000000000004</v>
      </c>
      <c r="E12" s="82">
        <v>1</v>
      </c>
      <c r="F12" s="84">
        <f>D12*$B$7*E12</f>
        <v>386232.00000000012</v>
      </c>
      <c r="G12" s="87">
        <f>G11*53/245</f>
        <v>-6327.5510204081629</v>
      </c>
      <c r="H12" s="6">
        <f>SUM(F12:G12)</f>
        <v>379904.44897959195</v>
      </c>
      <c r="I12" s="9"/>
      <c r="J12" s="75"/>
    </row>
    <row r="13" spans="1:11" ht="21" x14ac:dyDescent="0.4">
      <c r="A13" s="111" t="s">
        <v>65</v>
      </c>
      <c r="B13" s="112">
        <f>SUM(B11:B12)</f>
        <v>286.8</v>
      </c>
      <c r="C13" s="113"/>
      <c r="D13" s="113"/>
      <c r="E13" s="113"/>
      <c r="F13" s="113">
        <f>SUM(F11:F12)</f>
        <v>2392782</v>
      </c>
      <c r="G13" s="116"/>
      <c r="H13" s="89">
        <f>SUM(H11:H12)</f>
        <v>2357204.448979592</v>
      </c>
      <c r="J13" s="75"/>
    </row>
    <row r="14" spans="1:11" ht="21" x14ac:dyDescent="0.4">
      <c r="A14" s="77" t="s">
        <v>7</v>
      </c>
      <c r="B14" s="77">
        <f>'מ"ר אקו'' נחלה'!I39</f>
        <v>245</v>
      </c>
      <c r="C14" s="80">
        <f>C34</f>
        <v>0.42499999999999999</v>
      </c>
      <c r="D14" s="77">
        <f>B14*C14</f>
        <v>104.125</v>
      </c>
      <c r="E14" s="77">
        <v>1</v>
      </c>
      <c r="F14" s="79">
        <f>D14*$B$7</f>
        <v>2915500</v>
      </c>
      <c r="G14" s="9"/>
      <c r="J14" s="86"/>
    </row>
    <row r="15" spans="1:11" ht="21" x14ac:dyDescent="0.4">
      <c r="A15" s="77" t="s">
        <v>5</v>
      </c>
      <c r="B15" s="81">
        <f>'זיכוי דמי היתר ששולמו'!R34</f>
        <v>1157.0896075283622</v>
      </c>
      <c r="C15" s="80">
        <v>0.2</v>
      </c>
      <c r="D15" s="77">
        <f>C15*B15</f>
        <v>231.41792150567244</v>
      </c>
      <c r="E15" s="77">
        <v>1</v>
      </c>
      <c r="F15" s="79">
        <f>D15*$B$7*E15</f>
        <v>6479701.8021588279</v>
      </c>
      <c r="G15" s="75">
        <v>-81510</v>
      </c>
      <c r="H15" s="88">
        <f>SUM(F15:G15)</f>
        <v>6398191.8021588279</v>
      </c>
      <c r="J15" s="137"/>
    </row>
    <row r="16" spans="1:11" ht="21" x14ac:dyDescent="0.4">
      <c r="A16" s="1" t="s">
        <v>9</v>
      </c>
      <c r="B16" s="1">
        <v>1</v>
      </c>
      <c r="C16" s="7">
        <v>0.91</v>
      </c>
      <c r="D16" s="1">
        <f t="shared" si="0"/>
        <v>0.91</v>
      </c>
      <c r="E16" s="77">
        <v>1</v>
      </c>
      <c r="F16" s="5">
        <v>1486</v>
      </c>
      <c r="G16" s="9"/>
      <c r="I16" s="6"/>
      <c r="J16" s="6"/>
    </row>
    <row r="17" spans="1:10" ht="21" x14ac:dyDescent="0.4">
      <c r="A17" s="1" t="s">
        <v>10</v>
      </c>
      <c r="B17" s="1">
        <v>0.5</v>
      </c>
      <c r="C17" s="7">
        <v>0.91</v>
      </c>
      <c r="D17" s="1">
        <f t="shared" si="0"/>
        <v>0.45500000000000002</v>
      </c>
      <c r="E17" s="77">
        <v>1</v>
      </c>
      <c r="F17" s="5">
        <f>F16/2</f>
        <v>743</v>
      </c>
      <c r="G17" s="9" t="e">
        <f>F17*#REF!*5%*1.17</f>
        <v>#REF!</v>
      </c>
      <c r="I17" s="75"/>
      <c r="J17" s="75"/>
    </row>
    <row r="18" spans="1:10" ht="21" x14ac:dyDescent="0.4">
      <c r="A18" s="1" t="s">
        <v>11</v>
      </c>
      <c r="B18" s="1">
        <v>0.7</v>
      </c>
      <c r="C18" s="7">
        <v>0.91</v>
      </c>
      <c r="D18" s="1">
        <f t="shared" si="0"/>
        <v>0.63700000000000001</v>
      </c>
      <c r="E18" s="77">
        <v>1</v>
      </c>
      <c r="F18" s="5">
        <f>D18*$B$7*E18</f>
        <v>17836</v>
      </c>
      <c r="I18" s="75"/>
      <c r="J18" s="6"/>
    </row>
    <row r="19" spans="1:10" ht="21" x14ac:dyDescent="0.4">
      <c r="A19" s="82" t="s">
        <v>13</v>
      </c>
      <c r="B19" s="82">
        <v>7.4999999999999997E-2</v>
      </c>
      <c r="C19" s="83">
        <v>0.91</v>
      </c>
      <c r="D19" s="82">
        <f t="shared" si="0"/>
        <v>6.8250000000000005E-2</v>
      </c>
      <c r="E19" s="77">
        <v>1</v>
      </c>
      <c r="F19" s="84">
        <f>D19*$B$7*E19</f>
        <v>1911.0000000000002</v>
      </c>
      <c r="G19" s="9"/>
      <c r="I19" s="6"/>
      <c r="J19" s="9"/>
    </row>
    <row r="20" spans="1:10" ht="21" x14ac:dyDescent="0.4">
      <c r="A20" s="1" t="s">
        <v>70</v>
      </c>
      <c r="B20" s="1">
        <v>1</v>
      </c>
      <c r="C20" s="7">
        <v>0.05</v>
      </c>
      <c r="D20" s="1">
        <f t="shared" si="0"/>
        <v>0.05</v>
      </c>
      <c r="E20" s="77">
        <v>1</v>
      </c>
      <c r="F20" s="5">
        <f>D20*$D$7*E20</f>
        <v>125</v>
      </c>
      <c r="I20" s="9"/>
    </row>
    <row r="21" spans="1:10" ht="21" x14ac:dyDescent="0.4">
      <c r="A21" s="1" t="s">
        <v>46</v>
      </c>
      <c r="B21" s="1">
        <v>0.3</v>
      </c>
      <c r="C21" s="7">
        <v>0.91</v>
      </c>
      <c r="D21" s="1">
        <f>C21*B21</f>
        <v>0.27300000000000002</v>
      </c>
      <c r="E21" s="77">
        <v>1</v>
      </c>
      <c r="F21" s="5">
        <f>D21*$B$7*E21</f>
        <v>7644.0000000000009</v>
      </c>
    </row>
    <row r="22" spans="1:10" ht="21" x14ac:dyDescent="0.4">
      <c r="A22" s="82" t="s">
        <v>85</v>
      </c>
      <c r="B22" s="82">
        <v>1</v>
      </c>
      <c r="C22" s="83">
        <v>0.91</v>
      </c>
      <c r="D22" s="82">
        <f>C22*B22</f>
        <v>0.91</v>
      </c>
      <c r="E22" s="77">
        <v>1</v>
      </c>
      <c r="F22" s="84">
        <f>E22*D22*$D$7</f>
        <v>2275</v>
      </c>
      <c r="I22" s="6"/>
    </row>
    <row r="23" spans="1:10" ht="21" x14ac:dyDescent="0.4">
      <c r="A23" s="1" t="s">
        <v>47</v>
      </c>
      <c r="B23" s="1">
        <v>1</v>
      </c>
      <c r="C23" s="7">
        <v>0.05</v>
      </c>
      <c r="D23" s="1">
        <f>C23*B23</f>
        <v>0.05</v>
      </c>
      <c r="E23" s="77">
        <v>1</v>
      </c>
      <c r="F23" s="5">
        <f>D23*E23*B7</f>
        <v>1400</v>
      </c>
      <c r="I23" s="9"/>
    </row>
    <row r="24" spans="1:10" x14ac:dyDescent="0.35">
      <c r="C24" s="7"/>
      <c r="F24" s="5"/>
      <c r="J24" s="9"/>
    </row>
    <row r="25" spans="1:10" x14ac:dyDescent="0.35">
      <c r="C25" s="7"/>
      <c r="F25" s="5"/>
    </row>
    <row r="26" spans="1:10" x14ac:dyDescent="0.35">
      <c r="A26" s="1" t="s">
        <v>48</v>
      </c>
      <c r="B26" s="85"/>
      <c r="C26" s="8"/>
      <c r="D26" s="186"/>
      <c r="E26" s="186"/>
      <c r="F26" s="5"/>
      <c r="I26" s="75"/>
    </row>
    <row r="28" spans="1:10" x14ac:dyDescent="0.35">
      <c r="A28" s="2" t="s">
        <v>152</v>
      </c>
      <c r="C28" s="75"/>
    </row>
    <row r="29" spans="1:10" x14ac:dyDescent="0.35">
      <c r="A29" s="2"/>
      <c r="B29" s="2" t="s">
        <v>154</v>
      </c>
      <c r="C29" s="2" t="s">
        <v>21</v>
      </c>
      <c r="D29" s="2" t="s">
        <v>153</v>
      </c>
    </row>
    <row r="30" spans="1:10" x14ac:dyDescent="0.35">
      <c r="A30" s="1" t="s">
        <v>150</v>
      </c>
      <c r="B30" s="5">
        <f>'מ"ר אקו'' נחלה'!D46*'תחשיב לפי שווי שומה (2)'!$B$7</f>
        <v>8030400</v>
      </c>
      <c r="C30" s="191">
        <v>1</v>
      </c>
      <c r="D30" s="6">
        <f>C30*$B$7</f>
        <v>28000</v>
      </c>
    </row>
    <row r="31" spans="1:10" x14ac:dyDescent="0.35">
      <c r="A31" s="1" t="s">
        <v>149</v>
      </c>
      <c r="B31" s="6">
        <f>350*$B$7*C31</f>
        <v>1470000</v>
      </c>
      <c r="C31" s="191">
        <v>0.15</v>
      </c>
      <c r="D31" s="6">
        <f>C31*$B$7</f>
        <v>4200</v>
      </c>
    </row>
    <row r="32" spans="1:10" x14ac:dyDescent="0.35">
      <c r="C32" s="75"/>
    </row>
    <row r="33" spans="1:6" x14ac:dyDescent="0.35">
      <c r="A33" s="1" t="s">
        <v>147</v>
      </c>
      <c r="B33" s="6">
        <f>B30-B31</f>
        <v>6560400</v>
      </c>
      <c r="C33" s="191">
        <f>C30-C31</f>
        <v>0.85</v>
      </c>
      <c r="D33" s="6">
        <f>C33*$B$7</f>
        <v>23800</v>
      </c>
    </row>
    <row r="34" spans="1:6" x14ac:dyDescent="0.35">
      <c r="A34" s="1" t="s">
        <v>148</v>
      </c>
      <c r="B34" s="6">
        <f>B33*50%</f>
        <v>3280200</v>
      </c>
      <c r="C34" s="191">
        <f>C33*50%</f>
        <v>0.42499999999999999</v>
      </c>
      <c r="D34" s="6">
        <f>C34*$B$7</f>
        <v>11900</v>
      </c>
    </row>
    <row r="36" spans="1:6" x14ac:dyDescent="0.35">
      <c r="A36" s="2" t="s">
        <v>156</v>
      </c>
      <c r="C36" s="75"/>
    </row>
    <row r="37" spans="1:6" x14ac:dyDescent="0.35">
      <c r="A37" s="2"/>
      <c r="B37" s="2" t="s">
        <v>154</v>
      </c>
      <c r="C37" s="2" t="s">
        <v>21</v>
      </c>
      <c r="D37" s="2" t="s">
        <v>153</v>
      </c>
    </row>
    <row r="38" spans="1:6" x14ac:dyDescent="0.35">
      <c r="A38" s="1" t="s">
        <v>150</v>
      </c>
      <c r="B38" s="5">
        <f>'מ"ר אקו'' נחלה'!D46*'תחשיב לפי שווי שומה (2)'!$B$7</f>
        <v>8030400</v>
      </c>
      <c r="C38" s="191">
        <v>1</v>
      </c>
      <c r="D38" s="6">
        <f>C38*$B$7</f>
        <v>28000</v>
      </c>
    </row>
    <row r="39" spans="1:6" x14ac:dyDescent="0.35">
      <c r="A39" s="1" t="s">
        <v>157</v>
      </c>
      <c r="B39" s="6">
        <f>B38*70%</f>
        <v>5621280</v>
      </c>
      <c r="C39" s="191">
        <v>0.7</v>
      </c>
      <c r="D39" s="6">
        <f>C39*$B$7</f>
        <v>19600</v>
      </c>
    </row>
    <row r="40" spans="1:6" x14ac:dyDescent="0.35">
      <c r="C40" s="75"/>
    </row>
    <row r="41" spans="1:6" x14ac:dyDescent="0.35">
      <c r="A41" s="1" t="s">
        <v>147</v>
      </c>
      <c r="B41" s="6">
        <f>B38-B39</f>
        <v>2409120</v>
      </c>
      <c r="C41" s="191">
        <f>C38-C39</f>
        <v>0.30000000000000004</v>
      </c>
      <c r="D41" s="6">
        <f>C41*$B$7</f>
        <v>8400.0000000000018</v>
      </c>
      <c r="F41" s="6"/>
    </row>
    <row r="42" spans="1:6" x14ac:dyDescent="0.35">
      <c r="A42" s="1" t="s">
        <v>148</v>
      </c>
      <c r="B42" s="6">
        <f>B41*50%</f>
        <v>1204560</v>
      </c>
      <c r="C42" s="191">
        <f>C41*50%</f>
        <v>0.15000000000000002</v>
      </c>
      <c r="D42" s="6">
        <f>C42*$B$7</f>
        <v>4200.0000000000009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69B5-77C6-46DB-8AB0-3A37BF82072B}">
  <dimension ref="C3:F28"/>
  <sheetViews>
    <sheetView rightToLeft="1" workbookViewId="0">
      <selection activeCell="C29" sqref="C29"/>
    </sheetView>
  </sheetViews>
  <sheetFormatPr defaultRowHeight="13.8" x14ac:dyDescent="0.25"/>
  <cols>
    <col min="3" max="3" width="12.3984375" bestFit="1" customWidth="1"/>
    <col min="6" max="6" width="12.3984375" bestFit="1" customWidth="1"/>
  </cols>
  <sheetData>
    <row r="3" spans="3:6" ht="14.4" thickBot="1" x14ac:dyDescent="0.3"/>
    <row r="4" spans="3:6" x14ac:dyDescent="0.25">
      <c r="C4" s="300" t="s">
        <v>261</v>
      </c>
      <c r="D4" s="301"/>
      <c r="E4" s="301"/>
      <c r="F4" s="302"/>
    </row>
    <row r="5" spans="3:6" x14ac:dyDescent="0.25">
      <c r="C5" s="245" t="s">
        <v>229</v>
      </c>
      <c r="D5" s="225" t="s">
        <v>245</v>
      </c>
      <c r="E5" s="225" t="s">
        <v>21</v>
      </c>
      <c r="F5" s="246" t="s">
        <v>8</v>
      </c>
    </row>
    <row r="6" spans="3:6" ht="14.4" thickBot="1" x14ac:dyDescent="0.3">
      <c r="C6" s="247" t="s">
        <v>262</v>
      </c>
      <c r="D6" s="248">
        <v>350</v>
      </c>
      <c r="E6" s="248">
        <v>0.15</v>
      </c>
      <c r="F6" s="249">
        <f>E6*D6</f>
        <v>52.5</v>
      </c>
    </row>
    <row r="8" spans="3:6" ht="14.4" thickBot="1" x14ac:dyDescent="0.3"/>
    <row r="9" spans="3:6" x14ac:dyDescent="0.25">
      <c r="C9" s="300" t="s">
        <v>263</v>
      </c>
      <c r="D9" s="301"/>
      <c r="E9" s="301"/>
      <c r="F9" s="302"/>
    </row>
    <row r="10" spans="3:6" x14ac:dyDescent="0.25">
      <c r="C10" s="243" t="s">
        <v>260</v>
      </c>
      <c r="D10" s="238">
        <v>500</v>
      </c>
      <c r="E10" s="236"/>
      <c r="F10" s="244"/>
    </row>
    <row r="11" spans="3:6" x14ac:dyDescent="0.25">
      <c r="C11" s="254" t="s">
        <v>229</v>
      </c>
      <c r="D11" s="254" t="s">
        <v>245</v>
      </c>
      <c r="E11" s="254" t="s">
        <v>21</v>
      </c>
      <c r="F11" s="254" t="s">
        <v>8</v>
      </c>
    </row>
    <row r="12" spans="3:6" x14ac:dyDescent="0.25">
      <c r="C12" s="236" t="s">
        <v>246</v>
      </c>
      <c r="D12" s="238">
        <v>200</v>
      </c>
      <c r="E12" s="251">
        <v>1</v>
      </c>
      <c r="F12" s="236">
        <f>D12*E12</f>
        <v>200</v>
      </c>
    </row>
    <row r="13" spans="3:6" x14ac:dyDescent="0.25">
      <c r="C13" s="236" t="s">
        <v>68</v>
      </c>
      <c r="D13" s="252">
        <v>12.5</v>
      </c>
      <c r="E13" s="251">
        <v>1</v>
      </c>
      <c r="F13" s="236">
        <f t="shared" ref="F13:F16" si="0">D13*E13</f>
        <v>12.5</v>
      </c>
    </row>
    <row r="14" spans="3:6" x14ac:dyDescent="0.25">
      <c r="C14" s="236" t="s">
        <v>268</v>
      </c>
      <c r="D14" s="238">
        <v>15</v>
      </c>
      <c r="E14" s="251">
        <v>1</v>
      </c>
      <c r="F14" s="236">
        <f t="shared" si="0"/>
        <v>15</v>
      </c>
    </row>
    <row r="15" spans="3:6" x14ac:dyDescent="0.25">
      <c r="C15" s="236" t="s">
        <v>199</v>
      </c>
      <c r="D15" s="238">
        <v>100</v>
      </c>
      <c r="E15" s="251">
        <v>0.6</v>
      </c>
      <c r="F15" s="236">
        <f t="shared" si="0"/>
        <v>60</v>
      </c>
    </row>
    <row r="16" spans="3:6" x14ac:dyDescent="0.25">
      <c r="C16" s="236" t="s">
        <v>53</v>
      </c>
      <c r="D16" s="238">
        <f>D10-D12-D13-D14</f>
        <v>272.5</v>
      </c>
      <c r="E16" s="251">
        <v>0.25</v>
      </c>
      <c r="F16" s="236">
        <f t="shared" si="0"/>
        <v>68.125</v>
      </c>
    </row>
    <row r="17" spans="3:6" ht="14.4" thickBot="1" x14ac:dyDescent="0.3">
      <c r="C17" s="298" t="s">
        <v>250</v>
      </c>
      <c r="D17" s="299"/>
      <c r="E17" s="299"/>
      <c r="F17" s="37">
        <f>SUM(F12:F16)</f>
        <v>355.625</v>
      </c>
    </row>
    <row r="18" spans="3:6" x14ac:dyDescent="0.25">
      <c r="C18" s="253"/>
      <c r="D18" s="253"/>
      <c r="E18" s="253"/>
      <c r="F18" s="255"/>
    </row>
    <row r="19" spans="3:6" x14ac:dyDescent="0.25">
      <c r="C19" s="253"/>
      <c r="D19" s="253"/>
      <c r="E19" s="253"/>
      <c r="F19" s="255"/>
    </row>
    <row r="21" spans="3:6" x14ac:dyDescent="0.25">
      <c r="C21" s="303" t="s">
        <v>264</v>
      </c>
      <c r="D21" s="303"/>
      <c r="E21" s="303"/>
      <c r="F21" s="250">
        <f>F17-F6</f>
        <v>303.125</v>
      </c>
    </row>
    <row r="22" spans="3:6" x14ac:dyDescent="0.25">
      <c r="C22" s="303" t="s">
        <v>196</v>
      </c>
      <c r="D22" s="303"/>
      <c r="E22" s="303"/>
      <c r="F22" s="236">
        <f>F21*0.5</f>
        <v>151.5625</v>
      </c>
    </row>
    <row r="23" spans="3:6" x14ac:dyDescent="0.25">
      <c r="C23" s="303" t="s">
        <v>265</v>
      </c>
      <c r="D23" s="303"/>
      <c r="E23" s="303"/>
      <c r="F23" s="238">
        <f>'תחשיב לפי שווי שומה (2)'!B7</f>
        <v>28000</v>
      </c>
    </row>
    <row r="24" spans="3:6" x14ac:dyDescent="0.25">
      <c r="C24" s="297" t="s">
        <v>266</v>
      </c>
      <c r="D24" s="297"/>
      <c r="E24" s="297"/>
      <c r="F24" s="239">
        <f>F22*F23</f>
        <v>4243750</v>
      </c>
    </row>
    <row r="27" spans="3:6" x14ac:dyDescent="0.25">
      <c r="C27" t="s">
        <v>270</v>
      </c>
      <c r="D27">
        <f>28000</f>
        <v>28000</v>
      </c>
    </row>
    <row r="28" spans="3:6" x14ac:dyDescent="0.25">
      <c r="C28" t="s">
        <v>271</v>
      </c>
      <c r="D28">
        <f>D27*0.85</f>
        <v>23800</v>
      </c>
    </row>
  </sheetData>
  <mergeCells count="7">
    <mergeCell ref="C24:E24"/>
    <mergeCell ref="C17:E17"/>
    <mergeCell ref="C4:F4"/>
    <mergeCell ref="C9:F9"/>
    <mergeCell ref="C23:E23"/>
    <mergeCell ref="C22:E22"/>
    <mergeCell ref="C21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M60"/>
  <sheetViews>
    <sheetView rightToLeft="1" tabSelected="1" workbookViewId="0">
      <selection activeCell="D13" sqref="D13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125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55</v>
      </c>
      <c r="B4" s="19">
        <v>455</v>
      </c>
      <c r="C4" s="20">
        <v>1</v>
      </c>
      <c r="D4" s="21">
        <f>C4*B4</f>
        <v>455</v>
      </c>
      <c r="F4" s="18" t="str">
        <f t="shared" ref="F4:H7" si="0">A4</f>
        <v>עיקרי</v>
      </c>
      <c r="G4" s="19">
        <f t="shared" si="0"/>
        <v>455</v>
      </c>
      <c r="H4" s="20">
        <f t="shared" si="0"/>
        <v>1</v>
      </c>
      <c r="I4" s="21">
        <f>H4*G4</f>
        <v>455</v>
      </c>
    </row>
    <row r="5" spans="1:10" x14ac:dyDescent="0.25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25">
      <c r="A6" s="18" t="s">
        <v>95</v>
      </c>
      <c r="B6" s="19">
        <v>30</v>
      </c>
      <c r="C6" s="20">
        <v>0.4</v>
      </c>
      <c r="D6" s="21">
        <f>C6*B6</f>
        <v>12</v>
      </c>
      <c r="F6" s="18" t="str">
        <f t="shared" si="0"/>
        <v>יתרת ש"ש</v>
      </c>
      <c r="G6" s="19">
        <f t="shared" si="0"/>
        <v>30</v>
      </c>
      <c r="H6" s="20">
        <f t="shared" si="0"/>
        <v>0.4</v>
      </c>
      <c r="I6" s="21">
        <f>H6*G6</f>
        <v>12</v>
      </c>
    </row>
    <row r="7" spans="1:10" x14ac:dyDescent="0.25">
      <c r="A7" s="18" t="s">
        <v>199</v>
      </c>
      <c r="B7" s="19">
        <v>200</v>
      </c>
      <c r="C7" s="20">
        <v>0.5</v>
      </c>
      <c r="D7" s="21">
        <f>C7*B7</f>
        <v>100</v>
      </c>
      <c r="F7" s="18" t="str">
        <f t="shared" si="0"/>
        <v>מרתף</v>
      </c>
      <c r="G7" s="19">
        <f t="shared" si="0"/>
        <v>200</v>
      </c>
      <c r="H7" s="20">
        <f t="shared" si="0"/>
        <v>0.5</v>
      </c>
      <c r="I7" s="21">
        <f>H7*G7</f>
        <v>100</v>
      </c>
    </row>
    <row r="8" spans="1:10" x14ac:dyDescent="0.25">
      <c r="A8" s="22" t="s">
        <v>27</v>
      </c>
      <c r="B8" s="23">
        <f>SUM(B4:B6)</f>
        <v>510</v>
      </c>
      <c r="C8" s="24"/>
      <c r="D8" s="25"/>
      <c r="E8" s="91"/>
      <c r="F8" s="22" t="s">
        <v>27</v>
      </c>
      <c r="G8" s="23">
        <f>SUM(G4:G7)</f>
        <v>710</v>
      </c>
      <c r="H8" s="24"/>
      <c r="I8" s="25"/>
    </row>
    <row r="9" spans="1:10" x14ac:dyDescent="0.25">
      <c r="A9" s="26" t="s">
        <v>28</v>
      </c>
      <c r="B9" s="27">
        <f>B2-B8</f>
        <v>1990</v>
      </c>
      <c r="C9" s="28"/>
      <c r="D9" s="29"/>
      <c r="F9" s="26" t="s">
        <v>28</v>
      </c>
      <c r="G9" s="27">
        <f>G2-G8</f>
        <v>2290</v>
      </c>
      <c r="H9" s="28"/>
      <c r="I9" s="29"/>
    </row>
    <row r="10" spans="1:10" x14ac:dyDescent="0.25">
      <c r="A10" s="22" t="s">
        <v>29</v>
      </c>
      <c r="B10" s="23">
        <v>1000</v>
      </c>
      <c r="C10" s="24">
        <v>0.25</v>
      </c>
      <c r="D10" s="25">
        <f>C10*B10</f>
        <v>250</v>
      </c>
      <c r="F10" s="22" t="s">
        <v>29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30</v>
      </c>
      <c r="B11" s="19">
        <f>B9-B10</f>
        <v>990</v>
      </c>
      <c r="C11" s="20">
        <v>0.2</v>
      </c>
      <c r="D11" s="21">
        <f>C11*B11</f>
        <v>198</v>
      </c>
      <c r="F11" s="18" t="s">
        <v>30</v>
      </c>
      <c r="G11" s="19">
        <f>B11</f>
        <v>990</v>
      </c>
      <c r="H11" s="20">
        <v>0.2</v>
      </c>
      <c r="I11" s="21">
        <f>H11*G11</f>
        <v>198</v>
      </c>
    </row>
    <row r="12" spans="1:10" x14ac:dyDescent="0.25">
      <c r="A12" s="18"/>
      <c r="B12" s="19"/>
      <c r="C12" s="20"/>
      <c r="D12" s="21"/>
      <c r="F12" s="18" t="s">
        <v>71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31</v>
      </c>
      <c r="B13" s="31">
        <f>SUM(B4:B11)</f>
        <v>5200</v>
      </c>
      <c r="C13" s="32"/>
      <c r="D13" s="33">
        <f>SUM(D4:D12)</f>
        <v>1037.5</v>
      </c>
      <c r="F13" s="30" t="s">
        <v>31</v>
      </c>
      <c r="G13" s="31">
        <f>SUM(G4:G11)</f>
        <v>5700</v>
      </c>
      <c r="H13" s="32"/>
      <c r="I13" s="33">
        <f>SUM(I4:I12)</f>
        <v>1087.5</v>
      </c>
      <c r="J13" s="74"/>
    </row>
    <row r="14" spans="1:10" ht="14.4" thickBot="1" x14ac:dyDescent="0.3">
      <c r="A14" s="34" t="s">
        <v>32</v>
      </c>
      <c r="B14" s="35"/>
      <c r="C14" s="36"/>
      <c r="D14" s="37">
        <f>D13</f>
        <v>1037.5</v>
      </c>
      <c r="E14" s="72"/>
      <c r="F14" s="34" t="s">
        <v>32</v>
      </c>
      <c r="G14" s="35"/>
      <c r="H14" s="36"/>
      <c r="I14" s="37">
        <f>I13</f>
        <v>1087.5</v>
      </c>
    </row>
    <row r="15" spans="1:10" x14ac:dyDescent="0.25">
      <c r="A15" t="s">
        <v>66</v>
      </c>
      <c r="D15" s="17">
        <v>247000</v>
      </c>
      <c r="F15" t="s">
        <v>66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69</v>
      </c>
      <c r="B17" s="11">
        <v>350</v>
      </c>
      <c r="C17" s="12"/>
      <c r="D17" s="13"/>
      <c r="I17" s="17"/>
    </row>
    <row r="18" spans="1:9" x14ac:dyDescent="0.25">
      <c r="A18" s="14" t="s">
        <v>260</v>
      </c>
      <c r="B18" s="15">
        <v>500</v>
      </c>
      <c r="C18" s="15"/>
      <c r="D18" s="16"/>
      <c r="I18" s="17"/>
    </row>
    <row r="19" spans="1:9" x14ac:dyDescent="0.25">
      <c r="A19" s="18" t="s">
        <v>229</v>
      </c>
      <c r="B19" s="19" t="s">
        <v>245</v>
      </c>
      <c r="C19" s="20" t="s">
        <v>21</v>
      </c>
      <c r="D19" s="21" t="s">
        <v>8</v>
      </c>
      <c r="I19" s="17"/>
    </row>
    <row r="20" spans="1:9" x14ac:dyDescent="0.25">
      <c r="A20" s="18" t="s">
        <v>246</v>
      </c>
      <c r="B20" s="19">
        <v>200</v>
      </c>
      <c r="C20" s="20">
        <v>1</v>
      </c>
      <c r="D20" s="21">
        <f>B20*C20</f>
        <v>200</v>
      </c>
      <c r="I20" s="17"/>
    </row>
    <row r="21" spans="1:9" x14ac:dyDescent="0.25">
      <c r="A21" s="18" t="s">
        <v>68</v>
      </c>
      <c r="B21" s="19">
        <v>12.5</v>
      </c>
      <c r="C21" s="20">
        <v>1</v>
      </c>
      <c r="D21" s="21">
        <f t="shared" ref="D21:D23" si="1">B21*C21</f>
        <v>12.5</v>
      </c>
      <c r="I21" s="17"/>
    </row>
    <row r="22" spans="1:9" x14ac:dyDescent="0.25">
      <c r="A22" s="18" t="s">
        <v>268</v>
      </c>
      <c r="B22" s="19">
        <v>15</v>
      </c>
      <c r="C22" s="20">
        <v>1</v>
      </c>
      <c r="D22" s="21">
        <f t="shared" si="1"/>
        <v>15</v>
      </c>
      <c r="I22" s="17"/>
    </row>
    <row r="23" spans="1:9" x14ac:dyDescent="0.25">
      <c r="A23" s="18" t="s">
        <v>199</v>
      </c>
      <c r="B23" s="19">
        <v>100</v>
      </c>
      <c r="C23" s="20">
        <v>0.6</v>
      </c>
      <c r="D23" s="21">
        <f t="shared" si="1"/>
        <v>60</v>
      </c>
      <c r="I23" s="17"/>
    </row>
    <row r="24" spans="1:9" x14ac:dyDescent="0.25">
      <c r="A24" s="18" t="s">
        <v>53</v>
      </c>
      <c r="B24" s="19">
        <f>B18-B20-B21-B22</f>
        <v>272.5</v>
      </c>
      <c r="C24" s="20">
        <v>0.25</v>
      </c>
      <c r="D24" s="21">
        <v>68.125</v>
      </c>
      <c r="H24">
        <f>876+73</f>
        <v>949</v>
      </c>
      <c r="I24" s="17"/>
    </row>
    <row r="25" spans="1:9" x14ac:dyDescent="0.25">
      <c r="A25" s="18" t="s">
        <v>250</v>
      </c>
      <c r="B25" s="19"/>
      <c r="C25" s="20"/>
      <c r="D25" s="21">
        <f>SUM(D20:D24)</f>
        <v>355.625</v>
      </c>
      <c r="I25" s="17"/>
    </row>
    <row r="26" spans="1:9" x14ac:dyDescent="0.25">
      <c r="A26" s="18"/>
      <c r="B26" s="19"/>
      <c r="C26" s="20"/>
      <c r="D26" s="21"/>
      <c r="G26" s="72">
        <f>D13+D29</f>
        <v>1336.0896075283622</v>
      </c>
      <c r="I26" s="17"/>
    </row>
    <row r="27" spans="1:9" x14ac:dyDescent="0.25">
      <c r="A27" s="297" t="s">
        <v>250</v>
      </c>
      <c r="B27" s="297"/>
      <c r="C27" s="297"/>
      <c r="D27" s="257">
        <f>D25</f>
        <v>355.625</v>
      </c>
      <c r="I27" s="17"/>
    </row>
    <row r="28" spans="1:9" x14ac:dyDescent="0.25">
      <c r="A28" s="297" t="s">
        <v>254</v>
      </c>
      <c r="B28" s="297"/>
      <c r="C28" s="297"/>
      <c r="D28" s="258">
        <f>1/1.06^3</f>
        <v>0.8396192830323016</v>
      </c>
      <c r="I28" s="17"/>
    </row>
    <row r="29" spans="1:9" x14ac:dyDescent="0.25">
      <c r="A29" s="297" t="s">
        <v>269</v>
      </c>
      <c r="B29" s="297"/>
      <c r="C29" s="297"/>
      <c r="D29" s="239">
        <f>D27*D28</f>
        <v>298.58960752836225</v>
      </c>
      <c r="I29" s="17"/>
    </row>
    <row r="30" spans="1:9" x14ac:dyDescent="0.25">
      <c r="A30" s="297" t="s">
        <v>267</v>
      </c>
      <c r="B30" s="297"/>
      <c r="C30" s="297"/>
      <c r="D30" s="239">
        <f>'זיכוי דמי היתר ששולמו'!L20</f>
        <v>35.800000000000004</v>
      </c>
      <c r="I30" s="17"/>
    </row>
    <row r="31" spans="1:9" x14ac:dyDescent="0.25">
      <c r="A31" s="304" t="s">
        <v>8</v>
      </c>
      <c r="B31" s="304"/>
      <c r="C31" s="304"/>
      <c r="D31" s="239">
        <f>D29-D30</f>
        <v>262.78960752836224</v>
      </c>
      <c r="I31" s="17"/>
    </row>
    <row r="32" spans="1:9" x14ac:dyDescent="0.25">
      <c r="D32" s="17"/>
      <c r="I32" s="17"/>
    </row>
    <row r="33" spans="1:13" x14ac:dyDescent="0.25">
      <c r="D33" s="17"/>
      <c r="I33" s="17"/>
    </row>
    <row r="34" spans="1:13" x14ac:dyDescent="0.25">
      <c r="D34" s="17"/>
      <c r="I34" s="17"/>
    </row>
    <row r="35" spans="1:13" x14ac:dyDescent="0.25">
      <c r="A35" s="39" t="s">
        <v>155</v>
      </c>
    </row>
    <row r="36" spans="1:13" x14ac:dyDescent="0.25">
      <c r="A36" s="10" t="s">
        <v>51</v>
      </c>
      <c r="B36" s="99">
        <v>350</v>
      </c>
      <c r="C36" s="12" t="s">
        <v>73</v>
      </c>
      <c r="D36" s="13"/>
      <c r="F36" s="10" t="s">
        <v>59</v>
      </c>
      <c r="G36" s="12"/>
      <c r="H36" s="12"/>
      <c r="I36" s="13"/>
      <c r="J36" t="s">
        <v>62</v>
      </c>
    </row>
    <row r="37" spans="1:13" x14ac:dyDescent="0.25">
      <c r="A37" s="22" t="s">
        <v>52</v>
      </c>
      <c r="B37" s="40">
        <v>220</v>
      </c>
      <c r="C37" s="24">
        <v>1</v>
      </c>
      <c r="D37" s="25">
        <f t="shared" ref="D37:D42" si="2">B37*C37</f>
        <v>220</v>
      </c>
      <c r="F37" s="18" t="str">
        <f>A37</f>
        <v>מגורים עיקרי בהרחבה</v>
      </c>
      <c r="G37">
        <v>160</v>
      </c>
      <c r="H37">
        <v>1</v>
      </c>
      <c r="I37" s="21">
        <f>G37*H37</f>
        <v>160</v>
      </c>
      <c r="J37" s="17"/>
      <c r="K37" s="17"/>
    </row>
    <row r="38" spans="1:13" x14ac:dyDescent="0.25">
      <c r="A38" s="18" t="s">
        <v>56</v>
      </c>
      <c r="B38" s="19">
        <v>40</v>
      </c>
      <c r="C38" s="20">
        <v>0.5</v>
      </c>
      <c r="D38" s="21">
        <f t="shared" si="2"/>
        <v>20</v>
      </c>
      <c r="F38" s="18" t="s">
        <v>53</v>
      </c>
      <c r="G38">
        <f>500-G37</f>
        <v>340</v>
      </c>
      <c r="H38">
        <v>0.25</v>
      </c>
      <c r="I38" s="21">
        <f>G38*H38</f>
        <v>85</v>
      </c>
      <c r="J38" s="17"/>
      <c r="K38" s="17"/>
    </row>
    <row r="39" spans="1:13" x14ac:dyDescent="0.25">
      <c r="A39" s="18" t="s">
        <v>23</v>
      </c>
      <c r="B39" s="19">
        <v>12</v>
      </c>
      <c r="C39" s="20">
        <v>0.9</v>
      </c>
      <c r="D39" s="21">
        <f t="shared" si="2"/>
        <v>10.8</v>
      </c>
      <c r="F39" s="43" t="s">
        <v>60</v>
      </c>
      <c r="G39" s="108"/>
      <c r="H39" s="108"/>
      <c r="I39" s="109">
        <f>I37+I38</f>
        <v>245</v>
      </c>
      <c r="J39" s="17">
        <f>'תחשיב לפי שווי שומה (2)'!B7</f>
        <v>28000</v>
      </c>
      <c r="K39" s="17">
        <f>I39*J39</f>
        <v>6860000</v>
      </c>
      <c r="L39" s="110">
        <v>0.29249999999999998</v>
      </c>
      <c r="M39" s="91">
        <f>K39*L39</f>
        <v>2006549.9999999998</v>
      </c>
    </row>
    <row r="40" spans="1:13" ht="14.4" thickBot="1" x14ac:dyDescent="0.3">
      <c r="A40" s="18" t="s">
        <v>24</v>
      </c>
      <c r="B40" s="19">
        <v>11</v>
      </c>
      <c r="C40" s="20">
        <v>0.5</v>
      </c>
      <c r="D40" s="21">
        <f t="shared" si="2"/>
        <v>5.5</v>
      </c>
      <c r="F40" s="101" t="s">
        <v>61</v>
      </c>
      <c r="G40" s="103"/>
      <c r="H40" s="103"/>
      <c r="I40" s="104">
        <f>D46-I39</f>
        <v>41.800000000000011</v>
      </c>
      <c r="J40" s="17">
        <f>J39</f>
        <v>28000</v>
      </c>
      <c r="K40" s="17">
        <f>I40*J40</f>
        <v>1170400.0000000002</v>
      </c>
      <c r="L40" s="110">
        <v>0.33</v>
      </c>
      <c r="M40" s="91">
        <f>K40*L40</f>
        <v>386232.00000000012</v>
      </c>
    </row>
    <row r="41" spans="1:13" x14ac:dyDescent="0.25">
      <c r="A41" s="18" t="s">
        <v>25</v>
      </c>
      <c r="B41" s="19">
        <v>30</v>
      </c>
      <c r="C41" s="20">
        <v>0.35</v>
      </c>
      <c r="D41" s="21">
        <f t="shared" si="2"/>
        <v>10.5</v>
      </c>
      <c r="M41" s="91">
        <f>SUM(M39:M40)</f>
        <v>2392782</v>
      </c>
    </row>
    <row r="42" spans="1:13" x14ac:dyDescent="0.25">
      <c r="A42" s="100" t="s">
        <v>26</v>
      </c>
      <c r="B42" s="71"/>
      <c r="C42" s="28">
        <v>0.5</v>
      </c>
      <c r="D42" s="29">
        <f t="shared" si="2"/>
        <v>0</v>
      </c>
    </row>
    <row r="43" spans="1:13" x14ac:dyDescent="0.25">
      <c r="A43" s="22" t="s">
        <v>27</v>
      </c>
      <c r="B43" s="23">
        <f>SUM(B37:B42)-B38</f>
        <v>273</v>
      </c>
      <c r="C43" s="24"/>
      <c r="D43" s="25"/>
    </row>
    <row r="44" spans="1:13" x14ac:dyDescent="0.25">
      <c r="A44" s="18" t="s">
        <v>28</v>
      </c>
      <c r="B44" s="19">
        <f>B36-B43</f>
        <v>77</v>
      </c>
      <c r="C44" s="20"/>
      <c r="D44" s="21"/>
    </row>
    <row r="45" spans="1:13" x14ac:dyDescent="0.25">
      <c r="A45" s="26" t="s">
        <v>29</v>
      </c>
      <c r="B45" s="105">
        <v>80</v>
      </c>
      <c r="C45" s="106">
        <v>0.25</v>
      </c>
      <c r="D45" s="107">
        <f>B45*C45</f>
        <v>20</v>
      </c>
    </row>
    <row r="46" spans="1:13" ht="14.4" thickBot="1" x14ac:dyDescent="0.3">
      <c r="A46" s="101" t="s">
        <v>31</v>
      </c>
      <c r="B46" s="102"/>
      <c r="C46" s="103"/>
      <c r="D46" s="104">
        <f>SUM(D37:D45)</f>
        <v>286.8</v>
      </c>
      <c r="F46" s="91"/>
    </row>
    <row r="47" spans="1:13" x14ac:dyDescent="0.25">
      <c r="A47" s="18" t="s">
        <v>74</v>
      </c>
      <c r="B47" s="19"/>
      <c r="D47" s="91">
        <v>100000</v>
      </c>
    </row>
    <row r="49" spans="1:9" ht="14.4" thickBot="1" x14ac:dyDescent="0.3">
      <c r="A49" t="s">
        <v>94</v>
      </c>
      <c r="B49">
        <v>2500</v>
      </c>
      <c r="F49" t="str">
        <f>A49</f>
        <v>לפי שומת הררי 2021</v>
      </c>
      <c r="G49">
        <v>3000</v>
      </c>
    </row>
    <row r="50" spans="1:9" x14ac:dyDescent="0.25">
      <c r="A50" s="10" t="s">
        <v>16</v>
      </c>
      <c r="B50" s="41" t="s">
        <v>20</v>
      </c>
      <c r="C50" s="41" t="s">
        <v>21</v>
      </c>
      <c r="D50" s="42" t="s">
        <v>22</v>
      </c>
      <c r="F50" s="10" t="s">
        <v>16</v>
      </c>
      <c r="G50" s="41" t="s">
        <v>20</v>
      </c>
      <c r="H50" s="41" t="s">
        <v>21</v>
      </c>
      <c r="I50" s="42" t="s">
        <v>22</v>
      </c>
    </row>
    <row r="51" spans="1:9" x14ac:dyDescent="0.25">
      <c r="A51" s="18" t="s">
        <v>14</v>
      </c>
      <c r="B51">
        <v>160</v>
      </c>
      <c r="C51">
        <v>1</v>
      </c>
      <c r="D51" s="21">
        <f t="shared" ref="D51:D56" si="3">C51*B51</f>
        <v>160</v>
      </c>
      <c r="F51" s="18" t="s">
        <v>14</v>
      </c>
      <c r="G51">
        <v>160</v>
      </c>
      <c r="H51">
        <v>1</v>
      </c>
      <c r="I51" s="21">
        <f>H51*G51</f>
        <v>160</v>
      </c>
    </row>
    <row r="52" spans="1:9" x14ac:dyDescent="0.25">
      <c r="A52" s="18" t="s">
        <v>15</v>
      </c>
      <c r="B52">
        <v>160</v>
      </c>
      <c r="C52">
        <v>1</v>
      </c>
      <c r="D52" s="21">
        <f t="shared" si="3"/>
        <v>160</v>
      </c>
      <c r="F52" s="18" t="s">
        <v>15</v>
      </c>
      <c r="G52">
        <v>160</v>
      </c>
      <c r="H52">
        <v>1</v>
      </c>
      <c r="I52" s="21">
        <f>H52*G52</f>
        <v>160</v>
      </c>
    </row>
    <row r="53" spans="1:9" x14ac:dyDescent="0.25">
      <c r="A53" s="18" t="s">
        <v>33</v>
      </c>
      <c r="B53">
        <v>55</v>
      </c>
      <c r="C53">
        <v>1</v>
      </c>
      <c r="D53" s="21">
        <f t="shared" si="3"/>
        <v>55</v>
      </c>
      <c r="F53" s="18" t="s">
        <v>33</v>
      </c>
      <c r="G53">
        <v>55</v>
      </c>
      <c r="H53">
        <v>1</v>
      </c>
      <c r="I53" s="21">
        <f>H53*G53</f>
        <v>55</v>
      </c>
    </row>
    <row r="54" spans="1:9" x14ac:dyDescent="0.25">
      <c r="A54" s="18" t="s">
        <v>27</v>
      </c>
      <c r="B54" s="40">
        <f>SUM(B51:B53)</f>
        <v>375</v>
      </c>
      <c r="D54" s="21"/>
      <c r="F54" s="18" t="s">
        <v>27</v>
      </c>
      <c r="G54" s="40">
        <f>SUM(G51:G53)</f>
        <v>375</v>
      </c>
      <c r="I54" s="21"/>
    </row>
    <row r="55" spans="1:9" x14ac:dyDescent="0.25">
      <c r="A55" s="18" t="s">
        <v>34</v>
      </c>
      <c r="B55">
        <v>1125</v>
      </c>
      <c r="C55" s="20">
        <v>0.25</v>
      </c>
      <c r="D55" s="21">
        <f t="shared" si="3"/>
        <v>281.25</v>
      </c>
      <c r="F55" s="18" t="s">
        <v>34</v>
      </c>
      <c r="G55">
        <v>1125</v>
      </c>
      <c r="H55" s="20">
        <v>0.25</v>
      </c>
      <c r="I55" s="21">
        <f>H55*G55</f>
        <v>281.25</v>
      </c>
    </row>
    <row r="56" spans="1:9" x14ac:dyDescent="0.25">
      <c r="A56" s="18" t="s">
        <v>54</v>
      </c>
      <c r="B56">
        <f>B49-B54-B55</f>
        <v>1000</v>
      </c>
      <c r="C56" s="20">
        <v>0.15</v>
      </c>
      <c r="D56" s="21">
        <f t="shared" si="3"/>
        <v>150</v>
      </c>
      <c r="F56" s="18" t="s">
        <v>54</v>
      </c>
      <c r="G56">
        <v>1000</v>
      </c>
      <c r="H56" s="20">
        <v>0.15</v>
      </c>
      <c r="I56" s="21">
        <f>H56*G56</f>
        <v>150</v>
      </c>
    </row>
    <row r="57" spans="1:9" x14ac:dyDescent="0.25">
      <c r="A57" s="18"/>
      <c r="C57" s="20"/>
      <c r="D57" s="21"/>
      <c r="F57" s="18" t="s">
        <v>72</v>
      </c>
      <c r="G57">
        <v>500</v>
      </c>
      <c r="H57" s="20">
        <v>0.1</v>
      </c>
      <c r="I57" s="128">
        <f>G57*H57</f>
        <v>50</v>
      </c>
    </row>
    <row r="58" spans="1:9" x14ac:dyDescent="0.25">
      <c r="A58" s="43" t="s">
        <v>31</v>
      </c>
      <c r="B58" s="40">
        <f>SUM(B51:B56)</f>
        <v>2875</v>
      </c>
      <c r="C58" s="40"/>
      <c r="D58" s="44">
        <f>SUM(D51:D56)</f>
        <v>806.25</v>
      </c>
      <c r="F58" s="43" t="s">
        <v>31</v>
      </c>
      <c r="G58" s="40">
        <f>SUM(G51:G57)</f>
        <v>3375</v>
      </c>
      <c r="H58" s="40"/>
      <c r="I58" s="44">
        <f>SUM(I51:I57)</f>
        <v>856.25</v>
      </c>
    </row>
    <row r="59" spans="1:9" ht="14.4" thickBot="1" x14ac:dyDescent="0.3">
      <c r="A59" s="34" t="s">
        <v>32</v>
      </c>
      <c r="B59" s="45"/>
      <c r="C59" s="45"/>
      <c r="D59" s="46">
        <f>D58</f>
        <v>806.25</v>
      </c>
      <c r="E59" s="72"/>
      <c r="F59" s="34" t="s">
        <v>32</v>
      </c>
      <c r="G59" s="45"/>
      <c r="H59" s="45"/>
      <c r="I59" s="46">
        <f>I58</f>
        <v>856.25</v>
      </c>
    </row>
    <row r="60" spans="1:9" x14ac:dyDescent="0.25">
      <c r="A60" t="s">
        <v>66</v>
      </c>
      <c r="D60" s="17">
        <v>175000</v>
      </c>
      <c r="F60" t="s">
        <v>66</v>
      </c>
      <c r="I60" s="17">
        <v>190000</v>
      </c>
    </row>
  </sheetData>
  <mergeCells count="5">
    <mergeCell ref="A27:C27"/>
    <mergeCell ref="A28:C28"/>
    <mergeCell ref="A29:C29"/>
    <mergeCell ref="A30:C30"/>
    <mergeCell ref="A31:C3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1037-13F1-40AC-BF28-251FFF4D9B02}">
  <dimension ref="C3:T49"/>
  <sheetViews>
    <sheetView rightToLeft="1" topLeftCell="A2" zoomScale="70" zoomScaleNormal="70" workbookViewId="0">
      <selection activeCell="Q4" sqref="Q4:T27"/>
    </sheetView>
  </sheetViews>
  <sheetFormatPr defaultRowHeight="13.8" x14ac:dyDescent="0.25"/>
  <cols>
    <col min="4" max="4" width="16.69921875" bestFit="1" customWidth="1"/>
    <col min="5" max="5" width="15.59765625" bestFit="1" customWidth="1"/>
    <col min="7" max="7" width="14.59765625" bestFit="1" customWidth="1"/>
    <col min="9" max="9" width="9.3984375" bestFit="1" customWidth="1"/>
    <col min="10" max="10" width="12" bestFit="1" customWidth="1"/>
    <col min="11" max="11" width="11.8984375" bestFit="1" customWidth="1"/>
    <col min="12" max="12" width="14.59765625" bestFit="1" customWidth="1"/>
    <col min="17" max="17" width="25.8984375" bestFit="1" customWidth="1"/>
    <col min="18" max="18" width="12.3984375" bestFit="1" customWidth="1"/>
  </cols>
  <sheetData>
    <row r="3" spans="3:20" ht="14.4" thickBot="1" x14ac:dyDescent="0.3">
      <c r="I3" t="s">
        <v>275</v>
      </c>
      <c r="J3" s="74">
        <f>'מ"ר אקו'' נחלה'!D14+'מ"ר אקו'' נחלה'!D29</f>
        <v>1336.0896075283622</v>
      </c>
      <c r="L3" s="149"/>
    </row>
    <row r="4" spans="3:20" x14ac:dyDescent="0.25">
      <c r="C4" s="305" t="s">
        <v>255</v>
      </c>
      <c r="D4" s="305"/>
      <c r="E4" s="305"/>
      <c r="F4" s="305"/>
      <c r="G4" s="242"/>
      <c r="I4" t="s">
        <v>276</v>
      </c>
      <c r="J4">
        <f>F11+F18-160-160</f>
        <v>179</v>
      </c>
      <c r="Q4" s="10" t="s">
        <v>251</v>
      </c>
      <c r="R4" s="271">
        <v>28000</v>
      </c>
      <c r="S4" s="271"/>
      <c r="T4" s="13"/>
    </row>
    <row r="5" spans="3:20" x14ac:dyDescent="0.25">
      <c r="C5" s="229" t="s">
        <v>229</v>
      </c>
      <c r="D5" s="229" t="s">
        <v>245</v>
      </c>
      <c r="E5" s="229" t="s">
        <v>21</v>
      </c>
      <c r="F5" s="229" t="s">
        <v>8</v>
      </c>
      <c r="G5" s="242"/>
      <c r="J5" s="74">
        <f>J3-J4</f>
        <v>1157.0896075283622</v>
      </c>
      <c r="Q5" s="18" t="s">
        <v>281</v>
      </c>
      <c r="R5" s="74">
        <f>'מ"ר אקו'' נחלה'!D14+'מ"ר אקו'' נחלה'!D29</f>
        <v>1336.0896075283622</v>
      </c>
      <c r="T5" s="21"/>
    </row>
    <row r="6" spans="3:20" x14ac:dyDescent="0.25">
      <c r="C6" s="229" t="s">
        <v>55</v>
      </c>
      <c r="D6" s="229">
        <v>179</v>
      </c>
      <c r="E6" s="229">
        <v>1</v>
      </c>
      <c r="F6" s="229">
        <f>D6*E6</f>
        <v>179</v>
      </c>
      <c r="G6" s="242"/>
      <c r="Q6" s="274" t="s">
        <v>289</v>
      </c>
      <c r="R6" s="284">
        <f>R4*R5*20%</f>
        <v>7482101.8021588288</v>
      </c>
      <c r="T6" s="21"/>
    </row>
    <row r="7" spans="3:20" x14ac:dyDescent="0.25">
      <c r="C7" s="229"/>
      <c r="D7" s="229"/>
      <c r="E7" s="229"/>
      <c r="F7" s="229"/>
      <c r="G7" s="242"/>
      <c r="Q7" s="276" t="s">
        <v>288</v>
      </c>
      <c r="R7" s="280">
        <f>R6-80000</f>
        <v>7402101.8021588288</v>
      </c>
      <c r="T7" s="21"/>
    </row>
    <row r="8" spans="3:20" x14ac:dyDescent="0.25">
      <c r="C8" s="229"/>
      <c r="D8" s="229"/>
      <c r="E8" s="229"/>
      <c r="F8" s="229"/>
      <c r="G8" s="242"/>
      <c r="Q8" s="276"/>
      <c r="R8" s="280"/>
      <c r="T8" s="21"/>
    </row>
    <row r="9" spans="3:20" x14ac:dyDescent="0.25">
      <c r="C9" s="229" t="s">
        <v>239</v>
      </c>
      <c r="D9" s="229">
        <v>37</v>
      </c>
      <c r="E9" s="229">
        <v>0.5</v>
      </c>
      <c r="F9" s="229">
        <f t="shared" ref="F9:F10" si="0">D9*E9</f>
        <v>18.5</v>
      </c>
      <c r="G9" s="242"/>
      <c r="Q9" s="281" t="s">
        <v>39</v>
      </c>
      <c r="T9" s="21"/>
    </row>
    <row r="10" spans="3:20" x14ac:dyDescent="0.25">
      <c r="C10" s="229" t="s">
        <v>199</v>
      </c>
      <c r="D10" s="229">
        <v>135</v>
      </c>
      <c r="E10" s="229">
        <v>0.5</v>
      </c>
      <c r="F10" s="229">
        <f t="shared" si="0"/>
        <v>67.5</v>
      </c>
      <c r="G10" s="242"/>
      <c r="Q10" s="272" t="s">
        <v>277</v>
      </c>
      <c r="R10" s="39" t="s">
        <v>245</v>
      </c>
      <c r="S10" s="39" t="s">
        <v>21</v>
      </c>
      <c r="T10" s="273" t="s">
        <v>8</v>
      </c>
    </row>
    <row r="11" spans="3:20" x14ac:dyDescent="0.25">
      <c r="C11" s="307" t="s">
        <v>8</v>
      </c>
      <c r="D11" s="308"/>
      <c r="E11" s="309"/>
      <c r="F11" s="229">
        <f>SUM(F6:F10)</f>
        <v>265</v>
      </c>
      <c r="G11" s="242"/>
      <c r="Q11" s="18" t="s">
        <v>279</v>
      </c>
      <c r="R11">
        <v>179</v>
      </c>
      <c r="S11">
        <v>1</v>
      </c>
      <c r="T11" s="21">
        <f>R11*S11</f>
        <v>179</v>
      </c>
    </row>
    <row r="12" spans="3:20" x14ac:dyDescent="0.25">
      <c r="C12" s="316" t="s">
        <v>257</v>
      </c>
      <c r="D12" s="317"/>
      <c r="E12" s="318"/>
      <c r="F12" s="261">
        <f>F11-160</f>
        <v>105</v>
      </c>
      <c r="G12" s="242"/>
      <c r="H12" s="242"/>
      <c r="I12" s="242"/>
      <c r="J12" s="242"/>
      <c r="K12" s="242"/>
      <c r="Q12" s="18" t="s">
        <v>239</v>
      </c>
      <c r="R12">
        <v>37</v>
      </c>
      <c r="S12">
        <v>0.5</v>
      </c>
      <c r="T12" s="21">
        <f t="shared" ref="T12:T13" si="1">R12*S12</f>
        <v>18.5</v>
      </c>
    </row>
    <row r="13" spans="3:20" x14ac:dyDescent="0.25">
      <c r="C13" s="232"/>
      <c r="D13" s="233"/>
      <c r="E13" s="234"/>
      <c r="F13" s="261"/>
      <c r="G13" s="242"/>
      <c r="H13" s="242"/>
      <c r="I13" s="242"/>
      <c r="J13" s="242"/>
      <c r="K13" s="242"/>
      <c r="Q13" s="18" t="s">
        <v>199</v>
      </c>
      <c r="R13">
        <v>135</v>
      </c>
      <c r="S13">
        <v>0.5</v>
      </c>
      <c r="T13" s="21">
        <f t="shared" si="1"/>
        <v>67.5</v>
      </c>
    </row>
    <row r="14" spans="3:20" x14ac:dyDescent="0.25">
      <c r="C14" s="305" t="s">
        <v>256</v>
      </c>
      <c r="D14" s="305"/>
      <c r="E14" s="305"/>
      <c r="F14" s="305"/>
      <c r="Q14" s="274" t="s">
        <v>250</v>
      </c>
      <c r="R14" s="67"/>
      <c r="S14" s="67"/>
      <c r="T14" s="275">
        <f>SUM(T11:T13)</f>
        <v>265</v>
      </c>
    </row>
    <row r="15" spans="3:20" x14ac:dyDescent="0.25">
      <c r="C15" s="259" t="s">
        <v>229</v>
      </c>
      <c r="D15" s="259" t="s">
        <v>245</v>
      </c>
      <c r="E15" s="259" t="s">
        <v>21</v>
      </c>
      <c r="F15" s="259" t="s">
        <v>8</v>
      </c>
      <c r="Q15" s="18" t="s">
        <v>282</v>
      </c>
      <c r="T15" s="21">
        <v>160</v>
      </c>
    </row>
    <row r="16" spans="3:20" x14ac:dyDescent="0.25">
      <c r="C16" s="259" t="s">
        <v>55</v>
      </c>
      <c r="D16" s="259">
        <f>131+103-15</f>
        <v>219</v>
      </c>
      <c r="E16" s="259">
        <v>1</v>
      </c>
      <c r="F16" s="259">
        <f>E16*D16</f>
        <v>219</v>
      </c>
      <c r="Q16" s="276" t="s">
        <v>278</v>
      </c>
      <c r="R16" s="68"/>
      <c r="S16" s="68"/>
      <c r="T16" s="277">
        <f>T14-T15</f>
        <v>105</v>
      </c>
    </row>
    <row r="17" spans="3:20" x14ac:dyDescent="0.25">
      <c r="C17" s="259" t="s">
        <v>239</v>
      </c>
      <c r="D17" s="259">
        <v>30</v>
      </c>
      <c r="E17" s="259">
        <v>0.5</v>
      </c>
      <c r="F17" s="259">
        <f t="shared" ref="F17" si="2">E17*D17</f>
        <v>15</v>
      </c>
      <c r="Q17" s="18"/>
      <c r="T17" s="21"/>
    </row>
    <row r="18" spans="3:20" x14ac:dyDescent="0.25">
      <c r="C18" s="310" t="s">
        <v>8</v>
      </c>
      <c r="D18" s="311"/>
      <c r="E18" s="312"/>
      <c r="F18" s="259">
        <f>SUM(F16:F17)</f>
        <v>234</v>
      </c>
      <c r="Q18" s="276"/>
      <c r="R18" s="68"/>
      <c r="S18" s="68"/>
      <c r="T18" s="277"/>
    </row>
    <row r="19" spans="3:20" x14ac:dyDescent="0.25">
      <c r="C19" s="313" t="s">
        <v>257</v>
      </c>
      <c r="D19" s="314"/>
      <c r="E19" s="315"/>
      <c r="F19" s="260">
        <f>F18-160</f>
        <v>74</v>
      </c>
      <c r="I19" s="306" t="s">
        <v>258</v>
      </c>
      <c r="J19" s="306"/>
      <c r="K19" s="306"/>
      <c r="L19">
        <f>F12+F19</f>
        <v>179</v>
      </c>
      <c r="Q19" s="18"/>
      <c r="T19" s="21"/>
    </row>
    <row r="20" spans="3:20" x14ac:dyDescent="0.25">
      <c r="C20" s="303" t="s">
        <v>272</v>
      </c>
      <c r="D20" s="303"/>
      <c r="E20" s="303"/>
      <c r="F20" s="225">
        <f>F19+F12</f>
        <v>179</v>
      </c>
      <c r="I20" s="306" t="s">
        <v>259</v>
      </c>
      <c r="J20" s="306"/>
      <c r="K20" s="306"/>
      <c r="L20">
        <f>L19*0.2</f>
        <v>35.800000000000004</v>
      </c>
      <c r="Q20" s="272" t="s">
        <v>280</v>
      </c>
      <c r="R20" s="39" t="s">
        <v>245</v>
      </c>
      <c r="S20" s="39" t="s">
        <v>21</v>
      </c>
      <c r="T20" s="273" t="s">
        <v>8</v>
      </c>
    </row>
    <row r="21" spans="3:20" x14ac:dyDescent="0.25">
      <c r="C21" s="297" t="s">
        <v>259</v>
      </c>
      <c r="D21" s="297"/>
      <c r="E21" s="297"/>
      <c r="F21" s="256">
        <f>F20*0.2</f>
        <v>35.800000000000004</v>
      </c>
      <c r="Q21" s="18" t="s">
        <v>283</v>
      </c>
      <c r="R21">
        <v>219</v>
      </c>
      <c r="S21">
        <v>1</v>
      </c>
      <c r="T21" s="21">
        <f>S21*R21</f>
        <v>219</v>
      </c>
    </row>
    <row r="22" spans="3:20" x14ac:dyDescent="0.25">
      <c r="Q22" s="18" t="s">
        <v>239</v>
      </c>
      <c r="R22">
        <v>30</v>
      </c>
      <c r="S22">
        <v>0.5</v>
      </c>
      <c r="T22" s="21">
        <f t="shared" ref="T22" si="3">S22*R22</f>
        <v>15</v>
      </c>
    </row>
    <row r="23" spans="3:20" x14ac:dyDescent="0.25">
      <c r="C23" s="303" t="s">
        <v>5</v>
      </c>
      <c r="D23" s="303"/>
      <c r="E23" s="303"/>
      <c r="F23" s="303"/>
      <c r="Q23" s="274" t="s">
        <v>250</v>
      </c>
      <c r="R23" s="68"/>
      <c r="S23" s="68"/>
      <c r="T23" s="275">
        <f>SUM(T21:T22)</f>
        <v>234</v>
      </c>
    </row>
    <row r="24" spans="3:20" x14ac:dyDescent="0.25">
      <c r="C24" s="236" t="s">
        <v>273</v>
      </c>
      <c r="D24" s="236"/>
      <c r="E24" s="321">
        <v>1336</v>
      </c>
      <c r="F24" s="303"/>
      <c r="Q24" s="18" t="s">
        <v>282</v>
      </c>
      <c r="T24" s="21">
        <v>160</v>
      </c>
    </row>
    <row r="25" spans="3:20" x14ac:dyDescent="0.25">
      <c r="C25" s="319" t="s">
        <v>274</v>
      </c>
      <c r="D25" s="320"/>
      <c r="E25" s="322">
        <f>E24*0.2</f>
        <v>267.2</v>
      </c>
      <c r="F25" s="323"/>
      <c r="Q25" s="276" t="s">
        <v>278</v>
      </c>
      <c r="R25" s="68"/>
      <c r="S25" s="68"/>
      <c r="T25" s="277">
        <f>T23-T24</f>
        <v>74</v>
      </c>
    </row>
    <row r="26" spans="3:20" x14ac:dyDescent="0.25">
      <c r="C26" s="319" t="s">
        <v>235</v>
      </c>
      <c r="D26" s="320"/>
      <c r="E26" s="321">
        <f>28000</f>
        <v>28000</v>
      </c>
      <c r="F26" s="303"/>
      <c r="I26">
        <f>E25*E26</f>
        <v>7481600</v>
      </c>
      <c r="Q26" s="18"/>
      <c r="T26" s="21"/>
    </row>
    <row r="27" spans="3:20" x14ac:dyDescent="0.25">
      <c r="C27" s="319"/>
      <c r="D27" s="320"/>
      <c r="E27" s="321">
        <f>'תחשיב לפי שווי שומה (2)'!B17</f>
        <v>0.5</v>
      </c>
      <c r="F27" s="303"/>
      <c r="Q27" s="276" t="s">
        <v>284</v>
      </c>
      <c r="R27" s="68"/>
      <c r="S27" s="68"/>
      <c r="T27" s="277">
        <f>T25+T16</f>
        <v>179</v>
      </c>
    </row>
    <row r="28" spans="3:20" x14ac:dyDescent="0.25">
      <c r="C28" s="319"/>
      <c r="D28" s="320"/>
      <c r="E28" s="321">
        <f>'תחשיב לפי שווי שומה (2)'!B18</f>
        <v>0.7</v>
      </c>
      <c r="F28" s="303"/>
      <c r="Q28" s="18"/>
      <c r="T28" s="21"/>
    </row>
    <row r="29" spans="3:20" x14ac:dyDescent="0.25">
      <c r="C29" s="319"/>
      <c r="D29" s="320"/>
      <c r="E29" s="321">
        <f>'תחשיב לפי שווי שומה (2)'!B19</f>
        <v>7.4999999999999997E-2</v>
      </c>
      <c r="F29" s="303"/>
      <c r="Q29" s="18"/>
      <c r="T29" s="21"/>
    </row>
    <row r="30" spans="3:20" x14ac:dyDescent="0.25">
      <c r="C30" s="319"/>
      <c r="D30" s="320"/>
      <c r="E30" s="321">
        <f>'תחשיב לפי שווי שומה (2)'!B20</f>
        <v>1</v>
      </c>
      <c r="F30" s="303"/>
      <c r="Q30" s="272"/>
      <c r="R30" s="39"/>
      <c r="T30" s="21"/>
    </row>
    <row r="31" spans="3:20" x14ac:dyDescent="0.25">
      <c r="Q31" s="18"/>
      <c r="T31" s="21"/>
    </row>
    <row r="32" spans="3:20" x14ac:dyDescent="0.25">
      <c r="Q32" s="18" t="s">
        <v>281</v>
      </c>
      <c r="R32" s="74">
        <f>R5</f>
        <v>1336.0896075283622</v>
      </c>
      <c r="T32" s="21"/>
    </row>
    <row r="33" spans="4:20" x14ac:dyDescent="0.25">
      <c r="Q33" s="18" t="s">
        <v>285</v>
      </c>
      <c r="R33">
        <f>T27</f>
        <v>179</v>
      </c>
      <c r="T33" s="21"/>
    </row>
    <row r="34" spans="4:20" x14ac:dyDescent="0.25">
      <c r="Q34" s="18" t="s">
        <v>287</v>
      </c>
      <c r="R34" s="74">
        <f>R32-R33</f>
        <v>1157.0896075283622</v>
      </c>
      <c r="T34" s="21"/>
    </row>
    <row r="35" spans="4:20" ht="14.4" thickBot="1" x14ac:dyDescent="0.3">
      <c r="J35" s="150"/>
      <c r="Q35" s="18" t="s">
        <v>251</v>
      </c>
      <c r="R35" s="270">
        <v>28000</v>
      </c>
      <c r="T35" s="21"/>
    </row>
    <row r="36" spans="4:20" x14ac:dyDescent="0.25">
      <c r="D36" s="287" t="s">
        <v>298</v>
      </c>
      <c r="E36" s="288" t="s">
        <v>292</v>
      </c>
      <c r="F36" s="288" t="s">
        <v>293</v>
      </c>
      <c r="G36" s="289" t="s">
        <v>294</v>
      </c>
      <c r="Q36" s="274" t="s">
        <v>290</v>
      </c>
      <c r="R36" s="284">
        <f>R34*R35*0.2</f>
        <v>6479701.8021588288</v>
      </c>
      <c r="T36" s="21"/>
    </row>
    <row r="37" spans="4:20" x14ac:dyDescent="0.25">
      <c r="D37" s="243" t="s">
        <v>291</v>
      </c>
      <c r="E37" s="285">
        <f>J3*'תחשיב לפי שווי שומה (2)'!B7</f>
        <v>37410509.01079414</v>
      </c>
      <c r="F37" s="286">
        <v>0.2</v>
      </c>
      <c r="G37" s="290">
        <f>E37*F37</f>
        <v>7482101.8021588288</v>
      </c>
      <c r="Q37" s="276" t="s">
        <v>288</v>
      </c>
      <c r="R37" s="280">
        <f>R36-80000</f>
        <v>6399701.8021588288</v>
      </c>
      <c r="T37" s="21"/>
    </row>
    <row r="38" spans="4:20" ht="14.4" thickBot="1" x14ac:dyDescent="0.3">
      <c r="D38" s="243" t="s">
        <v>295</v>
      </c>
      <c r="E38" s="285">
        <f>-T27*'תחשיב לפי שווי שומה (2)'!B7</f>
        <v>-5012000</v>
      </c>
      <c r="F38" s="286">
        <v>0.2</v>
      </c>
      <c r="G38" s="290">
        <f>E38*F38</f>
        <v>-1002400</v>
      </c>
      <c r="Q38" s="282" t="s">
        <v>286</v>
      </c>
      <c r="R38" s="283">
        <f>R7-R37</f>
        <v>1002400</v>
      </c>
      <c r="S38" s="278"/>
      <c r="T38" s="279"/>
    </row>
    <row r="39" spans="4:20" ht="14.4" thickBot="1" x14ac:dyDescent="0.3">
      <c r="D39" s="291" t="s">
        <v>297</v>
      </c>
      <c r="E39" s="292"/>
      <c r="F39" s="292"/>
      <c r="G39" s="293">
        <v>-79702</v>
      </c>
      <c r="Q39" s="282"/>
      <c r="R39" s="278"/>
      <c r="S39" s="278"/>
      <c r="T39" s="279"/>
    </row>
    <row r="40" spans="4:20" ht="14.4" thickBot="1" x14ac:dyDescent="0.3">
      <c r="D40" s="294" t="s">
        <v>296</v>
      </c>
      <c r="E40" s="295"/>
      <c r="F40" s="295"/>
      <c r="G40" s="296">
        <f>SUM(G37:G39)</f>
        <v>6399999.8021588288</v>
      </c>
      <c r="Q40" s="267"/>
      <c r="T40" s="268"/>
    </row>
    <row r="41" spans="4:20" x14ac:dyDescent="0.25">
      <c r="Q41" s="267"/>
      <c r="T41" s="268"/>
    </row>
    <row r="42" spans="4:20" x14ac:dyDescent="0.25">
      <c r="Q42" s="267"/>
      <c r="T42" s="268"/>
    </row>
    <row r="43" spans="4:20" x14ac:dyDescent="0.25">
      <c r="Q43" s="265"/>
      <c r="S43" s="39"/>
      <c r="T43" s="266"/>
    </row>
    <row r="44" spans="4:20" x14ac:dyDescent="0.25">
      <c r="Q44" s="267"/>
      <c r="S44" s="150"/>
      <c r="T44" s="269"/>
    </row>
    <row r="45" spans="4:20" x14ac:dyDescent="0.25">
      <c r="Q45" s="267"/>
      <c r="S45" s="150"/>
      <c r="T45" s="269"/>
    </row>
    <row r="46" spans="4:20" x14ac:dyDescent="0.25">
      <c r="Q46" s="267"/>
      <c r="S46" s="150"/>
      <c r="T46" s="269"/>
    </row>
    <row r="47" spans="4:20" x14ac:dyDescent="0.25">
      <c r="Q47" s="267"/>
      <c r="S47" s="150"/>
      <c r="T47" s="269"/>
    </row>
    <row r="48" spans="4:20" x14ac:dyDescent="0.25">
      <c r="Q48" s="267"/>
      <c r="T48" s="269"/>
    </row>
    <row r="49" spans="17:20" x14ac:dyDescent="0.25">
      <c r="Q49" s="262"/>
      <c r="R49" s="263"/>
      <c r="S49" s="263"/>
      <c r="T49" s="264"/>
    </row>
  </sheetData>
  <mergeCells count="24">
    <mergeCell ref="C25:D25"/>
    <mergeCell ref="E25:F25"/>
    <mergeCell ref="E24:F24"/>
    <mergeCell ref="C23:F23"/>
    <mergeCell ref="C21:E21"/>
    <mergeCell ref="C30:D30"/>
    <mergeCell ref="E26:F26"/>
    <mergeCell ref="E27:F27"/>
    <mergeCell ref="E28:F28"/>
    <mergeCell ref="E29:F29"/>
    <mergeCell ref="E30:F30"/>
    <mergeCell ref="C26:D26"/>
    <mergeCell ref="C27:D27"/>
    <mergeCell ref="C28:D28"/>
    <mergeCell ref="C29:D29"/>
    <mergeCell ref="C4:F4"/>
    <mergeCell ref="I19:K19"/>
    <mergeCell ref="I20:K20"/>
    <mergeCell ref="C14:F14"/>
    <mergeCell ref="C11:E11"/>
    <mergeCell ref="C18:E18"/>
    <mergeCell ref="C19:E19"/>
    <mergeCell ref="C12:E12"/>
    <mergeCell ref="C20:E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O32"/>
  <sheetViews>
    <sheetView rightToLeft="1" zoomScale="130" zoomScaleNormal="130" workbookViewId="0">
      <selection activeCell="I29" sqref="I29"/>
    </sheetView>
  </sheetViews>
  <sheetFormatPr defaultRowHeight="13.8" x14ac:dyDescent="0.25"/>
  <cols>
    <col min="1" max="1" width="5.296875" customWidth="1"/>
    <col min="2" max="2" width="12.5" customWidth="1"/>
    <col min="3" max="3" width="12.3984375" bestFit="1" customWidth="1"/>
    <col min="4" max="4" width="10.296875" style="17" customWidth="1"/>
    <col min="5" max="5" width="10.796875" style="17" bestFit="1" customWidth="1"/>
    <col min="6" max="6" width="10.3984375" style="17" bestFit="1" customWidth="1"/>
    <col min="7" max="7" width="8.59765625" bestFit="1" customWidth="1"/>
    <col min="8" max="8" width="14.59765625" bestFit="1" customWidth="1"/>
    <col min="9" max="9" width="12.09765625" bestFit="1" customWidth="1"/>
    <col min="10" max="10" width="14.59765625" bestFit="1" customWidth="1"/>
    <col min="13" max="13" width="8.796875" customWidth="1"/>
    <col min="14" max="14" width="9.09765625" bestFit="1" customWidth="1"/>
    <col min="15" max="15" width="10.19921875" bestFit="1" customWidth="1"/>
  </cols>
  <sheetData>
    <row r="2" spans="2:15" ht="15.6" x14ac:dyDescent="0.4">
      <c r="B2" s="39" t="s">
        <v>151</v>
      </c>
      <c r="C2" s="39"/>
      <c r="D2" s="131"/>
    </row>
    <row r="3" spans="2:15" x14ac:dyDescent="0.25">
      <c r="B3" t="s">
        <v>93</v>
      </c>
      <c r="C3" s="149">
        <f>O15</f>
        <v>30314.9863760218</v>
      </c>
      <c r="D3" s="149"/>
      <c r="G3" s="190"/>
      <c r="H3" s="149"/>
      <c r="I3" s="150"/>
      <c r="J3" s="150"/>
    </row>
    <row r="4" spans="2:15" x14ac:dyDescent="0.25">
      <c r="B4" t="s">
        <v>126</v>
      </c>
      <c r="C4" s="187"/>
      <c r="D4" s="38"/>
      <c r="G4" s="190"/>
      <c r="J4" s="150"/>
    </row>
    <row r="5" spans="2:15" x14ac:dyDescent="0.25">
      <c r="B5" t="s">
        <v>127</v>
      </c>
    </row>
    <row r="6" spans="2:15" x14ac:dyDescent="0.25">
      <c r="B6" t="s">
        <v>128</v>
      </c>
      <c r="C6" s="150">
        <f>O17</f>
        <v>27283.487738419619</v>
      </c>
      <c r="D6" s="149"/>
    </row>
    <row r="7" spans="2:15" x14ac:dyDescent="0.25">
      <c r="B7" t="s">
        <v>142</v>
      </c>
      <c r="C7" s="150">
        <v>28000</v>
      </c>
    </row>
    <row r="8" spans="2:15" x14ac:dyDescent="0.25">
      <c r="C8" s="150"/>
    </row>
    <row r="9" spans="2:15" x14ac:dyDescent="0.25">
      <c r="B9" s="39" t="s">
        <v>129</v>
      </c>
      <c r="C9" s="151"/>
    </row>
    <row r="10" spans="2:15" ht="27.6" x14ac:dyDescent="0.4">
      <c r="B10" s="39" t="s">
        <v>131</v>
      </c>
      <c r="C10" s="39" t="s">
        <v>130</v>
      </c>
      <c r="D10" s="131" t="s">
        <v>132</v>
      </c>
      <c r="E10" s="131" t="s">
        <v>133</v>
      </c>
      <c r="F10" s="131" t="s">
        <v>134</v>
      </c>
      <c r="G10" s="131" t="s">
        <v>135</v>
      </c>
      <c r="H10" s="189" t="s">
        <v>136</v>
      </c>
      <c r="I10" s="131" t="s">
        <v>137</v>
      </c>
      <c r="J10" s="131" t="s">
        <v>138</v>
      </c>
      <c r="K10" s="131" t="s">
        <v>139</v>
      </c>
      <c r="L10" s="131" t="s">
        <v>140</v>
      </c>
      <c r="M10" s="131" t="s">
        <v>141</v>
      </c>
    </row>
    <row r="11" spans="2:15" x14ac:dyDescent="0.25">
      <c r="B11" s="188"/>
    </row>
    <row r="13" spans="2:15" ht="14.4" thickBot="1" x14ac:dyDescent="0.3">
      <c r="C13" s="150"/>
    </row>
    <row r="14" spans="2:15" ht="27" thickBot="1" x14ac:dyDescent="0.3">
      <c r="C14" s="218" t="s">
        <v>225</v>
      </c>
      <c r="D14" s="218" t="s">
        <v>226</v>
      </c>
      <c r="E14" s="218" t="s">
        <v>227</v>
      </c>
      <c r="F14" s="218" t="s">
        <v>228</v>
      </c>
      <c r="G14" s="218" t="s">
        <v>229</v>
      </c>
      <c r="H14" s="218" t="s">
        <v>230</v>
      </c>
      <c r="I14" s="218" t="s">
        <v>231</v>
      </c>
      <c r="J14" s="218" t="s">
        <v>135</v>
      </c>
      <c r="K14" s="218" t="s">
        <v>232</v>
      </c>
      <c r="L14" s="218" t="s">
        <v>134</v>
      </c>
      <c r="M14" s="218" t="s">
        <v>233</v>
      </c>
      <c r="N14" s="218" t="s">
        <v>234</v>
      </c>
      <c r="O14" s="218" t="s">
        <v>235</v>
      </c>
    </row>
    <row r="15" spans="2:15" ht="27" thickBot="1" x14ac:dyDescent="0.3">
      <c r="B15" s="39"/>
      <c r="C15" s="219" t="s">
        <v>303</v>
      </c>
      <c r="D15" s="220">
        <v>45008</v>
      </c>
      <c r="E15" s="221">
        <v>16000000</v>
      </c>
      <c r="F15" s="221">
        <v>16000000</v>
      </c>
      <c r="G15" s="219" t="s">
        <v>236</v>
      </c>
      <c r="H15" s="219">
        <v>1</v>
      </c>
      <c r="I15" s="219" t="s">
        <v>237</v>
      </c>
      <c r="J15" s="219">
        <v>1998</v>
      </c>
      <c r="K15" s="219">
        <v>497</v>
      </c>
      <c r="L15" s="219">
        <v>299</v>
      </c>
      <c r="M15" s="219">
        <f>7000*L15</f>
        <v>2093000</v>
      </c>
      <c r="N15" s="221">
        <f>F15-M15</f>
        <v>13907000</v>
      </c>
      <c r="O15" s="222">
        <f>F32</f>
        <v>30314.9863760218</v>
      </c>
    </row>
    <row r="16" spans="2:15" x14ac:dyDescent="0.25">
      <c r="D16"/>
      <c r="E16"/>
      <c r="F16"/>
      <c r="N16" t="s">
        <v>252</v>
      </c>
      <c r="O16">
        <v>0.9</v>
      </c>
    </row>
    <row r="17" spans="3:15" x14ac:dyDescent="0.25">
      <c r="C17" s="223" t="s">
        <v>238</v>
      </c>
      <c r="D17" s="224" t="s">
        <v>55</v>
      </c>
      <c r="E17" s="224" t="s">
        <v>239</v>
      </c>
      <c r="F17" s="224" t="s">
        <v>199</v>
      </c>
      <c r="G17" s="224" t="s">
        <v>240</v>
      </c>
      <c r="H17" s="224" t="s">
        <v>241</v>
      </c>
      <c r="I17" s="224" t="s">
        <v>232</v>
      </c>
      <c r="N17" t="s">
        <v>253</v>
      </c>
      <c r="O17" s="72">
        <f>O15*O16</f>
        <v>27283.487738419619</v>
      </c>
    </row>
    <row r="18" spans="3:15" ht="27.6" x14ac:dyDescent="0.25">
      <c r="C18" s="225" t="s">
        <v>242</v>
      </c>
      <c r="D18" s="225">
        <v>220</v>
      </c>
      <c r="E18" s="225">
        <v>60</v>
      </c>
      <c r="F18" s="226" t="s">
        <v>243</v>
      </c>
      <c r="G18" s="225">
        <v>2</v>
      </c>
      <c r="H18" s="225">
        <v>200</v>
      </c>
      <c r="I18" s="225">
        <f>K15</f>
        <v>497</v>
      </c>
    </row>
    <row r="19" spans="3:15" x14ac:dyDescent="0.25">
      <c r="C19" s="227"/>
      <c r="D19"/>
      <c r="E19"/>
      <c r="F19" s="228"/>
    </row>
    <row r="20" spans="3:15" x14ac:dyDescent="0.25">
      <c r="C20" s="324" t="s">
        <v>244</v>
      </c>
      <c r="D20" s="325"/>
      <c r="E20" s="325"/>
      <c r="F20" s="326"/>
    </row>
    <row r="21" spans="3:15" x14ac:dyDescent="0.25">
      <c r="C21" s="229" t="s">
        <v>229</v>
      </c>
      <c r="D21" s="229" t="s">
        <v>245</v>
      </c>
      <c r="E21" s="229" t="s">
        <v>21</v>
      </c>
      <c r="F21" s="229" t="s">
        <v>8</v>
      </c>
    </row>
    <row r="22" spans="3:15" x14ac:dyDescent="0.25">
      <c r="C22" s="229" t="s">
        <v>246</v>
      </c>
      <c r="D22" s="229">
        <f>D18/2-6</f>
        <v>104</v>
      </c>
      <c r="E22" s="229">
        <v>1</v>
      </c>
      <c r="F22" s="229">
        <f>D22*E22</f>
        <v>104</v>
      </c>
    </row>
    <row r="23" spans="3:15" x14ac:dyDescent="0.25">
      <c r="C23" s="229" t="s">
        <v>68</v>
      </c>
      <c r="D23" s="229">
        <v>12</v>
      </c>
      <c r="E23" s="229">
        <v>1</v>
      </c>
      <c r="F23" s="229">
        <f t="shared" ref="F23:F29" si="0">D23*E23</f>
        <v>12</v>
      </c>
    </row>
    <row r="24" spans="3:15" x14ac:dyDescent="0.25">
      <c r="C24" s="229" t="s">
        <v>247</v>
      </c>
      <c r="D24" s="229">
        <f>D18-D22</f>
        <v>116</v>
      </c>
      <c r="E24" s="229">
        <v>1</v>
      </c>
      <c r="F24" s="229">
        <f t="shared" si="0"/>
        <v>116</v>
      </c>
    </row>
    <row r="25" spans="3:15" x14ac:dyDescent="0.25">
      <c r="C25" s="229" t="s">
        <v>248</v>
      </c>
      <c r="D25" s="229">
        <v>23</v>
      </c>
      <c r="E25" s="229">
        <v>1.3</v>
      </c>
      <c r="F25" s="229">
        <f t="shared" si="0"/>
        <v>29.900000000000002</v>
      </c>
    </row>
    <row r="26" spans="3:15" x14ac:dyDescent="0.25">
      <c r="C26" s="229" t="s">
        <v>249</v>
      </c>
      <c r="D26" s="229">
        <f>E18-D23</f>
        <v>48</v>
      </c>
      <c r="E26" s="229">
        <v>0.5</v>
      </c>
      <c r="F26" s="229">
        <f t="shared" si="0"/>
        <v>24</v>
      </c>
    </row>
    <row r="27" spans="3:15" x14ac:dyDescent="0.25">
      <c r="C27" s="229" t="s">
        <v>199</v>
      </c>
      <c r="D27" s="229">
        <f>D22+D23</f>
        <v>116</v>
      </c>
      <c r="E27" s="229">
        <v>0.6</v>
      </c>
      <c r="F27" s="229">
        <f t="shared" si="0"/>
        <v>69.599999999999994</v>
      </c>
    </row>
    <row r="28" spans="3:15" x14ac:dyDescent="0.25">
      <c r="C28" s="230" t="s">
        <v>210</v>
      </c>
      <c r="D28" s="229">
        <v>50</v>
      </c>
      <c r="E28" s="229">
        <v>0.4</v>
      </c>
      <c r="F28" s="229">
        <f t="shared" si="0"/>
        <v>20</v>
      </c>
    </row>
    <row r="29" spans="3:15" x14ac:dyDescent="0.25">
      <c r="C29" s="230" t="s">
        <v>53</v>
      </c>
      <c r="D29" s="229">
        <f>I18-D22-D23-D26</f>
        <v>333</v>
      </c>
      <c r="E29" s="229">
        <v>0.25</v>
      </c>
      <c r="F29" s="229">
        <f t="shared" si="0"/>
        <v>83.25</v>
      </c>
    </row>
    <row r="30" spans="3:15" x14ac:dyDescent="0.25">
      <c r="C30" s="327" t="s">
        <v>250</v>
      </c>
      <c r="D30" s="327"/>
      <c r="E30" s="327"/>
      <c r="F30" s="229">
        <f>SUM(F22:F29)</f>
        <v>458.75</v>
      </c>
    </row>
    <row r="31" spans="3:15" x14ac:dyDescent="0.25">
      <c r="C31" s="327" t="s">
        <v>234</v>
      </c>
      <c r="D31" s="327"/>
      <c r="E31" s="327"/>
      <c r="F31" s="231">
        <f>N15</f>
        <v>13907000</v>
      </c>
    </row>
    <row r="32" spans="3:15" x14ac:dyDescent="0.25">
      <c r="C32" s="316" t="s">
        <v>251</v>
      </c>
      <c r="D32" s="317"/>
      <c r="E32" s="318"/>
      <c r="F32" s="235">
        <f>F31/F30</f>
        <v>30314.9863760218</v>
      </c>
    </row>
  </sheetData>
  <mergeCells count="4">
    <mergeCell ref="C20:F20"/>
    <mergeCell ref="C30:E30"/>
    <mergeCell ref="C31:E31"/>
    <mergeCell ref="C32:E3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84"/>
  <sheetViews>
    <sheetView rightToLeft="1" zoomScale="85" zoomScaleNormal="85" workbookViewId="0">
      <selection activeCell="D19" sqref="D19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42" thickBot="1" x14ac:dyDescent="0.3">
      <c r="A2" s="120" t="s">
        <v>35</v>
      </c>
      <c r="B2" s="192" t="s">
        <v>158</v>
      </c>
      <c r="C2" s="120" t="s">
        <v>159</v>
      </c>
      <c r="D2" s="92" t="s">
        <v>197</v>
      </c>
      <c r="E2" s="216" t="s">
        <v>200</v>
      </c>
      <c r="F2" s="216" t="s">
        <v>201</v>
      </c>
      <c r="G2" s="97" t="s">
        <v>202</v>
      </c>
      <c r="H2" s="216" t="s">
        <v>203</v>
      </c>
      <c r="I2" s="216" t="s">
        <v>204</v>
      </c>
      <c r="J2" s="216" t="s">
        <v>205</v>
      </c>
      <c r="K2" s="216" t="s">
        <v>206</v>
      </c>
      <c r="L2" s="216" t="s">
        <v>207</v>
      </c>
      <c r="M2" s="216" t="s">
        <v>208</v>
      </c>
      <c r="N2" s="47"/>
      <c r="O2" s="47"/>
      <c r="P2" s="47"/>
      <c r="Q2" s="117"/>
      <c r="R2" s="117"/>
      <c r="S2" s="118"/>
    </row>
    <row r="3" spans="1:19" x14ac:dyDescent="0.25">
      <c r="A3" s="121" t="s">
        <v>146</v>
      </c>
      <c r="B3" s="193"/>
      <c r="C3" s="121"/>
      <c r="D3" s="93">
        <v>580</v>
      </c>
      <c r="E3" s="144">
        <v>15</v>
      </c>
      <c r="F3" s="93">
        <v>44</v>
      </c>
      <c r="G3" s="64">
        <v>45</v>
      </c>
      <c r="H3" s="64">
        <v>85</v>
      </c>
      <c r="I3" s="64">
        <v>15</v>
      </c>
      <c r="J3" s="49">
        <v>72</v>
      </c>
      <c r="K3" s="49">
        <v>152</v>
      </c>
      <c r="L3" s="49">
        <v>20</v>
      </c>
      <c r="M3" s="49">
        <v>15</v>
      </c>
      <c r="N3" s="48"/>
      <c r="O3" s="48"/>
      <c r="P3" s="48"/>
      <c r="Q3" s="49"/>
      <c r="R3" s="49"/>
      <c r="S3" s="50"/>
    </row>
    <row r="4" spans="1:19" x14ac:dyDescent="0.25">
      <c r="A4" s="121" t="s">
        <v>92</v>
      </c>
      <c r="B4" s="193"/>
      <c r="C4" s="121"/>
      <c r="D4" s="93"/>
      <c r="E4" s="144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1" t="s">
        <v>75</v>
      </c>
      <c r="B5" s="193"/>
      <c r="C5" s="121"/>
      <c r="D5" s="93">
        <v>429</v>
      </c>
      <c r="E5" s="144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1" t="s">
        <v>198</v>
      </c>
      <c r="B6" s="193"/>
      <c r="C6" s="121"/>
      <c r="D6" s="93">
        <v>153</v>
      </c>
      <c r="E6" s="144"/>
      <c r="F6" s="93"/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1" t="s">
        <v>199</v>
      </c>
      <c r="B7" s="193"/>
      <c r="C7" s="121"/>
      <c r="D7" s="93">
        <v>135</v>
      </c>
      <c r="E7" s="144"/>
      <c r="F7" s="93"/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1" t="s">
        <v>97</v>
      </c>
      <c r="B8" s="193"/>
      <c r="C8" s="121"/>
      <c r="D8" s="93">
        <v>150</v>
      </c>
      <c r="E8" s="144"/>
      <c r="F8" s="93"/>
      <c r="G8" s="64"/>
      <c r="H8" s="64"/>
      <c r="I8" s="64"/>
      <c r="J8" s="49"/>
      <c r="K8" s="49"/>
      <c r="L8" s="49"/>
      <c r="M8" s="49"/>
      <c r="N8" s="48"/>
      <c r="O8" s="48"/>
      <c r="P8" s="48"/>
      <c r="Q8" s="49"/>
      <c r="R8" s="49"/>
      <c r="S8" s="50"/>
    </row>
    <row r="9" spans="1:19" x14ac:dyDescent="0.25">
      <c r="A9" s="121" t="s">
        <v>143</v>
      </c>
      <c r="B9" s="193"/>
      <c r="C9" s="121"/>
      <c r="D9" s="93"/>
      <c r="E9" s="64"/>
      <c r="F9" s="93"/>
      <c r="G9" s="64"/>
      <c r="H9" s="64"/>
      <c r="I9" s="64"/>
      <c r="J9" s="49"/>
      <c r="K9" s="49"/>
      <c r="L9" s="49"/>
      <c r="M9" s="49"/>
      <c r="N9" s="48"/>
      <c r="O9" s="48"/>
      <c r="P9" s="48"/>
      <c r="Q9" s="49"/>
      <c r="R9" s="49"/>
      <c r="S9" s="50"/>
    </row>
    <row r="10" spans="1:19" x14ac:dyDescent="0.25">
      <c r="A10" s="121" t="s">
        <v>144</v>
      </c>
      <c r="B10" s="193"/>
      <c r="C10" s="121"/>
      <c r="D10" s="94"/>
      <c r="E10" s="54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1" t="s">
        <v>145</v>
      </c>
      <c r="B11" s="194"/>
      <c r="C11" s="209"/>
      <c r="D11" s="95"/>
      <c r="E11" s="56"/>
      <c r="F11" s="94"/>
      <c r="G11" s="54"/>
      <c r="H11" s="54"/>
      <c r="I11" s="54"/>
      <c r="J11" s="52"/>
      <c r="K11" s="52"/>
      <c r="L11" s="52"/>
      <c r="M11" s="52"/>
      <c r="N11" s="51"/>
      <c r="O11" s="51"/>
      <c r="P11" s="51"/>
      <c r="Q11" s="52"/>
      <c r="R11" s="52"/>
      <c r="S11" s="53"/>
    </row>
    <row r="12" spans="1:19" x14ac:dyDescent="0.25">
      <c r="A12" s="122" t="s">
        <v>50</v>
      </c>
      <c r="B12" s="195"/>
      <c r="C12" s="123"/>
      <c r="D12" s="95"/>
      <c r="E12" s="56"/>
      <c r="F12" s="94"/>
      <c r="G12" s="54"/>
      <c r="H12" s="54"/>
      <c r="I12" s="54"/>
      <c r="J12" s="52"/>
      <c r="K12" s="52"/>
      <c r="L12" s="52"/>
      <c r="M12" s="52"/>
      <c r="N12" s="51"/>
      <c r="O12" s="51"/>
      <c r="P12" s="51"/>
      <c r="Q12" s="52"/>
      <c r="R12" s="52"/>
      <c r="S12" s="53"/>
    </row>
    <row r="13" spans="1:19" x14ac:dyDescent="0.25">
      <c r="A13" s="123" t="s">
        <v>89</v>
      </c>
      <c r="B13" s="195"/>
      <c r="C13" s="123"/>
      <c r="D13" s="95"/>
      <c r="E13" s="56"/>
      <c r="F13" s="95"/>
      <c r="G13" s="56"/>
      <c r="H13" s="56"/>
      <c r="I13" s="56"/>
      <c r="J13" s="57"/>
      <c r="K13" s="57"/>
      <c r="L13" s="57"/>
      <c r="M13" s="57"/>
      <c r="N13" s="55"/>
      <c r="O13" s="55"/>
      <c r="P13" s="55"/>
      <c r="Q13" s="57"/>
      <c r="R13" s="57"/>
      <c r="S13" s="58"/>
    </row>
    <row r="14" spans="1:19" ht="14.4" thickBot="1" x14ac:dyDescent="0.3">
      <c r="A14" s="124" t="s">
        <v>86</v>
      </c>
      <c r="B14" s="196"/>
      <c r="C14" s="124"/>
      <c r="D14" s="96"/>
      <c r="E14" s="90"/>
      <c r="F14" s="96"/>
      <c r="G14" s="90"/>
      <c r="H14" s="90"/>
      <c r="I14" s="90"/>
      <c r="J14" s="60"/>
      <c r="K14" s="60"/>
      <c r="L14" s="60"/>
      <c r="M14" s="60"/>
      <c r="N14" s="59"/>
      <c r="O14" s="59"/>
      <c r="P14" s="59"/>
      <c r="Q14" s="60"/>
      <c r="R14" s="60"/>
      <c r="S14" s="61"/>
    </row>
    <row r="15" spans="1:19" ht="15" thickTop="1" thickBot="1" x14ac:dyDescent="0.3">
      <c r="A15" s="200" t="s">
        <v>36</v>
      </c>
      <c r="B15" s="211"/>
      <c r="C15" s="210"/>
      <c r="D15" s="207">
        <f>SUM(D4:D14)</f>
        <v>867</v>
      </c>
      <c r="E15" s="201">
        <f>SUM(E3:E14)</f>
        <v>15</v>
      </c>
      <c r="F15" s="201">
        <f>SUM(F3:F14)</f>
        <v>44</v>
      </c>
      <c r="G15" s="201">
        <f>SUM(G3:G14)</f>
        <v>45</v>
      </c>
      <c r="H15" s="201">
        <f>SUM(H3:H14)</f>
        <v>85</v>
      </c>
      <c r="I15" s="202">
        <f t="shared" ref="I15:S15" si="0">SUM(I3:I14)</f>
        <v>15</v>
      </c>
      <c r="J15" s="202">
        <f t="shared" si="0"/>
        <v>72</v>
      </c>
      <c r="K15" s="202">
        <f t="shared" si="0"/>
        <v>152</v>
      </c>
      <c r="L15" s="202">
        <f t="shared" si="0"/>
        <v>20</v>
      </c>
      <c r="M15" s="202">
        <f t="shared" si="0"/>
        <v>15</v>
      </c>
      <c r="N15" s="203">
        <f t="shared" si="0"/>
        <v>0</v>
      </c>
      <c r="O15" s="203">
        <f t="shared" si="0"/>
        <v>0</v>
      </c>
      <c r="P15" s="203">
        <f t="shared" si="0"/>
        <v>0</v>
      </c>
      <c r="Q15" s="202">
        <f t="shared" si="0"/>
        <v>0</v>
      </c>
      <c r="R15" s="202">
        <f t="shared" si="0"/>
        <v>0</v>
      </c>
      <c r="S15" s="204">
        <f t="shared" si="0"/>
        <v>0</v>
      </c>
    </row>
    <row r="16" spans="1:19" ht="28.2" thickBot="1" x14ac:dyDescent="0.3">
      <c r="A16" s="126" t="s">
        <v>37</v>
      </c>
      <c r="B16" s="192" t="s">
        <v>158</v>
      </c>
      <c r="C16" s="120" t="s">
        <v>159</v>
      </c>
      <c r="D16" s="206"/>
      <c r="E16" s="205"/>
      <c r="F16" s="206"/>
      <c r="G16" s="62"/>
      <c r="H16" s="62"/>
      <c r="I16" s="62"/>
      <c r="J16" s="62"/>
      <c r="K16" s="62"/>
      <c r="L16" s="62"/>
      <c r="M16" s="140"/>
      <c r="N16" s="62"/>
      <c r="O16" s="62"/>
      <c r="P16" s="62"/>
      <c r="Q16" s="140"/>
      <c r="R16" s="140"/>
      <c r="S16" s="63"/>
    </row>
    <row r="17" spans="1:19" x14ac:dyDescent="0.25">
      <c r="A17" s="122" t="s">
        <v>211</v>
      </c>
      <c r="B17" s="197" t="s">
        <v>160</v>
      </c>
      <c r="C17" s="122" t="s">
        <v>160</v>
      </c>
      <c r="D17" s="52"/>
      <c r="E17" s="145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2" t="s">
        <v>219</v>
      </c>
      <c r="B18" s="197"/>
      <c r="C18" s="122"/>
      <c r="D18" s="52">
        <v>135</v>
      </c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2" t="s">
        <v>220</v>
      </c>
      <c r="B19" s="197"/>
      <c r="C19" s="122"/>
      <c r="D19" s="52">
        <v>420</v>
      </c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2" t="s">
        <v>221</v>
      </c>
      <c r="B20" s="197"/>
      <c r="C20" s="122"/>
      <c r="D20" s="52">
        <v>103</v>
      </c>
      <c r="E20" s="51"/>
      <c r="F20" s="52"/>
      <c r="G20" s="64"/>
      <c r="H20" s="64"/>
      <c r="I20" s="48"/>
      <c r="J20" s="64"/>
      <c r="K20" s="48"/>
      <c r="L20" s="48"/>
      <c r="M20" s="48"/>
      <c r="N20" s="48"/>
      <c r="O20" s="48"/>
      <c r="P20" s="48"/>
      <c r="Q20" s="49"/>
      <c r="R20" s="49"/>
      <c r="S20" s="50"/>
    </row>
    <row r="21" spans="1:19" x14ac:dyDescent="0.25">
      <c r="A21" s="122" t="s">
        <v>222</v>
      </c>
      <c r="B21" s="197"/>
      <c r="C21" s="122"/>
      <c r="D21" s="52">
        <v>37</v>
      </c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2"/>
      <c r="B22" s="197"/>
      <c r="C22" s="122"/>
      <c r="D22" s="49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x14ac:dyDescent="0.25">
      <c r="A23" s="122"/>
      <c r="B23" s="197"/>
      <c r="C23" s="122"/>
      <c r="D23" s="52"/>
      <c r="E23" s="51"/>
      <c r="F23" s="52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2"/>
      <c r="R23" s="52"/>
      <c r="S23" s="53"/>
    </row>
    <row r="24" spans="1:19" ht="14.4" thickBot="1" x14ac:dyDescent="0.3">
      <c r="A24" s="124"/>
      <c r="B24" s="196"/>
      <c r="C24" s="124"/>
      <c r="D24" s="60"/>
      <c r="E24" s="59"/>
      <c r="F24" s="60"/>
      <c r="G24" s="59"/>
      <c r="H24" s="59"/>
      <c r="I24" s="59"/>
      <c r="J24" s="51"/>
      <c r="K24" s="51"/>
      <c r="L24" s="51"/>
      <c r="M24" s="51"/>
      <c r="N24" s="51"/>
      <c r="O24" s="59"/>
      <c r="P24" s="59"/>
      <c r="Q24" s="60"/>
      <c r="R24" s="60"/>
      <c r="S24" s="61"/>
    </row>
    <row r="25" spans="1:19" ht="14.4" thickTop="1" x14ac:dyDescent="0.25">
      <c r="A25" s="127" t="s">
        <v>88</v>
      </c>
      <c r="B25" s="198"/>
      <c r="C25" s="127"/>
      <c r="D25" s="208">
        <f>SUM(D18:D24)</f>
        <v>695</v>
      </c>
      <c r="E25" s="119">
        <f>SUM(E19:E24)</f>
        <v>0</v>
      </c>
      <c r="F25" s="119">
        <f t="shared" ref="F25:S25" si="1">SUM(F17:F24)</f>
        <v>0</v>
      </c>
      <c r="G25" s="119">
        <f t="shared" si="1"/>
        <v>0</v>
      </c>
      <c r="H25" s="119">
        <f t="shared" si="1"/>
        <v>0</v>
      </c>
      <c r="I25" s="119">
        <f t="shared" si="1"/>
        <v>0</v>
      </c>
      <c r="J25" s="119">
        <f t="shared" si="1"/>
        <v>0</v>
      </c>
      <c r="K25" s="65">
        <f t="shared" si="1"/>
        <v>0</v>
      </c>
      <c r="L25" s="65">
        <f t="shared" si="1"/>
        <v>0</v>
      </c>
      <c r="M25" s="65">
        <f t="shared" si="1"/>
        <v>0</v>
      </c>
      <c r="N25" s="65">
        <f t="shared" si="1"/>
        <v>0</v>
      </c>
      <c r="O25" s="65">
        <f t="shared" si="1"/>
        <v>0</v>
      </c>
      <c r="P25" s="65">
        <f t="shared" si="1"/>
        <v>0</v>
      </c>
      <c r="Q25" s="141">
        <f t="shared" si="1"/>
        <v>0</v>
      </c>
      <c r="R25" s="141">
        <f t="shared" si="1"/>
        <v>0</v>
      </c>
      <c r="S25" s="139">
        <f t="shared" si="1"/>
        <v>0</v>
      </c>
    </row>
    <row r="26" spans="1:19" ht="14.4" thickBot="1" x14ac:dyDescent="0.3">
      <c r="A26" s="125" t="s">
        <v>38</v>
      </c>
      <c r="B26" s="199"/>
      <c r="C26" s="125"/>
      <c r="D26" s="142">
        <f t="shared" ref="D26:S26" si="2">D15-D25</f>
        <v>172</v>
      </c>
      <c r="E26" s="138">
        <f t="shared" si="2"/>
        <v>15</v>
      </c>
      <c r="F26" s="138">
        <f t="shared" si="2"/>
        <v>44</v>
      </c>
      <c r="G26" s="138">
        <f t="shared" si="2"/>
        <v>45</v>
      </c>
      <c r="H26" s="138">
        <f t="shared" si="2"/>
        <v>85</v>
      </c>
      <c r="I26" s="138">
        <f t="shared" si="2"/>
        <v>15</v>
      </c>
      <c r="J26" s="138">
        <f t="shared" si="2"/>
        <v>72</v>
      </c>
      <c r="K26" s="138">
        <f t="shared" si="2"/>
        <v>152</v>
      </c>
      <c r="L26" s="138">
        <f t="shared" si="2"/>
        <v>20</v>
      </c>
      <c r="M26" s="138">
        <f t="shared" si="2"/>
        <v>15</v>
      </c>
      <c r="N26" s="138">
        <f t="shared" si="2"/>
        <v>0</v>
      </c>
      <c r="O26" s="138">
        <f t="shared" si="2"/>
        <v>0</v>
      </c>
      <c r="P26" s="138">
        <f t="shared" si="2"/>
        <v>0</v>
      </c>
      <c r="Q26" s="143">
        <f t="shared" si="2"/>
        <v>0</v>
      </c>
      <c r="R26" s="142">
        <f t="shared" si="2"/>
        <v>0</v>
      </c>
      <c r="S26" s="146">
        <f t="shared" si="2"/>
        <v>0</v>
      </c>
    </row>
    <row r="27" spans="1:19" x14ac:dyDescent="0.25">
      <c r="D27" s="135"/>
      <c r="E27" s="73"/>
      <c r="F27" s="148"/>
      <c r="H27" s="73"/>
      <c r="I27" s="73"/>
      <c r="J27" s="73"/>
      <c r="K27" s="98"/>
      <c r="L27" s="148"/>
      <c r="M27" s="73"/>
    </row>
    <row r="28" spans="1:19" x14ac:dyDescent="0.25">
      <c r="A28" t="s">
        <v>87</v>
      </c>
      <c r="D28" s="136">
        <f>D10+D9</f>
        <v>0</v>
      </c>
      <c r="F28" s="73"/>
    </row>
    <row r="29" spans="1:19" x14ac:dyDescent="0.25">
      <c r="E29" s="91">
        <f>E3*9300*5%*7</f>
        <v>48825</v>
      </c>
      <c r="F29" s="66"/>
      <c r="G29" s="91"/>
      <c r="H29" s="91"/>
      <c r="K29" s="91"/>
    </row>
    <row r="30" spans="1:19" x14ac:dyDescent="0.25">
      <c r="E30" s="38">
        <f>375-E25-F25-I25</f>
        <v>375</v>
      </c>
      <c r="F30" s="66"/>
      <c r="G30" s="91"/>
      <c r="H30" s="91"/>
    </row>
    <row r="31" spans="1:19" x14ac:dyDescent="0.25">
      <c r="N31" s="91"/>
      <c r="O31" s="91"/>
    </row>
    <row r="32" spans="1:19" x14ac:dyDescent="0.25">
      <c r="A32" s="67" t="s">
        <v>39</v>
      </c>
      <c r="B32" s="67"/>
      <c r="C32" s="67"/>
      <c r="D32" s="68"/>
      <c r="L32" s="91"/>
      <c r="N32" s="17"/>
    </row>
    <row r="33" spans="1:12" x14ac:dyDescent="0.25">
      <c r="A33" t="s">
        <v>14</v>
      </c>
      <c r="E33" s="69">
        <f>-D15</f>
        <v>-867</v>
      </c>
      <c r="G33" s="72"/>
      <c r="H33" s="72"/>
      <c r="L33" s="91"/>
    </row>
    <row r="34" spans="1:12" x14ac:dyDescent="0.25">
      <c r="A34" t="s">
        <v>15</v>
      </c>
      <c r="E34" s="17">
        <f>-E15</f>
        <v>-15</v>
      </c>
      <c r="G34" s="72"/>
    </row>
    <row r="35" spans="1:12" x14ac:dyDescent="0.25">
      <c r="A35" t="s">
        <v>18</v>
      </c>
      <c r="E35" s="17">
        <f>I25</f>
        <v>0</v>
      </c>
    </row>
    <row r="36" spans="1:12" x14ac:dyDescent="0.25">
      <c r="A36" s="40" t="s">
        <v>8</v>
      </c>
      <c r="B36" s="40"/>
      <c r="C36" s="40"/>
      <c r="D36" s="40"/>
      <c r="E36" s="23">
        <f>SUM(E32:E35)</f>
        <v>-882</v>
      </c>
      <c r="J36" s="72"/>
    </row>
    <row r="37" spans="1:12" x14ac:dyDescent="0.25">
      <c r="A37" t="s">
        <v>40</v>
      </c>
      <c r="E37" s="38">
        <v>375</v>
      </c>
      <c r="H37" s="91"/>
    </row>
    <row r="38" spans="1:12" x14ac:dyDescent="0.25">
      <c r="A38" s="40" t="s">
        <v>41</v>
      </c>
      <c r="B38" s="40"/>
      <c r="C38" s="40"/>
      <c r="D38" s="40"/>
      <c r="E38" s="23">
        <f>SUM(E36:E37)</f>
        <v>-507</v>
      </c>
    </row>
    <row r="39" spans="1:12" x14ac:dyDescent="0.25">
      <c r="A39" t="s">
        <v>42</v>
      </c>
      <c r="E39" s="17">
        <f>-E25-F25-I25</f>
        <v>0</v>
      </c>
    </row>
    <row r="40" spans="1:12" x14ac:dyDescent="0.25">
      <c r="A40" s="40" t="s">
        <v>43</v>
      </c>
      <c r="B40" s="40"/>
      <c r="C40" s="40"/>
      <c r="D40" s="40"/>
      <c r="E40" s="70">
        <f>SUM(E38:E39)</f>
        <v>-507</v>
      </c>
    </row>
    <row r="44" spans="1:12" x14ac:dyDescent="0.25">
      <c r="A44" s="130" t="s">
        <v>76</v>
      </c>
      <c r="B44" s="130"/>
      <c r="C44" s="130"/>
    </row>
    <row r="45" spans="1:12" ht="15.6" x14ac:dyDescent="0.4">
      <c r="A45" s="39" t="s">
        <v>77</v>
      </c>
      <c r="B45" s="39"/>
      <c r="C45" s="39"/>
      <c r="D45" s="39" t="s">
        <v>79</v>
      </c>
      <c r="E45" s="131" t="s">
        <v>80</v>
      </c>
      <c r="F45" s="39" t="s">
        <v>83</v>
      </c>
      <c r="G45" s="39"/>
      <c r="H45" s="17"/>
      <c r="I45" s="17"/>
    </row>
    <row r="46" spans="1:12" x14ac:dyDescent="0.25">
      <c r="A46" t="s">
        <v>44</v>
      </c>
      <c r="F46" s="91">
        <f>E46-D46</f>
        <v>0</v>
      </c>
    </row>
    <row r="47" spans="1:12" x14ac:dyDescent="0.25">
      <c r="A47" t="s">
        <v>78</v>
      </c>
      <c r="F47" s="91">
        <f>E47-D47</f>
        <v>0</v>
      </c>
    </row>
    <row r="48" spans="1:12" x14ac:dyDescent="0.25">
      <c r="A48" s="108" t="s">
        <v>81</v>
      </c>
      <c r="B48" s="108"/>
      <c r="C48" s="108"/>
      <c r="D48" s="108">
        <f>SUM(D46:D47)</f>
        <v>0</v>
      </c>
      <c r="E48" s="70">
        <f>SUM(E46:E47)</f>
        <v>0</v>
      </c>
      <c r="F48" s="132">
        <f>E48-D48</f>
        <v>0</v>
      </c>
    </row>
    <row r="50" spans="1:10" ht="15.6" x14ac:dyDescent="0.4">
      <c r="A50" s="39" t="s">
        <v>82</v>
      </c>
      <c r="B50" s="39"/>
      <c r="C50" s="39"/>
      <c r="D50" s="39" t="s">
        <v>79</v>
      </c>
      <c r="E50" s="131" t="s">
        <v>80</v>
      </c>
      <c r="F50" s="39" t="s">
        <v>83</v>
      </c>
    </row>
    <row r="51" spans="1:10" x14ac:dyDescent="0.25">
      <c r="A51" t="s">
        <v>44</v>
      </c>
      <c r="F51" s="91">
        <f>E51-D51</f>
        <v>0</v>
      </c>
      <c r="G51" s="39"/>
      <c r="J51" s="17"/>
    </row>
    <row r="52" spans="1:10" x14ac:dyDescent="0.25">
      <c r="A52" t="s">
        <v>78</v>
      </c>
      <c r="F52" s="91">
        <f>E52-D52</f>
        <v>0</v>
      </c>
    </row>
    <row r="53" spans="1:10" x14ac:dyDescent="0.25">
      <c r="A53" s="108" t="s">
        <v>81</v>
      </c>
      <c r="B53" s="108"/>
      <c r="C53" s="108"/>
      <c r="D53" s="108">
        <f>SUM(D51:D52)</f>
        <v>0</v>
      </c>
      <c r="E53" s="70">
        <f>SUM(E51:E52)</f>
        <v>0</v>
      </c>
      <c r="F53" s="132">
        <f>E53-D53</f>
        <v>0</v>
      </c>
      <c r="J53" s="147"/>
    </row>
    <row r="55" spans="1:10" x14ac:dyDescent="0.25">
      <c r="A55" s="133" t="s">
        <v>8</v>
      </c>
      <c r="B55" s="133"/>
      <c r="C55" s="133"/>
      <c r="D55" s="133">
        <f>D53+D48</f>
        <v>0</v>
      </c>
      <c r="E55" s="133">
        <f>E53+E48</f>
        <v>0</v>
      </c>
      <c r="F55" s="134">
        <f>F53+F48</f>
        <v>0</v>
      </c>
    </row>
    <row r="59" spans="1:10" x14ac:dyDescent="0.25">
      <c r="G59" s="39"/>
      <c r="J59" s="17"/>
    </row>
    <row r="61" spans="1:10" x14ac:dyDescent="0.25">
      <c r="J61" s="147"/>
    </row>
    <row r="69" spans="4:11" x14ac:dyDescent="0.25">
      <c r="K69">
        <f>G74+G78+G80+G83</f>
        <v>695</v>
      </c>
    </row>
    <row r="72" spans="4:11" x14ac:dyDescent="0.25">
      <c r="D72" s="236" t="s">
        <v>212</v>
      </c>
      <c r="E72" s="236" t="s">
        <v>213</v>
      </c>
      <c r="F72" s="236" t="s">
        <v>216</v>
      </c>
      <c r="G72" s="236" t="s">
        <v>8</v>
      </c>
      <c r="H72" s="236" t="s">
        <v>223</v>
      </c>
      <c r="I72" s="237" t="s">
        <v>224</v>
      </c>
    </row>
    <row r="73" spans="4:11" x14ac:dyDescent="0.25">
      <c r="D73" s="236" t="s">
        <v>199</v>
      </c>
      <c r="E73" s="238">
        <v>135</v>
      </c>
      <c r="F73" s="236"/>
      <c r="G73" s="236">
        <f>SUM(E73:F73)</f>
        <v>135</v>
      </c>
      <c r="H73" s="236"/>
      <c r="I73" s="237"/>
    </row>
    <row r="74" spans="4:11" x14ac:dyDescent="0.25">
      <c r="D74" s="237" t="s">
        <v>219</v>
      </c>
      <c r="E74" s="239"/>
      <c r="F74" s="237"/>
      <c r="G74" s="237">
        <f>G73</f>
        <v>135</v>
      </c>
      <c r="H74" s="237">
        <v>135</v>
      </c>
      <c r="I74" s="237">
        <f>G74-H74</f>
        <v>0</v>
      </c>
    </row>
    <row r="75" spans="4:11" x14ac:dyDescent="0.25">
      <c r="D75" s="236" t="s">
        <v>214</v>
      </c>
      <c r="E75" s="240">
        <v>179</v>
      </c>
      <c r="F75" s="240">
        <v>131</v>
      </c>
      <c r="G75" s="240">
        <f>SUM(E75:F75)</f>
        <v>310</v>
      </c>
      <c r="H75" s="236"/>
      <c r="I75" s="237"/>
    </row>
    <row r="76" spans="4:11" x14ac:dyDescent="0.25">
      <c r="D76" s="236" t="s">
        <v>217</v>
      </c>
      <c r="E76" s="241">
        <v>0</v>
      </c>
      <c r="F76" s="240">
        <v>95</v>
      </c>
      <c r="G76" s="240">
        <f>SUM(E76:F76)</f>
        <v>95</v>
      </c>
      <c r="H76" s="236"/>
      <c r="I76" s="237"/>
    </row>
    <row r="77" spans="4:11" x14ac:dyDescent="0.25">
      <c r="D77" s="236" t="s">
        <v>218</v>
      </c>
      <c r="E77" s="241"/>
      <c r="F77" s="240">
        <v>15</v>
      </c>
      <c r="G77" s="240">
        <f>SUM(E77:F77)</f>
        <v>15</v>
      </c>
      <c r="H77" s="236"/>
      <c r="I77" s="237"/>
    </row>
    <row r="78" spans="4:11" x14ac:dyDescent="0.25">
      <c r="D78" s="237" t="s">
        <v>220</v>
      </c>
      <c r="E78" s="239"/>
      <c r="F78" s="237"/>
      <c r="G78" s="237">
        <f>SUM(G75:G77)</f>
        <v>420</v>
      </c>
      <c r="H78" s="237">
        <v>429</v>
      </c>
      <c r="I78" s="237">
        <f>G78-H78</f>
        <v>-9</v>
      </c>
    </row>
    <row r="79" spans="4:11" x14ac:dyDescent="0.25">
      <c r="D79" s="236" t="s">
        <v>198</v>
      </c>
      <c r="E79" s="238"/>
      <c r="F79" s="236">
        <v>103</v>
      </c>
      <c r="G79" s="236">
        <f>SUM(E79:F79)</f>
        <v>103</v>
      </c>
      <c r="H79" s="236"/>
      <c r="I79" s="237"/>
    </row>
    <row r="80" spans="4:11" x14ac:dyDescent="0.25">
      <c r="D80" s="237" t="s">
        <v>221</v>
      </c>
      <c r="E80" s="239"/>
      <c r="F80" s="237"/>
      <c r="G80" s="237">
        <f>SUM(G79)</f>
        <v>103</v>
      </c>
      <c r="H80" s="237">
        <v>153</v>
      </c>
      <c r="I80" s="237">
        <f>G80-H80</f>
        <v>-50</v>
      </c>
    </row>
    <row r="81" spans="4:9" x14ac:dyDescent="0.25">
      <c r="D81" s="236"/>
      <c r="E81" s="238"/>
      <c r="F81" s="236"/>
      <c r="G81" s="236"/>
      <c r="H81" s="236"/>
      <c r="I81" s="237"/>
    </row>
    <row r="82" spans="4:9" x14ac:dyDescent="0.25">
      <c r="D82" s="236" t="s">
        <v>215</v>
      </c>
      <c r="E82" s="238">
        <v>37</v>
      </c>
      <c r="F82" s="236"/>
      <c r="G82" s="236">
        <f>SUM(E82:F82)</f>
        <v>37</v>
      </c>
      <c r="H82" s="236"/>
      <c r="I82" s="237"/>
    </row>
    <row r="83" spans="4:9" x14ac:dyDescent="0.25">
      <c r="D83" s="237" t="s">
        <v>222</v>
      </c>
      <c r="E83" s="239"/>
      <c r="F83" s="237"/>
      <c r="G83" s="237">
        <f>SUM(G82)</f>
        <v>37</v>
      </c>
      <c r="H83" s="237">
        <v>150</v>
      </c>
      <c r="I83" s="237">
        <f>G83-H83</f>
        <v>-113</v>
      </c>
    </row>
    <row r="84" spans="4:9" x14ac:dyDescent="0.25">
      <c r="I84">
        <f>SUM(I74:I83)</f>
        <v>-172</v>
      </c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B17:C24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9"/>
  <sheetViews>
    <sheetView rightToLeft="1" zoomScale="175" zoomScaleNormal="175" workbookViewId="0">
      <selection activeCell="E14" sqref="E14"/>
    </sheetView>
  </sheetViews>
  <sheetFormatPr defaultRowHeight="13.8" x14ac:dyDescent="0.25"/>
  <cols>
    <col min="1" max="1" width="13.296875" customWidth="1"/>
    <col min="2" max="2" width="17.8984375" customWidth="1"/>
    <col min="3" max="3" width="9.8984375" bestFit="1" customWidth="1"/>
    <col min="4" max="4" width="14.5" customWidth="1"/>
    <col min="6" max="6" width="12.3984375" bestFit="1" customWidth="1"/>
  </cols>
  <sheetData>
    <row r="2" spans="1:6" x14ac:dyDescent="0.25">
      <c r="A2" s="39" t="s">
        <v>162</v>
      </c>
      <c r="B2" s="39" t="s">
        <v>163</v>
      </c>
      <c r="C2" s="39" t="s">
        <v>131</v>
      </c>
      <c r="D2" s="39" t="s">
        <v>164</v>
      </c>
      <c r="F2" s="39" t="s">
        <v>196</v>
      </c>
    </row>
    <row r="3" spans="1:6" x14ac:dyDescent="0.25">
      <c r="C3" s="188"/>
    </row>
    <row r="4" spans="1:6" x14ac:dyDescent="0.25">
      <c r="C4" s="188"/>
    </row>
    <row r="5" spans="1:6" x14ac:dyDescent="0.25">
      <c r="A5" t="s">
        <v>165</v>
      </c>
      <c r="B5" t="s">
        <v>192</v>
      </c>
      <c r="C5" s="214">
        <v>25394</v>
      </c>
      <c r="D5" s="212" t="s">
        <v>193</v>
      </c>
      <c r="E5" t="s">
        <v>166</v>
      </c>
    </row>
    <row r="6" spans="1:6" x14ac:dyDescent="0.25">
      <c r="A6" t="s">
        <v>194</v>
      </c>
      <c r="B6" s="217" t="s">
        <v>209</v>
      </c>
      <c r="C6" s="215">
        <v>32226</v>
      </c>
      <c r="D6" s="212" t="s">
        <v>210</v>
      </c>
    </row>
    <row r="7" spans="1:6" x14ac:dyDescent="0.25">
      <c r="A7" t="s">
        <v>300</v>
      </c>
      <c r="B7" s="217" t="s">
        <v>299</v>
      </c>
      <c r="C7" s="215">
        <v>32524</v>
      </c>
      <c r="D7" s="212" t="s">
        <v>301</v>
      </c>
    </row>
    <row r="8" spans="1:6" x14ac:dyDescent="0.25">
      <c r="A8" t="s">
        <v>300</v>
      </c>
      <c r="B8" s="217" t="s">
        <v>302</v>
      </c>
      <c r="C8" s="215">
        <v>33528</v>
      </c>
      <c r="D8" s="212">
        <v>2.5</v>
      </c>
      <c r="E8" t="s">
        <v>166</v>
      </c>
    </row>
    <row r="9" spans="1:6" x14ac:dyDescent="0.25">
      <c r="A9" t="s">
        <v>194</v>
      </c>
      <c r="B9" t="s">
        <v>195</v>
      </c>
      <c r="C9" s="215">
        <v>40206</v>
      </c>
      <c r="D9">
        <v>2.5</v>
      </c>
      <c r="E9" t="s">
        <v>166</v>
      </c>
    </row>
  </sheetData>
  <autoFilter ref="A2:F9" xr:uid="{3056B9E0-6524-4EBC-9BE5-F818961ABBE2}">
    <sortState xmlns:xlrd2="http://schemas.microsoft.com/office/spreadsheetml/2017/richdata2" ref="A3:F5">
      <sortCondition descending="1" ref="C2:C5"/>
    </sortState>
  </autoFilter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28" t="s">
        <v>115</v>
      </c>
      <c r="C2" s="329"/>
      <c r="D2" s="329"/>
      <c r="E2" s="329"/>
      <c r="F2" s="330"/>
    </row>
    <row r="3" spans="2:10" ht="14.4" thickBot="1" x14ac:dyDescent="0.3">
      <c r="B3" s="152" t="s">
        <v>49</v>
      </c>
      <c r="C3" s="331" t="s">
        <v>44</v>
      </c>
      <c r="D3" s="332"/>
      <c r="E3" s="331" t="s">
        <v>97</v>
      </c>
      <c r="F3" s="333"/>
    </row>
    <row r="4" spans="2:10" x14ac:dyDescent="0.25">
      <c r="B4" s="167" t="s">
        <v>98</v>
      </c>
      <c r="C4" s="345">
        <v>0</v>
      </c>
      <c r="D4" s="346"/>
      <c r="E4" s="345">
        <v>0</v>
      </c>
      <c r="F4" s="347"/>
    </row>
    <row r="5" spans="2:10" x14ac:dyDescent="0.25">
      <c r="B5" s="172" t="s">
        <v>99</v>
      </c>
      <c r="C5" s="345">
        <v>140000</v>
      </c>
      <c r="D5" s="346"/>
      <c r="E5" s="345">
        <f>6000*2</f>
        <v>12000</v>
      </c>
      <c r="F5" s="347"/>
    </row>
    <row r="6" spans="2:10" ht="27.6" x14ac:dyDescent="0.25">
      <c r="B6" s="172" t="s">
        <v>111</v>
      </c>
      <c r="C6" s="345">
        <f>46500*7</f>
        <v>325500</v>
      </c>
      <c r="D6" s="346"/>
      <c r="E6" s="345">
        <v>0</v>
      </c>
      <c r="F6" s="347"/>
    </row>
    <row r="7" spans="2:10" x14ac:dyDescent="0.25">
      <c r="B7" s="172" t="s">
        <v>100</v>
      </c>
      <c r="C7" s="345">
        <f>13000*7</f>
        <v>91000</v>
      </c>
      <c r="D7" s="346"/>
      <c r="E7" s="345">
        <f>4000*7</f>
        <v>28000</v>
      </c>
      <c r="F7" s="347"/>
    </row>
    <row r="8" spans="2:10" ht="14.4" thickBot="1" x14ac:dyDescent="0.3">
      <c r="B8" s="158" t="s">
        <v>101</v>
      </c>
      <c r="C8" s="345">
        <f>65000*7</f>
        <v>455000</v>
      </c>
      <c r="D8" s="346"/>
      <c r="E8" s="345">
        <v>50000</v>
      </c>
      <c r="F8" s="347"/>
      <c r="J8" t="s">
        <v>160</v>
      </c>
    </row>
    <row r="9" spans="2:10" ht="14.4" thickBot="1" x14ac:dyDescent="0.3">
      <c r="B9" s="328" t="s">
        <v>114</v>
      </c>
      <c r="C9" s="329"/>
      <c r="D9" s="329"/>
      <c r="E9" s="329"/>
      <c r="F9" s="330"/>
      <c r="J9" t="s">
        <v>161</v>
      </c>
    </row>
    <row r="10" spans="2:10" ht="16.2" thickBot="1" x14ac:dyDescent="0.3">
      <c r="B10" s="153" t="s">
        <v>109</v>
      </c>
      <c r="C10" s="154" t="s">
        <v>107</v>
      </c>
      <c r="D10" s="155" t="s">
        <v>104</v>
      </c>
      <c r="E10" s="156" t="s">
        <v>105</v>
      </c>
      <c r="F10" s="157" t="s">
        <v>106</v>
      </c>
    </row>
    <row r="11" spans="2:10" x14ac:dyDescent="0.25">
      <c r="B11" s="167" t="s">
        <v>98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99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102</v>
      </c>
      <c r="C13" s="337" t="s">
        <v>108</v>
      </c>
      <c r="D13" s="337"/>
      <c r="E13" s="337"/>
      <c r="F13" s="338"/>
    </row>
    <row r="14" spans="2:10" x14ac:dyDescent="0.25">
      <c r="B14" s="182" t="s">
        <v>100</v>
      </c>
      <c r="C14" s="337" t="s">
        <v>110</v>
      </c>
      <c r="D14" s="337"/>
      <c r="E14" s="337"/>
      <c r="F14" s="338"/>
    </row>
    <row r="15" spans="2:10" ht="14.4" thickBot="1" x14ac:dyDescent="0.3">
      <c r="B15" s="158" t="s">
        <v>101</v>
      </c>
      <c r="C15" s="339" t="s">
        <v>112</v>
      </c>
      <c r="D15" s="340"/>
      <c r="E15" s="340"/>
      <c r="F15" s="341"/>
    </row>
    <row r="16" spans="2:10" ht="14.4" thickBot="1" x14ac:dyDescent="0.3"/>
    <row r="17" spans="2:6" ht="14.4" thickBot="1" x14ac:dyDescent="0.3">
      <c r="B17" s="328" t="s">
        <v>96</v>
      </c>
      <c r="C17" s="329"/>
      <c r="D17" s="329"/>
      <c r="E17" s="329"/>
      <c r="F17" s="330"/>
    </row>
    <row r="18" spans="2:6" ht="14.4" thickBot="1" x14ac:dyDescent="0.3">
      <c r="B18" s="152" t="s">
        <v>103</v>
      </c>
      <c r="C18" s="331" t="s">
        <v>44</v>
      </c>
      <c r="D18" s="332"/>
      <c r="E18" s="331" t="s">
        <v>97</v>
      </c>
      <c r="F18" s="333"/>
    </row>
    <row r="19" spans="2:6" x14ac:dyDescent="0.25">
      <c r="B19" s="167" t="s">
        <v>98</v>
      </c>
      <c r="C19" s="342">
        <v>0</v>
      </c>
      <c r="D19" s="343"/>
      <c r="E19" s="342">
        <v>0</v>
      </c>
      <c r="F19" s="344"/>
    </row>
    <row r="20" spans="2:6" x14ac:dyDescent="0.25">
      <c r="B20" s="172" t="s">
        <v>99</v>
      </c>
      <c r="C20" s="359">
        <v>70000</v>
      </c>
      <c r="D20" s="360"/>
      <c r="E20" s="361">
        <f>6000*7</f>
        <v>42000</v>
      </c>
      <c r="F20" s="362"/>
    </row>
    <row r="21" spans="2:6" x14ac:dyDescent="0.25">
      <c r="B21" s="176" t="s">
        <v>102</v>
      </c>
      <c r="C21" s="359">
        <f>46500*7</f>
        <v>325500</v>
      </c>
      <c r="D21" s="360"/>
      <c r="E21" s="359">
        <v>0</v>
      </c>
      <c r="F21" s="363"/>
    </row>
    <row r="22" spans="2:6" x14ac:dyDescent="0.25">
      <c r="B22" s="172" t="s">
        <v>100</v>
      </c>
      <c r="C22" s="359">
        <f>13000*7</f>
        <v>91000</v>
      </c>
      <c r="D22" s="360"/>
      <c r="E22" s="359">
        <f>4000*7</f>
        <v>28000</v>
      </c>
      <c r="F22" s="363"/>
    </row>
    <row r="23" spans="2:6" ht="14.4" thickBot="1" x14ac:dyDescent="0.3">
      <c r="B23" s="158" t="s">
        <v>101</v>
      </c>
      <c r="C23" s="334">
        <f>65000*7</f>
        <v>455000</v>
      </c>
      <c r="D23" s="335"/>
      <c r="E23" s="334">
        <f>7000*7</f>
        <v>49000</v>
      </c>
      <c r="F23" s="336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109</v>
      </c>
      <c r="C25" s="154" t="s">
        <v>107</v>
      </c>
      <c r="D25" s="155" t="s">
        <v>104</v>
      </c>
      <c r="E25" s="156" t="s">
        <v>105</v>
      </c>
      <c r="F25" s="157" t="s">
        <v>106</v>
      </c>
    </row>
    <row r="26" spans="2:6" x14ac:dyDescent="0.25">
      <c r="B26" s="167" t="s">
        <v>98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99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102</v>
      </c>
      <c r="C28" s="357" t="s">
        <v>108</v>
      </c>
      <c r="D28" s="357"/>
      <c r="E28" s="357"/>
      <c r="F28" s="358"/>
    </row>
    <row r="29" spans="2:6" x14ac:dyDescent="0.25">
      <c r="B29" s="172" t="s">
        <v>100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101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328" t="s">
        <v>113</v>
      </c>
      <c r="C35" s="329"/>
      <c r="D35" s="329"/>
      <c r="E35" s="329"/>
      <c r="F35" s="330"/>
    </row>
    <row r="36" spans="2:6" ht="14.4" thickBot="1" x14ac:dyDescent="0.3">
      <c r="B36" s="152" t="s">
        <v>116</v>
      </c>
      <c r="C36" s="331" t="s">
        <v>44</v>
      </c>
      <c r="D36" s="332"/>
      <c r="E36" s="331" t="s">
        <v>97</v>
      </c>
      <c r="F36" s="333"/>
    </row>
    <row r="37" spans="2:6" x14ac:dyDescent="0.25">
      <c r="B37" s="167" t="s">
        <v>117</v>
      </c>
      <c r="C37" s="348" t="s">
        <v>120</v>
      </c>
      <c r="D37" s="349"/>
      <c r="E37" s="349"/>
      <c r="F37" s="350"/>
    </row>
    <row r="38" spans="2:6" x14ac:dyDescent="0.25">
      <c r="B38" s="172" t="s">
        <v>118</v>
      </c>
      <c r="C38" s="351" t="s">
        <v>119</v>
      </c>
      <c r="D38" s="352"/>
      <c r="E38" s="352"/>
      <c r="F38" s="353"/>
    </row>
    <row r="39" spans="2:6" x14ac:dyDescent="0.25">
      <c r="B39" s="172" t="s">
        <v>121</v>
      </c>
      <c r="C39" s="351" t="s">
        <v>122</v>
      </c>
      <c r="D39" s="352"/>
      <c r="E39" s="352"/>
      <c r="F39" s="353"/>
    </row>
    <row r="40" spans="2:6" ht="14.4" thickBot="1" x14ac:dyDescent="0.3">
      <c r="B40" s="158" t="s">
        <v>123</v>
      </c>
      <c r="C40" s="354" t="s">
        <v>124</v>
      </c>
      <c r="D40" s="355"/>
      <c r="E40" s="355"/>
      <c r="F40" s="356"/>
    </row>
  </sheetData>
  <mergeCells count="38"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  <mergeCell ref="B9:F9"/>
    <mergeCell ref="E3:F3"/>
    <mergeCell ref="E4:F4"/>
    <mergeCell ref="E5:F5"/>
    <mergeCell ref="E6:F6"/>
    <mergeCell ref="E7:F7"/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topLeftCell="A10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167</v>
      </c>
      <c r="B2" t="s">
        <v>168</v>
      </c>
    </row>
    <row r="3" spans="1:14" x14ac:dyDescent="0.25">
      <c r="B3" t="s">
        <v>44</v>
      </c>
    </row>
    <row r="7" spans="1:14" x14ac:dyDescent="0.25">
      <c r="N7" t="s">
        <v>169</v>
      </c>
    </row>
    <row r="8" spans="1:14" x14ac:dyDescent="0.25">
      <c r="A8" t="s">
        <v>170</v>
      </c>
      <c r="N8" t="s">
        <v>171</v>
      </c>
    </row>
    <row r="9" spans="1:14" x14ac:dyDescent="0.25">
      <c r="A9" t="s">
        <v>172</v>
      </c>
      <c r="D9" s="213" t="s">
        <v>173</v>
      </c>
      <c r="E9" s="213"/>
      <c r="N9" t="s">
        <v>174</v>
      </c>
    </row>
    <row r="10" spans="1:14" x14ac:dyDescent="0.25">
      <c r="N10" t="s">
        <v>175</v>
      </c>
    </row>
    <row r="15" spans="1:14" x14ac:dyDescent="0.25">
      <c r="A15" t="s">
        <v>176</v>
      </c>
      <c r="B15" t="s">
        <v>177</v>
      </c>
    </row>
    <row r="19" spans="1:12" x14ac:dyDescent="0.25">
      <c r="A19" s="39" t="s">
        <v>178</v>
      </c>
      <c r="B19" s="39" t="s">
        <v>169</v>
      </c>
      <c r="C19" s="39" t="s">
        <v>79</v>
      </c>
      <c r="D19" s="39" t="s">
        <v>179</v>
      </c>
      <c r="E19" s="39" t="s">
        <v>180</v>
      </c>
      <c r="F19" s="39" t="s">
        <v>181</v>
      </c>
      <c r="G19" s="39" t="s">
        <v>21</v>
      </c>
      <c r="H19" s="39" t="s">
        <v>182</v>
      </c>
      <c r="I19" s="39" t="s">
        <v>183</v>
      </c>
      <c r="J19" s="39" t="s">
        <v>184</v>
      </c>
      <c r="K19" s="39" t="s">
        <v>185</v>
      </c>
      <c r="L19" s="39" t="s">
        <v>186</v>
      </c>
    </row>
    <row r="20" spans="1:12" x14ac:dyDescent="0.25">
      <c r="A20" t="s">
        <v>187</v>
      </c>
      <c r="H20" s="149">
        <f>'תחשיב לפי שווי שומה (2)'!B7</f>
        <v>28000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188</v>
      </c>
      <c r="H21" s="150">
        <f>H20</f>
        <v>28000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189</v>
      </c>
      <c r="H22" s="150">
        <f>H21</f>
        <v>28000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190</v>
      </c>
      <c r="H23" s="150">
        <f>H22</f>
        <v>28000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191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Props1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תחשיב לפי שווי שומה (2)</vt:lpstr>
      <vt:lpstr>היטל השבחה בית שלישי</vt:lpstr>
      <vt:lpstr>מ"ר אקו' נחלה</vt:lpstr>
      <vt:lpstr>זיכוי דמי היתר ששולמו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2025-08-11T07:54:45Z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