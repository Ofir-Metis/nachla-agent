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לובל- גני טל/בדיקת התכנות/"/>
    </mc:Choice>
  </mc:AlternateContent>
  <xr:revisionPtr revIDLastSave="1235" documentId="8_{A038D68F-5F06-4995-81AA-5656FDA418CF}" xr6:coauthVersionLast="47" xr6:coauthVersionMax="47" xr10:uidLastSave="{C325D33A-0314-4279-8B39-6E4D55574302}"/>
  <bookViews>
    <workbookView xWindow="-108" yWindow="-108" windowWidth="23256" windowHeight="12456" xr2:uid="{A05DD401-26F7-4249-BA87-8825FF0852EB}"/>
  </bookViews>
  <sheets>
    <sheet name="תחשיב לפי שווי שומה (2)" sheetId="6" r:id="rId1"/>
    <sheet name="מ&quot;ר אקו' נחלה" sheetId="3" r:id="rId2"/>
    <sheet name="ניתוח איזור לעסקאות דמה" sheetId="5" r:id="rId3"/>
    <sheet name="חישוב גדלי בתים" sheetId="4" r:id="rId4"/>
    <sheet name="גיליון1" sheetId="7" r:id="rId5"/>
  </sheets>
  <definedNames>
    <definedName name="_xlnm.Print_Area" localSheetId="0">'תחשיב לפי שווי שומה (2)'!$D$59:$F$91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6" l="1"/>
  <c r="J8" i="6"/>
  <c r="J6" i="6"/>
  <c r="B11" i="6"/>
  <c r="J7" i="6"/>
  <c r="D15" i="3"/>
  <c r="B11" i="3"/>
  <c r="D7" i="3"/>
  <c r="B6" i="3"/>
  <c r="J12" i="5"/>
  <c r="D13" i="4"/>
  <c r="B24" i="4"/>
  <c r="H12" i="5"/>
  <c r="I12" i="5" s="1"/>
  <c r="L12" i="5"/>
  <c r="C28" i="5"/>
  <c r="C27" i="5"/>
  <c r="C32" i="5"/>
  <c r="E32" i="5" s="1"/>
  <c r="E31" i="5"/>
  <c r="E30" i="5"/>
  <c r="E29" i="5"/>
  <c r="C20" i="5"/>
  <c r="C24" i="5" s="1"/>
  <c r="E24" i="5" s="1"/>
  <c r="E25" i="5" s="1"/>
  <c r="L11" i="5" s="1"/>
  <c r="E23" i="5"/>
  <c r="E22" i="5"/>
  <c r="E21" i="5"/>
  <c r="J11" i="5"/>
  <c r="H11" i="5"/>
  <c r="I11" i="5" s="1"/>
  <c r="K11" i="5" s="1"/>
  <c r="M11" i="5" s="1"/>
  <c r="C18" i="4"/>
  <c r="C13" i="4"/>
  <c r="B12" i="6"/>
  <c r="K12" i="5" l="1"/>
  <c r="M12" i="5" s="1"/>
  <c r="E33" i="5"/>
  <c r="C31" i="6"/>
  <c r="D31" i="6"/>
  <c r="C24" i="4"/>
  <c r="B13" i="4"/>
  <c r="D24" i="4"/>
  <c r="E24" i="4"/>
  <c r="E25" i="4" s="1"/>
  <c r="F24" i="4"/>
  <c r="F25" i="4" s="1"/>
  <c r="G13" i="4"/>
  <c r="G24" i="4"/>
  <c r="J36" i="4"/>
  <c r="F28" i="4"/>
  <c r="F29" i="4"/>
  <c r="F43" i="4"/>
  <c r="F44" i="4" s="1"/>
  <c r="L30" i="4"/>
  <c r="M30" i="4" s="1"/>
  <c r="L31" i="4"/>
  <c r="C28" i="4"/>
  <c r="C6" i="7"/>
  <c r="I28" i="4"/>
  <c r="E5" i="7"/>
  <c r="E29" i="4"/>
  <c r="E28" i="4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G25" i="4" l="1"/>
  <c r="J49" i="6"/>
  <c r="J50" i="6"/>
  <c r="B25" i="4"/>
  <c r="D25" i="4"/>
  <c r="C25" i="4"/>
  <c r="J58" i="6" l="1"/>
  <c r="J56" i="6"/>
  <c r="J55" i="6"/>
  <c r="J59" i="6"/>
  <c r="F32" i="4"/>
  <c r="B27" i="4"/>
  <c r="D13" i="6" l="1"/>
  <c r="K30" i="6" l="1"/>
  <c r="I37" i="6"/>
  <c r="I32" i="6" l="1"/>
  <c r="I31" i="6"/>
  <c r="Q24" i="4" l="1"/>
  <c r="P24" i="4"/>
  <c r="O24" i="4"/>
  <c r="N24" i="4"/>
  <c r="M24" i="4"/>
  <c r="L24" i="4"/>
  <c r="K24" i="4"/>
  <c r="J24" i="4"/>
  <c r="I24" i="4"/>
  <c r="H24" i="4"/>
  <c r="H56" i="4"/>
  <c r="H59" i="4"/>
  <c r="H55" i="4"/>
  <c r="H51" i="4"/>
  <c r="H48" i="4"/>
  <c r="H47" i="4"/>
  <c r="G43" i="4"/>
  <c r="G44" i="4" s="1"/>
  <c r="H49" i="4" l="1"/>
  <c r="H50" i="4" s="1"/>
  <c r="H52" i="4" s="1"/>
  <c r="H57" i="4"/>
  <c r="H58" i="4" s="1"/>
  <c r="H60" i="4" s="1"/>
  <c r="D24" i="3"/>
  <c r="H8" i="3"/>
  <c r="G8" i="3"/>
  <c r="F8" i="3"/>
  <c r="D12" i="3"/>
  <c r="D9" i="3"/>
  <c r="D8" i="3"/>
  <c r="D6" i="3"/>
  <c r="D5" i="3"/>
  <c r="D4" i="3"/>
  <c r="I8" i="3" l="1"/>
  <c r="B10" i="3"/>
  <c r="D13" i="3" s="1"/>
  <c r="Q13" i="4" l="1"/>
  <c r="P13" i="4"/>
  <c r="O13" i="4"/>
  <c r="M13" i="4"/>
  <c r="K13" i="4"/>
  <c r="J13" i="4"/>
  <c r="I13" i="4"/>
  <c r="H13" i="4"/>
  <c r="N13" i="4"/>
  <c r="L13" i="4"/>
  <c r="H26" i="3"/>
  <c r="H27" i="3" s="1"/>
  <c r="Q25" i="4" l="1"/>
  <c r="P25" i="4"/>
  <c r="M25" i="4"/>
  <c r="N25" i="4"/>
  <c r="L25" i="4"/>
  <c r="O25" i="4"/>
  <c r="K25" i="4"/>
  <c r="J25" i="4"/>
  <c r="I25" i="4"/>
  <c r="H25" i="4"/>
  <c r="I30" i="4"/>
  <c r="C52" i="4"/>
  <c r="D51" i="4"/>
  <c r="D50" i="4"/>
  <c r="D46" i="4"/>
  <c r="C47" i="4"/>
  <c r="B45" i="4"/>
  <c r="B47" i="4" s="1"/>
  <c r="G63" i="6"/>
  <c r="G91" i="6"/>
  <c r="D47" i="4" l="1"/>
  <c r="C54" i="4"/>
  <c r="D45" i="4"/>
  <c r="B52" i="4"/>
  <c r="D52" i="4" s="1"/>
  <c r="F77" i="6"/>
  <c r="H90" i="6"/>
  <c r="F89" i="6"/>
  <c r="H89" i="6" s="1"/>
  <c r="F88" i="6"/>
  <c r="F91" i="6" s="1"/>
  <c r="G16" i="6"/>
  <c r="G17" i="6" s="1"/>
  <c r="C19" i="6"/>
  <c r="D54" i="4" l="1"/>
  <c r="B54" i="4"/>
  <c r="H88" i="6"/>
  <c r="G20" i="6"/>
  <c r="I56" i="3"/>
  <c r="F48" i="3"/>
  <c r="I54" i="3"/>
  <c r="G53" i="3"/>
  <c r="I55" i="3" s="1"/>
  <c r="I52" i="3"/>
  <c r="I51" i="3"/>
  <c r="I50" i="3"/>
  <c r="I14" i="3"/>
  <c r="G12" i="3"/>
  <c r="I12" i="3" s="1"/>
  <c r="H9" i="3"/>
  <c r="H6" i="3"/>
  <c r="H5" i="3"/>
  <c r="H4" i="3"/>
  <c r="G9" i="3"/>
  <c r="F9" i="3"/>
  <c r="G6" i="3"/>
  <c r="G5" i="3"/>
  <c r="F6" i="3"/>
  <c r="F5" i="3"/>
  <c r="F4" i="3"/>
  <c r="G4" i="3"/>
  <c r="D27" i="3"/>
  <c r="D23" i="3"/>
  <c r="D22" i="3"/>
  <c r="D21" i="3"/>
  <c r="E33" i="4"/>
  <c r="H42" i="6"/>
  <c r="G15" i="6"/>
  <c r="I36" i="3"/>
  <c r="G37" i="3"/>
  <c r="I37" i="3" s="1"/>
  <c r="F36" i="3"/>
  <c r="B42" i="3"/>
  <c r="B43" i="3" s="1"/>
  <c r="B44" i="3" s="1"/>
  <c r="D44" i="3" s="1"/>
  <c r="D37" i="3"/>
  <c r="D40" i="3"/>
  <c r="D39" i="3"/>
  <c r="D38" i="3"/>
  <c r="H32" i="6"/>
  <c r="H40" i="6"/>
  <c r="B33" i="6"/>
  <c r="B41" i="6" s="1"/>
  <c r="F22" i="6"/>
  <c r="I9" i="3" l="1"/>
  <c r="I4" i="3"/>
  <c r="G10" i="3"/>
  <c r="G11" i="3" s="1"/>
  <c r="B9" i="6"/>
  <c r="E33" i="6"/>
  <c r="E41" i="6" s="1"/>
  <c r="I6" i="3"/>
  <c r="J38" i="3"/>
  <c r="J39" i="3" s="1"/>
  <c r="F83" i="6"/>
  <c r="F59" i="6"/>
  <c r="H59" i="6" s="1"/>
  <c r="I57" i="3"/>
  <c r="I58" i="3" s="1"/>
  <c r="G57" i="3"/>
  <c r="I38" i="3"/>
  <c r="I5" i="3"/>
  <c r="D41" i="3"/>
  <c r="D36" i="3"/>
  <c r="B35" i="6"/>
  <c r="G40" i="6"/>
  <c r="F40" i="6"/>
  <c r="E40" i="6"/>
  <c r="D40" i="6"/>
  <c r="C40" i="6"/>
  <c r="G32" i="6"/>
  <c r="D32" i="6"/>
  <c r="C32" i="6"/>
  <c r="B32" i="6"/>
  <c r="B40" i="6"/>
  <c r="D11" i="6" l="1"/>
  <c r="B16" i="6" s="1"/>
  <c r="B19" i="6"/>
  <c r="D19" i="6" s="1"/>
  <c r="F19" i="6" s="1"/>
  <c r="F84" i="6"/>
  <c r="D45" i="3"/>
  <c r="K38" i="3"/>
  <c r="M38" i="3" s="1"/>
  <c r="E36" i="6"/>
  <c r="E43" i="6"/>
  <c r="E54" i="6" s="1"/>
  <c r="F32" i="6"/>
  <c r="E32" i="6"/>
  <c r="D28" i="6"/>
  <c r="D27" i="6"/>
  <c r="F27" i="6" s="1"/>
  <c r="D26" i="6"/>
  <c r="D25" i="6"/>
  <c r="F25" i="6" s="1"/>
  <c r="D24" i="6"/>
  <c r="D23" i="6"/>
  <c r="D22" i="6"/>
  <c r="D21" i="6"/>
  <c r="I39" i="3" l="1"/>
  <c r="K39" i="3" s="1"/>
  <c r="M39" i="3" s="1"/>
  <c r="M40" i="3" s="1"/>
  <c r="B17" i="6"/>
  <c r="B18" i="6" s="1"/>
  <c r="D16" i="6"/>
  <c r="F16" i="6" s="1"/>
  <c r="H16" i="6" s="1"/>
  <c r="B43" i="6"/>
  <c r="B54" i="6" s="1"/>
  <c r="B53" i="6" s="1"/>
  <c r="F24" i="6"/>
  <c r="B70" i="6"/>
  <c r="F28" i="6"/>
  <c r="F23" i="6"/>
  <c r="F26" i="6"/>
  <c r="B61" i="6" l="1"/>
  <c r="J24" i="6"/>
  <c r="D17" i="6"/>
  <c r="F17" i="6" s="1"/>
  <c r="B66" i="6"/>
  <c r="F62" i="6" s="1"/>
  <c r="B52" i="6"/>
  <c r="B51" i="6" s="1"/>
  <c r="B50" i="6" s="1"/>
  <c r="B49" i="6" s="1"/>
  <c r="B48" i="6" s="1"/>
  <c r="B47" i="6" s="1"/>
  <c r="B55" i="6" s="1"/>
  <c r="B57" i="6"/>
  <c r="E53" i="6"/>
  <c r="C36" i="6"/>
  <c r="B36" i="6"/>
  <c r="B75" i="6"/>
  <c r="H62" i="6" l="1"/>
  <c r="F68" i="6"/>
  <c r="F76" i="6"/>
  <c r="F18" i="6"/>
  <c r="H17" i="6"/>
  <c r="H18" i="6" s="1"/>
  <c r="E52" i="6"/>
  <c r="E51" i="6" s="1"/>
  <c r="E50" i="6" s="1"/>
  <c r="E49" i="6" s="1"/>
  <c r="E48" i="6" s="1"/>
  <c r="E47" i="6" s="1"/>
  <c r="E55" i="6" s="1"/>
  <c r="E57" i="6"/>
  <c r="B56" i="6"/>
  <c r="F61" i="6" l="1"/>
  <c r="H61" i="6" s="1"/>
  <c r="E56" i="6"/>
  <c r="C34" i="4"/>
  <c r="H33" i="6"/>
  <c r="H41" i="6" s="1"/>
  <c r="D33" i="6"/>
  <c r="D54" i="3"/>
  <c r="B53" i="3"/>
  <c r="B55" i="3" s="1"/>
  <c r="D55" i="3" s="1"/>
  <c r="D52" i="3"/>
  <c r="D51" i="3"/>
  <c r="D50" i="3"/>
  <c r="F74" i="6" l="1"/>
  <c r="D35" i="6"/>
  <c r="D36" i="6" s="1"/>
  <c r="D41" i="6"/>
  <c r="D43" i="6" s="1"/>
  <c r="D54" i="6" s="1"/>
  <c r="H35" i="6"/>
  <c r="H36" i="6" s="1"/>
  <c r="H43" i="6"/>
  <c r="G33" i="6"/>
  <c r="F33" i="6"/>
  <c r="J60" i="6" s="1"/>
  <c r="C32" i="4"/>
  <c r="E35" i="6"/>
  <c r="D57" i="3"/>
  <c r="D58" i="3" s="1"/>
  <c r="C29" i="4"/>
  <c r="B57" i="3"/>
  <c r="C38" i="4"/>
  <c r="F75" i="6" l="1"/>
  <c r="D53" i="6"/>
  <c r="D52" i="6" s="1"/>
  <c r="D51" i="6" s="1"/>
  <c r="H54" i="6"/>
  <c r="H53" i="6" s="1"/>
  <c r="G35" i="6"/>
  <c r="G36" i="6" s="1"/>
  <c r="G22" i="6"/>
  <c r="G41" i="6"/>
  <c r="F35" i="6"/>
  <c r="F36" i="6" s="1"/>
  <c r="F41" i="6"/>
  <c r="C33" i="6"/>
  <c r="C33" i="4"/>
  <c r="C35" i="4" s="1"/>
  <c r="C37" i="4" s="1"/>
  <c r="C39" i="4" s="1"/>
  <c r="B10" i="6"/>
  <c r="B15" i="6" s="1"/>
  <c r="F43" i="6" l="1"/>
  <c r="F54" i="6" s="1"/>
  <c r="C41" i="6"/>
  <c r="C43" i="6" s="1"/>
  <c r="C54" i="6" s="1"/>
  <c r="C53" i="6" s="1"/>
  <c r="C52" i="6" s="1"/>
  <c r="G43" i="6"/>
  <c r="G54" i="6" s="1"/>
  <c r="G53" i="6" s="1"/>
  <c r="G57" i="6" s="1"/>
  <c r="H52" i="6"/>
  <c r="H51" i="6" s="1"/>
  <c r="H50" i="6" s="1"/>
  <c r="H49" i="6" s="1"/>
  <c r="H48" i="6" s="1"/>
  <c r="H47" i="6" s="1"/>
  <c r="H55" i="6" s="1"/>
  <c r="H57" i="6"/>
  <c r="D15" i="6"/>
  <c r="F15" i="6" s="1"/>
  <c r="H15" i="6" s="1"/>
  <c r="D50" i="6"/>
  <c r="D49" i="6" s="1"/>
  <c r="D48" i="6" s="1"/>
  <c r="D47" i="6" s="1"/>
  <c r="D55" i="6" s="1"/>
  <c r="D56" i="6"/>
  <c r="F53" i="6" l="1"/>
  <c r="F57" i="6" s="1"/>
  <c r="F49" i="6"/>
  <c r="F48" i="6" s="1"/>
  <c r="F47" i="6" s="1"/>
  <c r="F55" i="6" s="1"/>
  <c r="F52" i="6"/>
  <c r="F51" i="6"/>
  <c r="F56" i="6" s="1"/>
  <c r="F50" i="6"/>
  <c r="G52" i="6"/>
  <c r="G51" i="6" s="1"/>
  <c r="G56" i="6" s="1"/>
  <c r="B62" i="6"/>
  <c r="B65" i="6"/>
  <c r="H56" i="6"/>
  <c r="B59" i="6"/>
  <c r="F60" i="6" s="1"/>
  <c r="D45" i="6"/>
  <c r="D57" i="6"/>
  <c r="C51" i="6"/>
  <c r="C56" i="6" s="1"/>
  <c r="C45" i="6"/>
  <c r="G50" i="6" l="1"/>
  <c r="G49" i="6" s="1"/>
  <c r="G48" i="6" s="1"/>
  <c r="G47" i="6" s="1"/>
  <c r="G55" i="6" s="1"/>
  <c r="H60" i="6"/>
  <c r="F73" i="6"/>
  <c r="F78" i="6" s="1"/>
  <c r="B68" i="6"/>
  <c r="B72" i="6" s="1"/>
  <c r="C50" i="6"/>
  <c r="C49" i="6" s="1"/>
  <c r="C48" i="6" s="1"/>
  <c r="C47" i="6" s="1"/>
  <c r="C55" i="6" s="1"/>
  <c r="C57" i="6" s="1"/>
  <c r="F63" i="6" l="1"/>
  <c r="H63" i="6" s="1"/>
  <c r="H91" i="6" l="1"/>
  <c r="G13" i="3"/>
  <c r="B15" i="3"/>
  <c r="D16" i="3" l="1"/>
  <c r="B8" i="6" s="1"/>
  <c r="B20" i="6" s="1"/>
  <c r="I13" i="3"/>
  <c r="G15" i="3"/>
  <c r="D20" i="6" l="1"/>
  <c r="F20" i="6" s="1"/>
  <c r="H20" i="6" s="1"/>
  <c r="K20" i="6" s="1"/>
  <c r="B78" i="6"/>
  <c r="B79" i="6" s="1"/>
  <c r="B74" i="6"/>
  <c r="I15" i="3"/>
  <c r="I16" i="3" s="1"/>
  <c r="B7" i="6" s="1"/>
  <c r="B60" i="6" l="1"/>
  <c r="F67" i="6"/>
  <c r="F6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9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20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<sst xmlns="http://schemas.openxmlformats.org/spreadsheetml/2006/main" count="369" uniqueCount="240">
  <si>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</si>
  <si>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</si>
  <si>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</si>
  <si>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</si>
  <si>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</si>
  <si>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</si>
  <si>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דמי היתר</t>
  </si>
  <si>
    <t>מע"מ</t>
  </si>
  <si>
    <t>מסלול פיצול מגרש</t>
  </si>
  <si>
    <t>שווי מגרש מפוצל</t>
  </si>
  <si>
    <t>שווי נחלה</t>
  </si>
  <si>
    <t>היטל השבחה</t>
  </si>
  <si>
    <t>היטל השבחה על פיצול</t>
  </si>
  <si>
    <t>סה"כ</t>
  </si>
  <si>
    <t>עלויות תכנון</t>
  </si>
  <si>
    <t>רווח מפיצול</t>
  </si>
  <si>
    <t xml:space="preserve">דמי היתר 1 מ"ר מגורים </t>
  </si>
  <si>
    <t>דמי היתר 1 מ"ר שירות</t>
  </si>
  <si>
    <t>דמי היתר 1 מ"ר מרתף</t>
  </si>
  <si>
    <t>היוון 500 מ"ר נוספים</t>
  </si>
  <si>
    <t>שווי מ"ר אקו' מגורים</t>
  </si>
  <si>
    <t>היוון 1 מ"ר חצר נוספים</t>
  </si>
  <si>
    <t>שווי מ"ר אקו' כתלוי בשווי נחלה</t>
  </si>
  <si>
    <t>הזן: שווי נחלה</t>
  </si>
  <si>
    <t>שווי מ"ר ללא מע"מ</t>
  </si>
  <si>
    <t>פטור</t>
  </si>
  <si>
    <t>מ"ר לתשלום</t>
  </si>
  <si>
    <t>גודל בית</t>
  </si>
  <si>
    <t>בית 1</t>
  </si>
  <si>
    <t>בית 2</t>
  </si>
  <si>
    <t>היוון 3.75%</t>
  </si>
  <si>
    <t>היוון מלא</t>
  </si>
  <si>
    <t>היוון + השלמה לפיצול</t>
  </si>
  <si>
    <t>שווי מגרש בית בהרחבה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</si>
  <si>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</si>
  <si>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</si>
  <si>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</si>
  <si>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</si>
  <si>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</si>
  <si>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</si>
  <si>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</si>
  <si>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</si>
  <si>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</si>
  <si>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</si>
  <si>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</si>
  <si>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</si>
  <si>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</si>
  <si>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</si>
  <si>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</si>
  <si>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</si>
  <si>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</si>
  <si>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</si>
  <si>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</si>
  <si>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</si>
  <si>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</si>
  <si>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</si>
  <si>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</si>
  <si>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</si>
  <si>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</si>
  <si>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</si>
  <si>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</si>
  <si>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</si>
  <si>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כולל מעמ ופיתוח</t>
  </si>
  <si>
    <t>ללא מעמ ופיתוח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</si>
  <si>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</si>
  <si>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</si>
  <si>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</si>
  <si>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</si>
  <si>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ע"פ מחשבון רמי</t>
  </si>
  <si>
    <t>דמי שימוש</t>
  </si>
  <si>
    <t>גודל מבנה</t>
  </si>
  <si>
    <t>מס' שנים</t>
  </si>
  <si>
    <t>שווי 2014</t>
  </si>
  <si>
    <t>שווי 2015</t>
  </si>
  <si>
    <t>שווי 2016</t>
  </si>
  <si>
    <t>שווי 2017</t>
  </si>
  <si>
    <t>שווי 2018</t>
  </si>
  <si>
    <t>שווי 2019</t>
  </si>
  <si>
    <t>שווי 2020</t>
  </si>
  <si>
    <t>שווי 2021</t>
  </si>
  <si>
    <t>סה"כ 7 שנים</t>
  </si>
  <si>
    <t>סה"כ 4 שנים</t>
  </si>
  <si>
    <t>שרות (ממ"ד)</t>
  </si>
  <si>
    <t>מגרש מפוצל</t>
  </si>
  <si>
    <t>גודל מגרש</t>
  </si>
  <si>
    <t>מגורים עיקרי בהרחבה</t>
  </si>
  <si>
    <t>חצר</t>
  </si>
  <si>
    <t>יתרת חצר עד 2500</t>
  </si>
  <si>
    <t>סה"כ 2 שנים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</si>
  <si>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</si>
  <si>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</si>
  <si>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</si>
  <si>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</si>
  <si>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</si>
  <si>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</si>
  <si>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</si>
  <si>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</si>
  <si>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</si>
  <si>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</si>
  <si>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</si>
  <si>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</si>
  <si>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</si>
  <si>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</si>
  <si>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</si>
  <si>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</si>
  <si>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</si>
  <si>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</si>
  <si>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</si>
  <si>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שני פיצולים היוון מלא</t>
  </si>
  <si>
    <t>פיצול מגרש 1</t>
  </si>
  <si>
    <t>לפי שומת זיו כהן בשפיר</t>
  </si>
  <si>
    <t>הוצאות פיתוח</t>
  </si>
  <si>
    <t>פיצול מגרש</t>
  </si>
  <si>
    <t>מס שבח</t>
  </si>
  <si>
    <t>מס רכישה</t>
  </si>
  <si>
    <t>נוספים</t>
  </si>
  <si>
    <t>סופי</t>
  </si>
  <si>
    <t>לא לתחשיב</t>
  </si>
  <si>
    <t>שני פיצולים לא היוון מלא</t>
  </si>
  <si>
    <t>פיצול מגרש 2</t>
  </si>
  <si>
    <t>רכישת 240 דמי היתר לפחות</t>
  </si>
  <si>
    <t>בית המגורים הישן</t>
  </si>
  <si>
    <t>שנים לתחשיב</t>
  </si>
  <si>
    <t>גודל</t>
  </si>
  <si>
    <t>שווי מ"ר</t>
  </si>
  <si>
    <t>דמי שימוש לכל שנה</t>
  </si>
  <si>
    <t>אפשרויות לבחירה</t>
  </si>
  <si>
    <t>התחשיב מתבסס ע"פ שומת מנהל בביצרון משנת 2021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</si>
  <si>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</si>
  <si>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</si>
  <si>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</si>
  <si>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</si>
  <si>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</si>
  <si>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</si>
  <si>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</si>
  <si>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</si>
  <si>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</si>
  <si>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</si>
  <si>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</si>
  <si>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</si>
  <si>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</si>
  <si>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</si>
  <si>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</si>
  <si>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בר-רשות</t>
  </si>
  <si>
    <t>לתשלום</t>
  </si>
  <si>
    <t>בכסף</t>
  </si>
  <si>
    <t>חוכר ושילם</t>
  </si>
  <si>
    <t>היוון</t>
  </si>
  <si>
    <t>חוכר ולא שילם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</si>
  <si>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</si>
  <si>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</si>
  <si>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</si>
  <si>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</si>
  <si>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</si>
  <si>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</si>
  <si>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</si>
  <si>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בריכת שחייה</t>
  </si>
  <si>
    <t>לפי ברנס</t>
  </si>
  <si>
    <t>ש"ש עיליים</t>
  </si>
  <si>
    <t>ש"ש תת"ק</t>
  </si>
  <si>
    <t>פרגולה 17 מ"ר</t>
  </si>
  <si>
    <t>1 מ"ר עיקרי</t>
  </si>
  <si>
    <t>1מ "ר שירות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</si>
  <si>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</si>
  <si>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</si>
  <si>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</si>
  <si>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</si>
  <si>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</si>
  <si>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</si>
  <si>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</si>
  <si>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</si>
  <si>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</si>
  <si>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</si>
  <si>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</si>
  <si>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</si>
  <si>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</si>
  <si>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</si>
  <si>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דמי היתר בית 5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</si>
  <si>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</si>
  <si>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</si>
  <si>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</si>
  <si>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</si>
  <si>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</si>
  <si>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</si>
  <si>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</si>
  <si>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</si>
  <si>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</si>
  <si>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</si>
  <si>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</si>
  <si>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</si>
  <si>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</si>
  <si>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</si>
  <si>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</si>
  <si>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דמי שימוש בית 5</t>
  </si>
  <si>
    <t xml:space="preserve">דמי שימוש בית 5- </t>
  </si>
  <si>
    <t>בית בית 58 מ"ר</t>
  </si>
  <si>
    <t>מפת מדידה - קונטור</t>
  </si>
  <si>
    <t>סככה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</si>
  <si>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</si>
  <si>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</si>
  <si>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</si>
  <si>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</si>
  <si>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</si>
  <si>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</si>
  <si>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</si>
  <si>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</si>
  <si>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</si>
  <si>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</si>
  <si>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</si>
  <si>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עלויות בניה למ"ר</t>
  </si>
  <si>
    <t>יתרה לקרע כולל</t>
  </si>
  <si>
    <t>שטח אקו'</t>
  </si>
  <si>
    <t>שווי מתואם כולל מעמ ופיתוח</t>
  </si>
  <si>
    <t>דמי שימוש בית שלישי</t>
  </si>
  <si>
    <t>בית גודל 81</t>
  </si>
  <si>
    <t>חרגיה מקו בנין צידי</t>
  </si>
  <si>
    <t>לשומה</t>
  </si>
  <si>
    <t>שווי פל"ח לפי שומה מייצגת באביגדור</t>
  </si>
  <si>
    <t xml:space="preserve">שומות </t>
  </si>
  <si>
    <t>מבנה 1 - בית ראשן גדול</t>
  </si>
  <si>
    <t>פרגולה קדמית</t>
  </si>
  <si>
    <t>פרגלה אחורית</t>
  </si>
  <si>
    <t>פרגולה צידית</t>
  </si>
  <si>
    <t>מבנה 2 - בית שני קטן</t>
  </si>
  <si>
    <t>מבנה 3 - מחסן</t>
  </si>
  <si>
    <t>2009 - בית מגוים</t>
  </si>
  <si>
    <t>2009 - בית מגוים קומה ב'</t>
  </si>
  <si>
    <t>בית מגורים ומחסן 2011</t>
  </si>
  <si>
    <t>5986-54</t>
  </si>
  <si>
    <t>5986-85</t>
  </si>
  <si>
    <t>בניכוי יזמי 15%</t>
  </si>
  <si>
    <t>תבע בר/4/282</t>
  </si>
  <si>
    <t>שרות</t>
  </si>
  <si>
    <t>מרתף</t>
  </si>
  <si>
    <t>,תבע חדשה</t>
  </si>
  <si>
    <t>פיצול בית שלישי</t>
  </si>
  <si>
    <t>לפני - חצר</t>
  </si>
  <si>
    <t>אחרי בית שלישי מפוצל</t>
  </si>
  <si>
    <t>השבחה</t>
  </si>
  <si>
    <t>היטל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</si>
</sst>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  <numFmt numFmtId="167" formatCode="_ * #,##0_ ;_ * \-#,##0_ ;_ * &quot;-&quot;?_ ;_ @_ "/>
    <numFmt numFmtId="168" formatCode="_ * #,##0.0_ ;_ * \-#,##0.0_ ;_ * &quot;-&quot;??_ ;_ @_ "/>
  </numFmts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 val="singleAccounting"/>
      <sz val="16"/>
      <color theme="1"/>
      <name val="Arial"/>
      <family val="2"/>
      <charset val="177"/>
      <scheme val="minor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9" fontId="3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43" fontId="6" fillId="6" borderId="29" xfId="1" applyFont="1" applyFill="1" applyBorder="1"/>
    <xf numFmtId="43" fontId="6" fillId="6" borderId="30" xfId="1" applyFont="1" applyFill="1" applyBorder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44" fontId="11" fillId="0" borderId="0" xfId="0" applyNumberFormat="1" applyFont="1"/>
    <xf numFmtId="43" fontId="2" fillId="0" borderId="0" xfId="1" applyFont="1" applyFill="1"/>
    <xf numFmtId="0" fontId="11" fillId="0" borderId="32" xfId="0" applyFont="1" applyBorder="1"/>
    <xf numFmtId="164" fontId="11" fillId="0" borderId="5" xfId="0" applyNumberFormat="1" applyFont="1" applyBorder="1"/>
    <xf numFmtId="164" fontId="11" fillId="0" borderId="25" xfId="0" applyNumberFormat="1" applyFont="1" applyBorder="1"/>
    <xf numFmtId="0" fontId="11" fillId="0" borderId="33" xfId="0" applyFont="1" applyBorder="1"/>
    <xf numFmtId="164" fontId="11" fillId="0" borderId="11" xfId="0" applyNumberFormat="1" applyFont="1" applyBorder="1"/>
    <xf numFmtId="164" fontId="11" fillId="0" borderId="21" xfId="0" applyNumberFormat="1" applyFont="1" applyBorder="1"/>
    <xf numFmtId="164" fontId="2" fillId="2" borderId="0" xfId="0" applyNumberFormat="1" applyFont="1" applyFill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4" xfId="0" applyBorder="1"/>
    <xf numFmtId="0" fontId="6" fillId="0" borderId="35" xfId="0" applyFont="1" applyBorder="1"/>
    <xf numFmtId="165" fontId="6" fillId="0" borderId="36" xfId="0" applyNumberFormat="1" applyFont="1" applyBorder="1"/>
    <xf numFmtId="0" fontId="6" fillId="0" borderId="36" xfId="0" applyFont="1" applyBorder="1"/>
    <xf numFmtId="165" fontId="6" fillId="0" borderId="37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165" fontId="11" fillId="0" borderId="0" xfId="1" applyNumberFormat="1" applyFont="1"/>
    <xf numFmtId="0" fontId="2" fillId="0" borderId="5" xfId="0" applyFont="1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 readingOrder="2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9" xfId="1" applyFont="1" applyFill="1" applyBorder="1"/>
    <xf numFmtId="0" fontId="5" fillId="3" borderId="29" xfId="0" applyFont="1" applyFill="1" applyBorder="1"/>
    <xf numFmtId="43" fontId="6" fillId="6" borderId="39" xfId="1" applyFont="1" applyFill="1" applyBorder="1"/>
    <xf numFmtId="165" fontId="5" fillId="3" borderId="30" xfId="1" applyNumberFormat="1" applyFont="1" applyFill="1" applyBorder="1"/>
    <xf numFmtId="165" fontId="5" fillId="3" borderId="29" xfId="1" applyNumberFormat="1" applyFont="1" applyFill="1" applyBorder="1"/>
    <xf numFmtId="0" fontId="5" fillId="3" borderId="38" xfId="0" applyFont="1" applyFill="1" applyBorder="1" applyAlignment="1">
      <alignment horizontal="center" vertical="center" wrapText="1"/>
    </xf>
    <xf numFmtId="0" fontId="0" fillId="4" borderId="41" xfId="0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44" xfId="0" applyFill="1" applyBorder="1"/>
    <xf numFmtId="0" fontId="6" fillId="4" borderId="45" xfId="0" applyFont="1" applyFill="1" applyBorder="1"/>
    <xf numFmtId="0" fontId="0" fillId="3" borderId="38" xfId="0" applyFill="1" applyBorder="1"/>
    <xf numFmtId="0" fontId="6" fillId="4" borderId="41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2" fillId="2" borderId="2" xfId="0" applyFont="1" applyFill="1" applyBorder="1"/>
    <xf numFmtId="43" fontId="2" fillId="2" borderId="3" xfId="1" applyFont="1" applyFill="1" applyBorder="1"/>
    <xf numFmtId="0" fontId="2" fillId="2" borderId="0" xfId="0" applyFont="1" applyFill="1"/>
    <xf numFmtId="43" fontId="2" fillId="2" borderId="8" xfId="1" applyFont="1" applyFill="1" applyBorder="1"/>
    <xf numFmtId="0" fontId="2" fillId="2" borderId="15" xfId="0" applyFont="1" applyFill="1" applyBorder="1"/>
    <xf numFmtId="164" fontId="2" fillId="2" borderId="15" xfId="0" applyNumberFormat="1" applyFont="1" applyFill="1" applyBorder="1"/>
    <xf numFmtId="43" fontId="2" fillId="2" borderId="37" xfId="1" applyFont="1" applyFill="1" applyBorder="1"/>
    <xf numFmtId="0" fontId="2" fillId="7" borderId="2" xfId="0" applyFont="1" applyFill="1" applyBorder="1"/>
    <xf numFmtId="0" fontId="2" fillId="7" borderId="7" xfId="0" applyFont="1" applyFill="1" applyBorder="1"/>
    <xf numFmtId="0" fontId="2" fillId="7" borderId="0" xfId="0" applyFont="1" applyFill="1"/>
    <xf numFmtId="0" fontId="2" fillId="7" borderId="35" xfId="0" applyFont="1" applyFill="1" applyBorder="1"/>
    <xf numFmtId="0" fontId="3" fillId="8" borderId="1" xfId="0" applyFont="1" applyFill="1" applyBorder="1"/>
    <xf numFmtId="0" fontId="2" fillId="8" borderId="2" xfId="0" applyFont="1" applyFill="1" applyBorder="1"/>
    <xf numFmtId="0" fontId="2" fillId="8" borderId="3" xfId="0" applyFont="1" applyFill="1" applyBorder="1"/>
    <xf numFmtId="0" fontId="2" fillId="8" borderId="7" xfId="0" applyFont="1" applyFill="1" applyBorder="1"/>
    <xf numFmtId="44" fontId="2" fillId="8" borderId="0" xfId="0" applyNumberFormat="1" applyFont="1" applyFill="1"/>
    <xf numFmtId="0" fontId="2" fillId="8" borderId="0" xfId="0" applyFont="1" applyFill="1"/>
    <xf numFmtId="0" fontId="2" fillId="8" borderId="8" xfId="0" applyFont="1" applyFill="1" applyBorder="1"/>
    <xf numFmtId="0" fontId="2" fillId="8" borderId="0" xfId="0" applyFont="1" applyFill="1" applyAlignment="1">
      <alignment wrapText="1"/>
    </xf>
    <xf numFmtId="0" fontId="2" fillId="8" borderId="35" xfId="0" applyFont="1" applyFill="1" applyBorder="1"/>
    <xf numFmtId="0" fontId="2" fillId="8" borderId="15" xfId="0" applyFont="1" applyFill="1" applyBorder="1"/>
    <xf numFmtId="0" fontId="2" fillId="8" borderId="36" xfId="0" applyFont="1" applyFill="1" applyBorder="1"/>
    <xf numFmtId="0" fontId="2" fillId="8" borderId="37" xfId="0" applyFont="1" applyFill="1" applyBorder="1"/>
    <xf numFmtId="0" fontId="3" fillId="9" borderId="1" xfId="0" applyFont="1" applyFill="1" applyBorder="1"/>
    <xf numFmtId="0" fontId="2" fillId="9" borderId="2" xfId="0" applyFont="1" applyFill="1" applyBorder="1"/>
    <xf numFmtId="0" fontId="2" fillId="9" borderId="3" xfId="0" applyFont="1" applyFill="1" applyBorder="1"/>
    <xf numFmtId="0" fontId="2" fillId="9" borderId="7" xfId="0" applyFont="1" applyFill="1" applyBorder="1"/>
    <xf numFmtId="0" fontId="2" fillId="9" borderId="0" xfId="0" applyFont="1" applyFill="1"/>
    <xf numFmtId="0" fontId="2" fillId="9" borderId="8" xfId="0" applyFont="1" applyFill="1" applyBorder="1"/>
    <xf numFmtId="0" fontId="2" fillId="9" borderId="35" xfId="0" applyFont="1" applyFill="1" applyBorder="1"/>
    <xf numFmtId="0" fontId="2" fillId="9" borderId="15" xfId="0" applyFont="1" applyFill="1" applyBorder="1"/>
    <xf numFmtId="0" fontId="2" fillId="9" borderId="36" xfId="0" applyFont="1" applyFill="1" applyBorder="1"/>
    <xf numFmtId="0" fontId="2" fillId="9" borderId="37" xfId="0" applyFont="1" applyFill="1" applyBorder="1"/>
    <xf numFmtId="44" fontId="16" fillId="7" borderId="1" xfId="0" applyNumberFormat="1" applyFont="1" applyFill="1" applyBorder="1"/>
    <xf numFmtId="44" fontId="2" fillId="7" borderId="0" xfId="0" applyNumberFormat="1" applyFont="1" applyFill="1"/>
    <xf numFmtId="165" fontId="2" fillId="7" borderId="0" xfId="1" applyNumberFormat="1" applyFont="1" applyFill="1" applyBorder="1"/>
    <xf numFmtId="43" fontId="2" fillId="7" borderId="8" xfId="1" applyFont="1" applyFill="1" applyBorder="1"/>
    <xf numFmtId="44" fontId="11" fillId="7" borderId="15" xfId="0" applyNumberFormat="1" applyFont="1" applyFill="1" applyBorder="1"/>
    <xf numFmtId="165" fontId="2" fillId="7" borderId="15" xfId="0" applyNumberFormat="1" applyFont="1" applyFill="1" applyBorder="1"/>
    <xf numFmtId="43" fontId="2" fillId="7" borderId="37" xfId="1" applyFont="1" applyFill="1" applyBorder="1"/>
    <xf numFmtId="164" fontId="2" fillId="7" borderId="3" xfId="0" applyNumberFormat="1" applyFont="1" applyFill="1" applyBorder="1"/>
    <xf numFmtId="164" fontId="2" fillId="7" borderId="8" xfId="0" applyNumberFormat="1" applyFont="1" applyFill="1" applyBorder="1"/>
    <xf numFmtId="164" fontId="11" fillId="7" borderId="16" xfId="0" applyNumberFormat="1" applyFont="1" applyFill="1" applyBorder="1"/>
    <xf numFmtId="164" fontId="2" fillId="9" borderId="8" xfId="0" applyNumberFormat="1" applyFont="1" applyFill="1" applyBorder="1"/>
    <xf numFmtId="164" fontId="2" fillId="9" borderId="16" xfId="0" applyNumberFormat="1" applyFont="1" applyFill="1" applyBorder="1"/>
    <xf numFmtId="164" fontId="2" fillId="8" borderId="8" xfId="0" applyNumberFormat="1" applyFont="1" applyFill="1" applyBorder="1"/>
    <xf numFmtId="164" fontId="2" fillId="8" borderId="16" xfId="0" applyNumberFormat="1" applyFont="1" applyFill="1" applyBorder="1"/>
    <xf numFmtId="165" fontId="2" fillId="9" borderId="8" xfId="1" applyNumberFormat="1" applyFont="1" applyFill="1" applyBorder="1" applyAlignment="1">
      <alignment horizontal="center" vertical="center"/>
    </xf>
    <xf numFmtId="165" fontId="2" fillId="9" borderId="8" xfId="1" applyNumberFormat="1" applyFont="1" applyFill="1" applyBorder="1" applyAlignment="1"/>
    <xf numFmtId="0" fontId="2" fillId="2" borderId="3" xfId="0" applyFont="1" applyFill="1" applyBorder="1"/>
    <xf numFmtId="0" fontId="2" fillId="2" borderId="8" xfId="0" applyFont="1" applyFill="1" applyBorder="1"/>
    <xf numFmtId="164" fontId="2" fillId="2" borderId="16" xfId="0" applyNumberFormat="1" applyFont="1" applyFill="1" applyBorder="1"/>
    <xf numFmtId="0" fontId="2" fillId="9" borderId="5" xfId="0" applyFont="1" applyFill="1" applyBorder="1"/>
    <xf numFmtId="164" fontId="2" fillId="9" borderId="6" xfId="0" applyNumberFormat="1" applyFont="1" applyFill="1" applyBorder="1"/>
    <xf numFmtId="164" fontId="2" fillId="9" borderId="37" xfId="2" applyNumberFormat="1" applyFont="1" applyFill="1" applyBorder="1"/>
    <xf numFmtId="0" fontId="2" fillId="9" borderId="36" xfId="0" applyFont="1" applyFill="1" applyBorder="1" applyAlignment="1">
      <alignment horizontal="right"/>
    </xf>
    <xf numFmtId="0" fontId="17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8" fillId="6" borderId="31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8" fillId="6" borderId="40" xfId="1" applyFont="1" applyFill="1" applyBorder="1"/>
    <xf numFmtId="43" fontId="13" fillId="6" borderId="40" xfId="1" applyFont="1" applyFill="1" applyBorder="1"/>
    <xf numFmtId="165" fontId="5" fillId="3" borderId="46" xfId="1" applyNumberFormat="1" applyFont="1" applyFill="1" applyBorder="1" applyAlignment="1">
      <alignment horizontal="center" vertical="center" wrapText="1"/>
    </xf>
    <xf numFmtId="165" fontId="0" fillId="5" borderId="47" xfId="1" applyNumberFormat="1" applyFont="1" applyFill="1" applyBorder="1"/>
    <xf numFmtId="165" fontId="0" fillId="5" borderId="48" xfId="1" applyNumberFormat="1" applyFont="1" applyFill="1" applyBorder="1"/>
    <xf numFmtId="165" fontId="0" fillId="5" borderId="49" xfId="1" applyNumberFormat="1" applyFont="1" applyFill="1" applyBorder="1"/>
    <xf numFmtId="165" fontId="0" fillId="5" borderId="50" xfId="1" applyNumberFormat="1" applyFont="1" applyFill="1" applyBorder="1"/>
    <xf numFmtId="43" fontId="6" fillId="6" borderId="51" xfId="1" applyFont="1" applyFill="1" applyBorder="1"/>
    <xf numFmtId="43" fontId="6" fillId="6" borderId="37" xfId="1" applyFont="1" applyFill="1" applyBorder="1"/>
    <xf numFmtId="165" fontId="5" fillId="3" borderId="52" xfId="1" applyNumberFormat="1" applyFont="1" applyFill="1" applyBorder="1"/>
    <xf numFmtId="0" fontId="0" fillId="5" borderId="47" xfId="0" applyFill="1" applyBorder="1"/>
    <xf numFmtId="0" fontId="0" fillId="5" borderId="48" xfId="0" applyFill="1" applyBorder="1"/>
    <xf numFmtId="0" fontId="0" fillId="5" borderId="50" xfId="0" applyFill="1" applyBorder="1"/>
    <xf numFmtId="43" fontId="10" fillId="7" borderId="51" xfId="1" applyFont="1" applyFill="1" applyBorder="1"/>
    <xf numFmtId="43" fontId="13" fillId="6" borderId="16" xfId="1" applyFont="1" applyFill="1" applyBorder="1"/>
    <xf numFmtId="165" fontId="6" fillId="0" borderId="0" xfId="0" applyNumberFormat="1" applyFont="1"/>
    <xf numFmtId="43" fontId="18" fillId="6" borderId="53" xfId="1" applyFont="1" applyFill="1" applyBorder="1"/>
    <xf numFmtId="0" fontId="3" fillId="0" borderId="1" xfId="0" applyFont="1" applyBorder="1" applyAlignment="1">
      <alignment wrapText="1"/>
    </xf>
    <xf numFmtId="164" fontId="2" fillId="0" borderId="2" xfId="0" applyNumberFormat="1" applyFont="1" applyBorder="1"/>
    <xf numFmtId="165" fontId="2" fillId="0" borderId="2" xfId="1" applyNumberFormat="1" applyFont="1" applyBorder="1"/>
    <xf numFmtId="0" fontId="2" fillId="0" borderId="3" xfId="0" applyFont="1" applyBorder="1"/>
    <xf numFmtId="0" fontId="2" fillId="0" borderId="7" xfId="0" applyFont="1" applyBorder="1"/>
    <xf numFmtId="165" fontId="2" fillId="0" borderId="0" xfId="1" applyNumberFormat="1" applyFont="1" applyBorder="1"/>
    <xf numFmtId="165" fontId="2" fillId="0" borderId="8" xfId="1" applyNumberFormat="1" applyFont="1" applyBorder="1"/>
    <xf numFmtId="0" fontId="3" fillId="0" borderId="7" xfId="0" applyFont="1" applyBorder="1" applyAlignment="1">
      <alignment wrapText="1"/>
    </xf>
    <xf numFmtId="0" fontId="2" fillId="0" borderId="35" xfId="0" applyFont="1" applyBorder="1"/>
    <xf numFmtId="165" fontId="2" fillId="0" borderId="37" xfId="1" applyNumberFormat="1" applyFont="1" applyBorder="1"/>
    <xf numFmtId="43" fontId="2" fillId="7" borderId="2" xfId="1" applyFont="1" applyFill="1" applyBorder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165" fontId="11" fillId="0" borderId="36" xfId="1" applyNumberFormat="1" applyFont="1" applyBorder="1"/>
    <xf numFmtId="44" fontId="2" fillId="0" borderId="36" xfId="0" applyNumberFormat="1" applyFont="1" applyBorder="1"/>
    <xf numFmtId="164" fontId="2" fillId="0" borderId="36" xfId="0" applyNumberFormat="1" applyFont="1" applyBorder="1"/>
    <xf numFmtId="0" fontId="5" fillId="11" borderId="46" xfId="0" applyFont="1" applyFill="1" applyBorder="1" applyAlignment="1">
      <alignment horizontal="center" vertical="center"/>
    </xf>
    <xf numFmtId="0" fontId="5" fillId="11" borderId="46" xfId="0" applyFont="1" applyFill="1" applyBorder="1" applyAlignment="1">
      <alignment horizontal="center" vertical="center" wrapText="1"/>
    </xf>
    <xf numFmtId="164" fontId="9" fillId="11" borderId="54" xfId="2" applyNumberFormat="1" applyFont="1" applyFill="1" applyBorder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1" borderId="54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center" vertical="center"/>
    </xf>
    <xf numFmtId="0" fontId="0" fillId="2" borderId="52" xfId="0" applyFill="1" applyBorder="1" applyAlignment="1">
      <alignment wrapText="1"/>
    </xf>
    <xf numFmtId="164" fontId="0" fillId="2" borderId="36" xfId="2" applyNumberFormat="1" applyFont="1" applyFill="1" applyBorder="1"/>
    <xf numFmtId="164" fontId="0" fillId="2" borderId="30" xfId="2" applyNumberFormat="1" applyFont="1" applyFill="1" applyBorder="1"/>
    <xf numFmtId="165" fontId="0" fillId="2" borderId="36" xfId="1" applyNumberFormat="1" applyFont="1" applyFill="1" applyBorder="1"/>
    <xf numFmtId="164" fontId="0" fillId="2" borderId="37" xfId="2" applyNumberFormat="1" applyFont="1" applyFill="1" applyBorder="1"/>
    <xf numFmtId="0" fontId="0" fillId="12" borderId="7" xfId="0" applyFill="1" applyBorder="1" applyAlignment="1">
      <alignment wrapText="1"/>
    </xf>
    <xf numFmtId="164" fontId="0" fillId="12" borderId="54" xfId="2" applyNumberFormat="1" applyFont="1" applyFill="1" applyBorder="1"/>
    <xf numFmtId="0" fontId="0" fillId="12" borderId="0" xfId="0" applyFill="1"/>
    <xf numFmtId="0" fontId="0" fillId="12" borderId="8" xfId="0" applyFill="1" applyBorder="1"/>
    <xf numFmtId="0" fontId="0" fillId="2" borderId="55" xfId="0" applyFill="1" applyBorder="1" applyAlignment="1">
      <alignment vertical="top" wrapText="1"/>
    </xf>
    <xf numFmtId="165" fontId="0" fillId="2" borderId="56" xfId="1" applyNumberFormat="1" applyFont="1" applyFill="1" applyBorder="1" applyAlignment="1">
      <alignment horizontal="right" indent="3"/>
    </xf>
    <xf numFmtId="164" fontId="0" fillId="2" borderId="57" xfId="2" applyNumberFormat="1" applyFont="1" applyFill="1" applyBorder="1"/>
    <xf numFmtId="165" fontId="0" fillId="2" borderId="56" xfId="1" applyNumberFormat="1" applyFont="1" applyFill="1" applyBorder="1" applyAlignment="1">
      <alignment horizontal="center"/>
    </xf>
    <xf numFmtId="164" fontId="0" fillId="2" borderId="58" xfId="2" applyNumberFormat="1" applyFont="1" applyFill="1" applyBorder="1"/>
    <xf numFmtId="0" fontId="0" fillId="2" borderId="47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7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60" xfId="2" applyNumberFormat="1" applyFont="1" applyFill="1" applyBorder="1" applyAlignment="1">
      <alignment horizontal="center" vertical="center"/>
    </xf>
    <xf numFmtId="6" fontId="0" fillId="2" borderId="61" xfId="2" applyNumberFormat="1" applyFont="1" applyFill="1" applyBorder="1" applyAlignment="1">
      <alignment horizontal="center" vertical="center"/>
    </xf>
    <xf numFmtId="6" fontId="0" fillId="2" borderId="62" xfId="2" applyNumberFormat="1" applyFont="1" applyFill="1" applyBorder="1" applyAlignment="1">
      <alignment horizontal="center" vertical="center"/>
    </xf>
    <xf numFmtId="0" fontId="0" fillId="2" borderId="48" xfId="0" applyFill="1" applyBorder="1"/>
    <xf numFmtId="0" fontId="0" fillId="2" borderId="48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6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167" fontId="0" fillId="0" borderId="0" xfId="0" applyNumberFormat="1"/>
    <xf numFmtId="165" fontId="1" fillId="0" borderId="0" xfId="1" applyNumberFormat="1" applyFont="1"/>
    <xf numFmtId="0" fontId="0" fillId="0" borderId="0" xfId="1" applyNumberFormat="1" applyFont="1"/>
    <xf numFmtId="168" fontId="0" fillId="0" borderId="0" xfId="1" applyNumberFormat="1" applyFont="1"/>
    <xf numFmtId="43" fontId="2" fillId="0" borderId="0" xfId="1" applyFont="1" applyAlignment="1">
      <alignment horizontal="right"/>
    </xf>
    <xf numFmtId="0" fontId="0" fillId="0" borderId="2" xfId="0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1" borderId="54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164" fontId="0" fillId="2" borderId="36" xfId="2" applyNumberFormat="1" applyFont="1" applyFill="1" applyBorder="1" applyAlignment="1">
      <alignment horizontal="center" vertical="center"/>
    </xf>
    <xf numFmtId="164" fontId="0" fillId="2" borderId="30" xfId="2" applyNumberFormat="1" applyFont="1" applyFill="1" applyBorder="1" applyAlignment="1">
      <alignment horizontal="center" vertical="center"/>
    </xf>
    <xf numFmtId="164" fontId="0" fillId="2" borderId="37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63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6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 vertical="center"/>
    </xf>
    <xf numFmtId="164" fontId="0" fillId="2" borderId="58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64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33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65" xfId="2" applyNumberFormat="1" applyFont="1" applyFill="1" applyBorder="1" applyAlignment="1">
      <alignment horizontal="center" vertical="center"/>
    </xf>
    <xf numFmtId="6" fontId="0" fillId="2" borderId="36" xfId="2" applyNumberFormat="1" applyFont="1" applyFill="1" applyBorder="1" applyAlignment="1">
      <alignment horizontal="center" vertical="center"/>
    </xf>
    <xf numFmtId="6" fontId="0" fillId="2" borderId="37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1:N91"/>
  <sheetViews>
    <sheetView rightToLeft="1" tabSelected="1" topLeftCell="A7" zoomScale="85" zoomScaleNormal="85" workbookViewId="0">
      <selection activeCell="I10" sqref="I10"/>
    </sheetView>
  </sheetViews>
  <sheetFormatPr defaultColWidth="8.69921875" defaultRowHeight="20.399999999999999" x14ac:dyDescent="0.35"/>
  <cols>
    <col min="1" max="1" width="35.796875" style="1" bestFit="1" customWidth="1"/>
    <col min="2" max="2" width="19.2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19.3984375" style="1" bestFit="1" customWidth="1"/>
    <col min="11" max="11" width="21.69921875" style="78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1" spans="1:10" x14ac:dyDescent="0.35">
      <c r="D1" s="1" t="s">
        <v>62</v>
      </c>
      <c r="E1" s="1" t="s">
        <v>63</v>
      </c>
    </row>
    <row r="2" spans="1:10" x14ac:dyDescent="0.35">
      <c r="A2" s="3"/>
      <c r="B2" s="78"/>
      <c r="D2" s="78"/>
    </row>
    <row r="3" spans="1:10" x14ac:dyDescent="0.35">
      <c r="B3" s="78"/>
      <c r="D3" s="78"/>
    </row>
    <row r="5" spans="1:10" x14ac:dyDescent="0.35">
      <c r="B5" s="7"/>
      <c r="I5" s="1" t="s">
        <v>235</v>
      </c>
    </row>
    <row r="6" spans="1:10" x14ac:dyDescent="0.35">
      <c r="I6" s="1" t="s">
        <v>236</v>
      </c>
      <c r="J6" s="6">
        <f>500*B12*0.25</f>
        <v>687500</v>
      </c>
    </row>
    <row r="7" spans="1:10" x14ac:dyDescent="0.35">
      <c r="A7" s="1" t="s">
        <v>64</v>
      </c>
      <c r="B7" s="79">
        <f>'מ"ר אקו'' נחלה'!I16</f>
        <v>1122.5</v>
      </c>
      <c r="I7" s="1" t="s">
        <v>237</v>
      </c>
      <c r="J7" s="6">
        <f>B12*435</f>
        <v>2392500</v>
      </c>
    </row>
    <row r="8" spans="1:10" x14ac:dyDescent="0.35">
      <c r="A8" s="1" t="s">
        <v>34</v>
      </c>
      <c r="B8" s="79">
        <f>'מ"ר אקו'' נחלה'!D16</f>
        <v>1366.5</v>
      </c>
      <c r="I8" s="1" t="s">
        <v>238</v>
      </c>
      <c r="J8" s="6">
        <f>J7-J6</f>
        <v>1705000</v>
      </c>
    </row>
    <row r="9" spans="1:10" x14ac:dyDescent="0.35">
      <c r="A9" s="1" t="s">
        <v>150</v>
      </c>
      <c r="B9" s="79">
        <f>'מ"ר אקו'' נחלה'!D30</f>
        <v>149</v>
      </c>
      <c r="I9" s="1" t="s">
        <v>239</v>
      </c>
      <c r="J9" s="6">
        <f>J8*50%</f>
        <v>852500</v>
      </c>
    </row>
    <row r="10" spans="1:10" x14ac:dyDescent="0.35">
      <c r="A10" s="1" t="s">
        <v>3</v>
      </c>
      <c r="B10" s="1">
        <f>'מ"ר אקו'' נחלה'!D58</f>
        <v>806.25</v>
      </c>
      <c r="F10" s="7"/>
    </row>
    <row r="11" spans="1:10" x14ac:dyDescent="0.35">
      <c r="A11" s="1" t="s">
        <v>91</v>
      </c>
      <c r="B11" s="1">
        <f>'מ"ר אקו'' נחלה'!D45</f>
        <v>354.3</v>
      </c>
      <c r="C11" s="1" t="s">
        <v>92</v>
      </c>
      <c r="D11" s="78">
        <f>'מ"ר אקו'' נחלה'!I38</f>
        <v>245</v>
      </c>
      <c r="F11" s="78"/>
    </row>
    <row r="12" spans="1:10" x14ac:dyDescent="0.35">
      <c r="A12" s="1" t="s">
        <v>20</v>
      </c>
      <c r="B12" s="147">
        <f>'ניתוח איזור לעסקאות דמה'!M14</f>
        <v>5500</v>
      </c>
      <c r="C12" s="1" t="s">
        <v>137</v>
      </c>
      <c r="D12" s="5">
        <v>2500</v>
      </c>
      <c r="F12" s="78"/>
    </row>
    <row r="13" spans="1:10" x14ac:dyDescent="0.35">
      <c r="A13" s="3"/>
      <c r="B13" s="5"/>
      <c r="C13" s="1" t="s">
        <v>151</v>
      </c>
      <c r="D13" s="1" t="e">
        <f>'ניתוח איזור לעסקאות דמה'!#REF!</f>
        <v>#REF!</v>
      </c>
      <c r="E13" s="8">
        <v>1.17</v>
      </c>
    </row>
    <row r="14" spans="1:10" x14ac:dyDescent="0.35">
      <c r="B14" s="2" t="s">
        <v>0</v>
      </c>
      <c r="C14" s="4" t="s">
        <v>4</v>
      </c>
      <c r="D14" s="2" t="s">
        <v>1</v>
      </c>
      <c r="E14" s="2" t="s">
        <v>7</v>
      </c>
      <c r="F14" s="2" t="s">
        <v>2</v>
      </c>
      <c r="G14" s="2" t="s">
        <v>101</v>
      </c>
      <c r="J14" s="2"/>
    </row>
    <row r="15" spans="1:10" ht="21" x14ac:dyDescent="0.4">
      <c r="A15" s="80" t="s">
        <v>30</v>
      </c>
      <c r="B15" s="80">
        <f>B10</f>
        <v>806.25</v>
      </c>
      <c r="C15" s="81">
        <v>3.7499999999999999E-2</v>
      </c>
      <c r="D15" s="80">
        <f t="shared" ref="D15:D25" si="0">C15*B15</f>
        <v>30.234375</v>
      </c>
      <c r="E15" s="80">
        <v>1</v>
      </c>
      <c r="F15" s="82">
        <f>D15*$B$12*E15</f>
        <v>166289.0625</v>
      </c>
      <c r="G15" s="78">
        <f>'מ"ר אקו'' נחלה'!D59*-3.75%</f>
        <v>-6562.5</v>
      </c>
      <c r="H15" s="91">
        <f>SUM(F15:G15)</f>
        <v>159726.5625</v>
      </c>
      <c r="I15" s="9"/>
      <c r="J15" s="78"/>
    </row>
    <row r="16" spans="1:10" x14ac:dyDescent="0.35">
      <c r="A16" s="85" t="s">
        <v>97</v>
      </c>
      <c r="B16" s="125">
        <f>D11</f>
        <v>245</v>
      </c>
      <c r="C16" s="126">
        <v>0.29249999999999998</v>
      </c>
      <c r="D16" s="85">
        <f t="shared" si="0"/>
        <v>71.662499999999994</v>
      </c>
      <c r="E16" s="85">
        <v>1</v>
      </c>
      <c r="F16" s="87">
        <f>D16*$B$12*E16</f>
        <v>394143.74999999994</v>
      </c>
      <c r="G16" s="78">
        <f>-'מ"ר אקו'' נחלה'!D46*C16</f>
        <v>-29250</v>
      </c>
      <c r="H16" s="6">
        <f>SUM(F16:G16)</f>
        <v>364893.74999999994</v>
      </c>
      <c r="J16" s="90"/>
    </row>
    <row r="17" spans="1:11" x14ac:dyDescent="0.35">
      <c r="A17" s="85" t="s">
        <v>98</v>
      </c>
      <c r="B17" s="125">
        <f>B11-B16</f>
        <v>109.30000000000001</v>
      </c>
      <c r="C17" s="126">
        <v>0.33</v>
      </c>
      <c r="D17" s="85">
        <f t="shared" si="0"/>
        <v>36.069000000000003</v>
      </c>
      <c r="E17" s="85">
        <v>1</v>
      </c>
      <c r="F17" s="87">
        <f>D17*$B$12*E17</f>
        <v>198379.5</v>
      </c>
      <c r="G17" s="90">
        <f>G16*53/245</f>
        <v>-6327.5510204081629</v>
      </c>
      <c r="H17" s="6">
        <f>SUM(F17:G17)</f>
        <v>192051.94897959183</v>
      </c>
      <c r="I17" s="9"/>
      <c r="J17" s="78"/>
    </row>
    <row r="18" spans="1:11" ht="21" x14ac:dyDescent="0.4">
      <c r="A18" s="122" t="s">
        <v>99</v>
      </c>
      <c r="B18" s="123">
        <f>SUM(B16:B17)</f>
        <v>354.3</v>
      </c>
      <c r="C18" s="124"/>
      <c r="D18" s="124"/>
      <c r="E18" s="124"/>
      <c r="F18" s="124">
        <f>SUM(F16:F17)</f>
        <v>592523.25</v>
      </c>
      <c r="G18" s="128"/>
      <c r="H18" s="95">
        <f>SUM(H16:H17)</f>
        <v>556945.69897959172</v>
      </c>
      <c r="J18" s="78"/>
    </row>
    <row r="19" spans="1:11" ht="21" x14ac:dyDescent="0.4">
      <c r="A19" s="80" t="s">
        <v>12</v>
      </c>
      <c r="B19" s="80">
        <f>'מ"ר אקו'' נחלה'!I38</f>
        <v>245</v>
      </c>
      <c r="C19" s="83">
        <f>30%*50%</f>
        <v>0.15</v>
      </c>
      <c r="D19" s="80">
        <f>B19*C19</f>
        <v>36.75</v>
      </c>
      <c r="E19" s="80">
        <v>1</v>
      </c>
      <c r="F19" s="82">
        <f>D19*$B$12</f>
        <v>202125</v>
      </c>
      <c r="G19" s="9"/>
      <c r="J19" s="89"/>
    </row>
    <row r="20" spans="1:11" ht="21" x14ac:dyDescent="0.4">
      <c r="A20" s="80" t="s">
        <v>5</v>
      </c>
      <c r="B20" s="84">
        <f>B8+B9</f>
        <v>1515.5</v>
      </c>
      <c r="C20" s="83">
        <v>0.33</v>
      </c>
      <c r="D20" s="80">
        <f t="shared" si="0"/>
        <v>500.11500000000001</v>
      </c>
      <c r="E20" s="80">
        <v>1</v>
      </c>
      <c r="F20" s="82">
        <f>D20*$B$12*E20</f>
        <v>2750632.5</v>
      </c>
      <c r="G20" s="78">
        <f>-'מ"ר אקו'' נחלה'!D17*C20</f>
        <v>-81510</v>
      </c>
      <c r="H20" s="91">
        <f>SUM(F20:G20)</f>
        <v>2669122.5</v>
      </c>
      <c r="J20" s="211"/>
      <c r="K20" s="78">
        <f>H20/1.17</f>
        <v>2281301.282051282</v>
      </c>
    </row>
    <row r="21" spans="1:11" ht="21" x14ac:dyDescent="0.4">
      <c r="A21" s="1" t="s">
        <v>16</v>
      </c>
      <c r="B21" s="1">
        <v>1</v>
      </c>
      <c r="C21" s="7">
        <v>0.91</v>
      </c>
      <c r="D21" s="1">
        <f t="shared" si="0"/>
        <v>0.91</v>
      </c>
      <c r="E21" s="80">
        <v>1</v>
      </c>
      <c r="F21" s="5">
        <v>1486</v>
      </c>
      <c r="G21" s="9"/>
      <c r="I21" s="6"/>
      <c r="J21" s="6"/>
    </row>
    <row r="22" spans="1:11" ht="21" x14ac:dyDescent="0.4">
      <c r="A22" s="1" t="s">
        <v>17</v>
      </c>
      <c r="B22" s="1">
        <v>0.5</v>
      </c>
      <c r="C22" s="7">
        <v>0.91</v>
      </c>
      <c r="D22" s="1">
        <f t="shared" si="0"/>
        <v>0.45500000000000002</v>
      </c>
      <c r="E22" s="80">
        <v>1</v>
      </c>
      <c r="F22" s="5">
        <f>F21/2</f>
        <v>743</v>
      </c>
      <c r="G22" s="9">
        <f>F22*G33*5%*1.17</f>
        <v>0</v>
      </c>
      <c r="I22" s="78"/>
      <c r="J22" s="78"/>
    </row>
    <row r="23" spans="1:11" ht="21" x14ac:dyDescent="0.4">
      <c r="A23" s="1" t="s">
        <v>18</v>
      </c>
      <c r="B23" s="1">
        <v>0.7</v>
      </c>
      <c r="C23" s="7">
        <v>0.91</v>
      </c>
      <c r="D23" s="1">
        <f t="shared" si="0"/>
        <v>0.63700000000000001</v>
      </c>
      <c r="E23" s="80">
        <v>1</v>
      </c>
      <c r="F23" s="5">
        <f>D23*$B$12*E23</f>
        <v>3503.5</v>
      </c>
      <c r="I23" s="78"/>
      <c r="J23" s="6"/>
    </row>
    <row r="24" spans="1:11" ht="21" x14ac:dyDescent="0.4">
      <c r="A24" s="85" t="s">
        <v>21</v>
      </c>
      <c r="B24" s="85">
        <v>7.4999999999999997E-2</v>
      </c>
      <c r="C24" s="86">
        <v>0.91</v>
      </c>
      <c r="D24" s="85">
        <f t="shared" si="0"/>
        <v>6.8250000000000005E-2</v>
      </c>
      <c r="E24" s="80">
        <v>1</v>
      </c>
      <c r="F24" s="87">
        <f>D24*$B$12*E24</f>
        <v>375.375</v>
      </c>
      <c r="G24" s="9"/>
      <c r="I24" s="6"/>
      <c r="J24" s="9">
        <f>F24*500</f>
        <v>187687.5</v>
      </c>
    </row>
    <row r="25" spans="1:11" ht="21" x14ac:dyDescent="0.4">
      <c r="A25" s="1" t="s">
        <v>105</v>
      </c>
      <c r="B25" s="1">
        <v>1</v>
      </c>
      <c r="C25" s="7">
        <v>0.05</v>
      </c>
      <c r="D25" s="1">
        <f t="shared" si="0"/>
        <v>0.05</v>
      </c>
      <c r="E25" s="80">
        <v>1</v>
      </c>
      <c r="F25" s="5">
        <f>D25*$D$12*E25</f>
        <v>125</v>
      </c>
      <c r="I25" s="9"/>
    </row>
    <row r="26" spans="1:11" ht="21" x14ac:dyDescent="0.4">
      <c r="A26" s="1" t="s">
        <v>65</v>
      </c>
      <c r="B26" s="1">
        <v>0.3</v>
      </c>
      <c r="C26" s="7">
        <v>0.91</v>
      </c>
      <c r="D26" s="1">
        <f>C26*B26</f>
        <v>0.27300000000000002</v>
      </c>
      <c r="E26" s="80">
        <v>1</v>
      </c>
      <c r="F26" s="5">
        <f>D26*$B$12*E26</f>
        <v>1501.5</v>
      </c>
    </row>
    <row r="27" spans="1:11" ht="21" x14ac:dyDescent="0.4">
      <c r="A27" s="85" t="s">
        <v>138</v>
      </c>
      <c r="B27" s="85">
        <v>1</v>
      </c>
      <c r="C27" s="86">
        <v>0.91</v>
      </c>
      <c r="D27" s="85">
        <f>C27*B27</f>
        <v>0.91</v>
      </c>
      <c r="E27" s="80">
        <v>1</v>
      </c>
      <c r="F27" s="87">
        <f>E27*D27*$D$12</f>
        <v>2275</v>
      </c>
      <c r="I27" s="6"/>
    </row>
    <row r="28" spans="1:11" ht="21" x14ac:dyDescent="0.4">
      <c r="A28" s="1" t="s">
        <v>66</v>
      </c>
      <c r="B28" s="1">
        <v>1</v>
      </c>
      <c r="C28" s="7">
        <v>0.05</v>
      </c>
      <c r="D28" s="1">
        <f>C28*B28</f>
        <v>0.05</v>
      </c>
      <c r="E28" s="80">
        <v>1</v>
      </c>
      <c r="F28" s="5">
        <f>D28*E28*B12</f>
        <v>275</v>
      </c>
      <c r="I28" s="9"/>
    </row>
    <row r="29" spans="1:11" x14ac:dyDescent="0.35">
      <c r="C29" s="7"/>
      <c r="F29" s="5"/>
      <c r="J29" s="9"/>
    </row>
    <row r="30" spans="1:11" x14ac:dyDescent="0.35">
      <c r="C30" s="7"/>
      <c r="F30" s="5"/>
      <c r="K30" s="78">
        <f>14157-310-15-191</f>
        <v>13641</v>
      </c>
    </row>
    <row r="31" spans="1:11" x14ac:dyDescent="0.35">
      <c r="A31" s="1" t="s">
        <v>67</v>
      </c>
      <c r="B31" s="88">
        <v>4631</v>
      </c>
      <c r="C31" s="293">
        <f>B31*80</f>
        <v>370480</v>
      </c>
      <c r="D31" s="285">
        <f>B12*50%*5%*15</f>
        <v>2062.5</v>
      </c>
      <c r="E31" s="285"/>
      <c r="F31" s="5"/>
      <c r="I31" s="78">
        <f>B31*53</f>
        <v>245443</v>
      </c>
    </row>
    <row r="32" spans="1:11" ht="40.799999999999997" x14ac:dyDescent="0.35">
      <c r="A32" s="2" t="s">
        <v>6</v>
      </c>
      <c r="B32" s="2" t="str">
        <f>'חישוב גדלי בתים'!B2</f>
        <v>מבנה 1 - בית ראשן גדול</v>
      </c>
      <c r="C32" s="4" t="str">
        <f>'חישוב גדלי בתים'!C2</f>
        <v>מבנה 2 - בית שני קטן</v>
      </c>
      <c r="D32" s="2" t="str">
        <f>'חישוב גדלי בתים'!D2</f>
        <v>מבנה 3 - מחסן</v>
      </c>
      <c r="E32" s="129">
        <f>'חישוב גדלי בתים'!E2</f>
        <v>0</v>
      </c>
      <c r="F32" s="2">
        <f>'חישוב גדלי בתים'!F2</f>
        <v>0</v>
      </c>
      <c r="G32" s="130">
        <f>'חישוב גדלי בתים'!G2</f>
        <v>0</v>
      </c>
      <c r="H32" s="2" t="e">
        <f>'חישוב גדלי בתים'!#REF!</f>
        <v>#REF!</v>
      </c>
      <c r="I32" s="78">
        <f>B31*0.7*32</f>
        <v>103734.39999999999</v>
      </c>
    </row>
    <row r="33" spans="1:12" x14ac:dyDescent="0.35">
      <c r="A33" s="1" t="s">
        <v>27</v>
      </c>
      <c r="B33" s="89">
        <f>'חישוב גדלי בתים'!B5</f>
        <v>197.5</v>
      </c>
      <c r="C33" s="89">
        <f>'חישוב גדלי בתים'!C13</f>
        <v>100</v>
      </c>
      <c r="D33" s="89">
        <f>'חישוב גדלי בתים'!D13</f>
        <v>15.5</v>
      </c>
      <c r="E33" s="89">
        <f>'חישוב גדלי בתים'!E13</f>
        <v>0</v>
      </c>
      <c r="F33" s="89">
        <f>'חישוב גדלי בתים'!F13</f>
        <v>0</v>
      </c>
      <c r="G33" s="89">
        <f>'חישוב גדלי בתים'!G13</f>
        <v>0</v>
      </c>
      <c r="H33" s="89" t="e">
        <f>'חישוב גדלי בתים'!#REF!</f>
        <v>#REF!</v>
      </c>
      <c r="I33" s="90"/>
      <c r="J33" s="89"/>
    </row>
    <row r="34" spans="1:12" x14ac:dyDescent="0.35">
      <c r="A34" s="1" t="s">
        <v>25</v>
      </c>
      <c r="B34" s="1">
        <v>160</v>
      </c>
      <c r="C34" s="90">
        <v>160</v>
      </c>
      <c r="D34" s="90">
        <v>0</v>
      </c>
      <c r="E34" s="90">
        <v>0</v>
      </c>
      <c r="F34" s="1">
        <v>0</v>
      </c>
      <c r="G34" s="1">
        <v>0</v>
      </c>
      <c r="H34" s="1">
        <v>0</v>
      </c>
      <c r="I34" s="6"/>
    </row>
    <row r="35" spans="1:12" x14ac:dyDescent="0.35">
      <c r="A35" s="1" t="s">
        <v>26</v>
      </c>
      <c r="B35" s="89">
        <f>IF(B33-B34&lt;0,0,B33-B34)</f>
        <v>37.5</v>
      </c>
      <c r="C35" s="90">
        <v>0</v>
      </c>
      <c r="D35" s="90">
        <f>D33-D34</f>
        <v>15.5</v>
      </c>
      <c r="E35" s="79">
        <f>E33-E34</f>
        <v>0</v>
      </c>
      <c r="F35" s="79">
        <f>F33-F34</f>
        <v>0</v>
      </c>
      <c r="G35" s="79">
        <f>G33-G34</f>
        <v>0</v>
      </c>
      <c r="H35" s="79" t="e">
        <f>H33-H34</f>
        <v>#REF!</v>
      </c>
      <c r="J35" s="9"/>
    </row>
    <row r="36" spans="1:12" s="80" customFormat="1" ht="21" x14ac:dyDescent="0.4">
      <c r="A36" s="80" t="s">
        <v>6</v>
      </c>
      <c r="B36" s="91">
        <f>B35*F21</f>
        <v>55725</v>
      </c>
      <c r="C36" s="91">
        <f>C35*F21</f>
        <v>0</v>
      </c>
      <c r="D36" s="91">
        <f>D35*F27</f>
        <v>35262.5</v>
      </c>
      <c r="E36" s="91">
        <f>E33*D12*91%*1.17</f>
        <v>0</v>
      </c>
      <c r="F36" s="91">
        <f>F27*F35</f>
        <v>0</v>
      </c>
      <c r="G36" s="91">
        <f>G35*G24</f>
        <v>0</v>
      </c>
      <c r="H36" s="91" t="e">
        <f>H35*H24</f>
        <v>#REF!</v>
      </c>
      <c r="J36" s="92"/>
      <c r="K36" s="127"/>
    </row>
    <row r="37" spans="1:12" ht="21" x14ac:dyDescent="0.4">
      <c r="A37" s="1" t="s">
        <v>68</v>
      </c>
      <c r="B37" s="6"/>
      <c r="C37" s="6"/>
      <c r="D37" s="6"/>
      <c r="E37" s="6"/>
      <c r="F37" s="6"/>
      <c r="G37" s="5"/>
      <c r="I37" s="91">
        <f>107*B12*5%</f>
        <v>29425</v>
      </c>
    </row>
    <row r="38" spans="1:12" x14ac:dyDescent="0.35">
      <c r="B38" s="6"/>
      <c r="C38" s="6"/>
      <c r="D38" s="6"/>
      <c r="E38" s="6"/>
      <c r="F38" s="78"/>
    </row>
    <row r="39" spans="1:12" x14ac:dyDescent="0.35">
      <c r="B39" s="6"/>
      <c r="C39" s="6"/>
      <c r="D39" s="6"/>
      <c r="E39" s="6"/>
      <c r="F39" s="78"/>
    </row>
    <row r="40" spans="1:12" x14ac:dyDescent="0.35">
      <c r="A40" s="2" t="s">
        <v>69</v>
      </c>
      <c r="B40" s="2" t="str">
        <f>'חישוב גדלי בתים'!B2</f>
        <v>מבנה 1 - בית ראשן גדול</v>
      </c>
      <c r="C40" s="2" t="str">
        <f>'חישוב גדלי בתים'!C2</f>
        <v>מבנה 2 - בית שני קטן</v>
      </c>
      <c r="D40" s="2" t="str">
        <f>'חישוב גדלי בתים'!D2</f>
        <v>מבנה 3 - מחסן</v>
      </c>
      <c r="E40" s="2">
        <f>'חישוב גדלי בתים'!E2</f>
        <v>0</v>
      </c>
      <c r="F40" s="2">
        <f>'חישוב גדלי בתים'!F2</f>
        <v>0</v>
      </c>
      <c r="G40" s="2">
        <f>'חישוב גדלי בתים'!G2</f>
        <v>0</v>
      </c>
      <c r="H40" s="2" t="e">
        <f>'חישוב גדלי בתים'!#REF!</f>
        <v>#REF!</v>
      </c>
      <c r="J40" s="6"/>
    </row>
    <row r="41" spans="1:12" x14ac:dyDescent="0.35">
      <c r="A41" s="1" t="s">
        <v>70</v>
      </c>
      <c r="B41" s="78">
        <f t="shared" ref="B41:H41" si="1">B33</f>
        <v>197.5</v>
      </c>
      <c r="C41" s="78">
        <f t="shared" si="1"/>
        <v>100</v>
      </c>
      <c r="D41" s="78">
        <f t="shared" si="1"/>
        <v>15.5</v>
      </c>
      <c r="E41" s="78">
        <f t="shared" si="1"/>
        <v>0</v>
      </c>
      <c r="F41" s="78">
        <f t="shared" si="1"/>
        <v>0</v>
      </c>
      <c r="G41" s="78">
        <f t="shared" si="1"/>
        <v>0</v>
      </c>
      <c r="H41" s="78" t="e">
        <f t="shared" si="1"/>
        <v>#REF!</v>
      </c>
    </row>
    <row r="42" spans="1:12" x14ac:dyDescent="0.35">
      <c r="A42" s="1" t="s">
        <v>25</v>
      </c>
      <c r="B42" s="78">
        <v>0</v>
      </c>
      <c r="C42" s="78">
        <v>0</v>
      </c>
      <c r="D42" s="78">
        <v>0</v>
      </c>
      <c r="E42" s="78">
        <v>0</v>
      </c>
      <c r="F42" s="78">
        <v>0</v>
      </c>
      <c r="G42" s="78">
        <v>0</v>
      </c>
      <c r="H42" s="78">
        <f>H34</f>
        <v>0</v>
      </c>
    </row>
    <row r="43" spans="1:12" x14ac:dyDescent="0.35">
      <c r="A43" s="1" t="s">
        <v>26</v>
      </c>
      <c r="B43" s="78">
        <f>B41-B42</f>
        <v>197.5</v>
      </c>
      <c r="C43" s="78">
        <f>IF(C41-C42&lt;0,0,C41-C42)</f>
        <v>100</v>
      </c>
      <c r="D43" s="78">
        <f>IF(D41-D42&lt;0,0,D41-D42)</f>
        <v>15.5</v>
      </c>
      <c r="E43" s="78">
        <f>E41-E42</f>
        <v>0</v>
      </c>
      <c r="F43" s="78">
        <f>F41-F42</f>
        <v>0</v>
      </c>
      <c r="G43" s="78">
        <f>G41-G42</f>
        <v>0</v>
      </c>
      <c r="H43" s="78" t="e">
        <f>H41-H42</f>
        <v>#REF!</v>
      </c>
    </row>
    <row r="44" spans="1:12" x14ac:dyDescent="0.35">
      <c r="A44" s="1" t="s">
        <v>71</v>
      </c>
      <c r="B44" s="93">
        <v>2</v>
      </c>
      <c r="C44" s="93">
        <v>2</v>
      </c>
      <c r="D44" s="93">
        <v>7</v>
      </c>
      <c r="E44" s="78">
        <v>7</v>
      </c>
      <c r="F44" s="78"/>
    </row>
    <row r="45" spans="1:12" x14ac:dyDescent="0.35">
      <c r="A45" s="1" t="s">
        <v>13</v>
      </c>
      <c r="B45" s="6"/>
      <c r="C45" s="6">
        <f>C54+C53</f>
        <v>53690.476190476191</v>
      </c>
      <c r="D45" s="6">
        <f>D55</f>
        <v>13148.598457457789</v>
      </c>
      <c r="E45" s="6"/>
      <c r="F45" s="78"/>
    </row>
    <row r="46" spans="1:12" x14ac:dyDescent="0.35">
      <c r="B46" s="6"/>
      <c r="C46" s="6"/>
      <c r="D46" s="6"/>
      <c r="E46" s="6"/>
      <c r="F46" s="78"/>
    </row>
    <row r="47" spans="1:12" ht="21" thickBot="1" x14ac:dyDescent="0.4">
      <c r="A47" s="1" t="s">
        <v>72</v>
      </c>
      <c r="B47" s="6">
        <f t="shared" ref="B47:H52" si="2">B48/1.05</f>
        <v>38598.879742692217</v>
      </c>
      <c r="C47" s="6">
        <f t="shared" si="2"/>
        <v>19543.736578578337</v>
      </c>
      <c r="D47" s="100">
        <f t="shared" si="2"/>
        <v>1376.9450771271102</v>
      </c>
      <c r="E47" s="6">
        <f t="shared" si="2"/>
        <v>0</v>
      </c>
      <c r="F47" s="6" t="e">
        <f t="shared" si="2"/>
        <v>#REF!</v>
      </c>
      <c r="G47" s="6">
        <f t="shared" si="2"/>
        <v>0</v>
      </c>
      <c r="H47" s="6" t="e">
        <f t="shared" si="2"/>
        <v>#REF!</v>
      </c>
      <c r="J47" s="9"/>
    </row>
    <row r="48" spans="1:12" x14ac:dyDescent="0.35">
      <c r="A48" s="1" t="s">
        <v>73</v>
      </c>
      <c r="B48" s="6">
        <f t="shared" si="2"/>
        <v>40528.823729826829</v>
      </c>
      <c r="C48" s="6">
        <f t="shared" si="2"/>
        <v>20520.923407507256</v>
      </c>
      <c r="D48" s="100">
        <f t="shared" si="2"/>
        <v>1445.7923309834657</v>
      </c>
      <c r="E48" s="6">
        <f t="shared" si="2"/>
        <v>0</v>
      </c>
      <c r="F48" s="6" t="e">
        <f t="shared" si="2"/>
        <v>#REF!</v>
      </c>
      <c r="G48" s="6">
        <f t="shared" si="2"/>
        <v>0</v>
      </c>
      <c r="H48" s="6" t="e">
        <f t="shared" si="2"/>
        <v>#REF!</v>
      </c>
      <c r="I48" s="233" t="s">
        <v>213</v>
      </c>
      <c r="J48" s="234"/>
      <c r="K48" s="235"/>
      <c r="L48" s="236"/>
    </row>
    <row r="49" spans="1:14" x14ac:dyDescent="0.35">
      <c r="A49" s="1" t="s">
        <v>74</v>
      </c>
      <c r="B49" s="6">
        <f t="shared" si="2"/>
        <v>42555.26491631817</v>
      </c>
      <c r="C49" s="6">
        <f t="shared" si="2"/>
        <v>21546.969577882621</v>
      </c>
      <c r="D49" s="100">
        <f t="shared" si="2"/>
        <v>1518.0819475326391</v>
      </c>
      <c r="E49" s="6">
        <f t="shared" si="2"/>
        <v>0</v>
      </c>
      <c r="F49" s="6" t="e">
        <f>'ניתוח איזור לעסקאות דמה'!#REF!*$F$43*5%</f>
        <v>#REF!</v>
      </c>
      <c r="G49" s="6">
        <f t="shared" si="2"/>
        <v>0</v>
      </c>
      <c r="H49" s="6" t="e">
        <f t="shared" si="2"/>
        <v>#REF!</v>
      </c>
      <c r="I49" s="237" t="s">
        <v>214</v>
      </c>
      <c r="J49" s="6">
        <f>81*B12*5%</f>
        <v>22275</v>
      </c>
      <c r="K49" s="238"/>
      <c r="L49" s="239"/>
    </row>
    <row r="50" spans="1:14" ht="21.6" thickBot="1" x14ac:dyDescent="0.45">
      <c r="A50" s="1" t="s">
        <v>75</v>
      </c>
      <c r="B50" s="6">
        <f t="shared" si="2"/>
        <v>44683.028162134084</v>
      </c>
      <c r="C50" s="6">
        <f t="shared" si="2"/>
        <v>22624.318056776752</v>
      </c>
      <c r="D50" s="100">
        <f t="shared" si="2"/>
        <v>1593.9860449092712</v>
      </c>
      <c r="E50" s="6">
        <f t="shared" si="2"/>
        <v>0</v>
      </c>
      <c r="F50" s="6" t="e">
        <f>'ניתוח איזור לעסקאות דמה'!#REF!*$F$43*5%</f>
        <v>#REF!</v>
      </c>
      <c r="G50" s="6">
        <f t="shared" si="2"/>
        <v>0</v>
      </c>
      <c r="H50" s="6" t="e">
        <f t="shared" si="2"/>
        <v>#REF!</v>
      </c>
      <c r="I50" s="241" t="s">
        <v>160</v>
      </c>
      <c r="J50" s="250">
        <f>14*B12*50%*5%</f>
        <v>1925</v>
      </c>
      <c r="K50" s="248"/>
      <c r="L50" s="242"/>
    </row>
    <row r="51" spans="1:14" x14ac:dyDescent="0.35">
      <c r="A51" s="1" t="s">
        <v>76</v>
      </c>
      <c r="B51" s="6">
        <f t="shared" si="2"/>
        <v>46917.179570240791</v>
      </c>
      <c r="C51" s="6">
        <f t="shared" si="2"/>
        <v>23755.53395961559</v>
      </c>
      <c r="D51" s="100">
        <f t="shared" si="2"/>
        <v>1673.6853471547347</v>
      </c>
      <c r="E51" s="6">
        <f t="shared" si="2"/>
        <v>0</v>
      </c>
      <c r="F51" s="6" t="e">
        <f>'ניתוח איזור לעסקאות דמה'!#REF!*$F$43*5%</f>
        <v>#REF!</v>
      </c>
      <c r="G51" s="6">
        <f t="shared" si="2"/>
        <v>0</v>
      </c>
      <c r="H51" s="6" t="e">
        <f t="shared" si="2"/>
        <v>#REF!</v>
      </c>
      <c r="I51" s="240"/>
      <c r="J51" s="6"/>
      <c r="K51" s="238"/>
      <c r="L51" s="236"/>
      <c r="M51" s="90"/>
    </row>
    <row r="52" spans="1:14" x14ac:dyDescent="0.35">
      <c r="A52" s="1" t="s">
        <v>77</v>
      </c>
      <c r="B52" s="6">
        <f t="shared" si="2"/>
        <v>49263.038548752833</v>
      </c>
      <c r="C52" s="6">
        <f t="shared" si="2"/>
        <v>24943.310657596372</v>
      </c>
      <c r="D52" s="100">
        <f t="shared" si="2"/>
        <v>1757.3696145124716</v>
      </c>
      <c r="E52" s="6">
        <f t="shared" si="2"/>
        <v>0</v>
      </c>
      <c r="F52" s="6" t="e">
        <f>'ניתוח איזור לעסקאות דמה'!#REF!*$F$43*5%</f>
        <v>#REF!</v>
      </c>
      <c r="G52" s="6">
        <f t="shared" si="2"/>
        <v>0</v>
      </c>
      <c r="H52" s="6" t="e">
        <f t="shared" si="2"/>
        <v>#REF!</v>
      </c>
      <c r="I52" s="237"/>
      <c r="J52" s="6"/>
      <c r="K52" s="6"/>
      <c r="L52" s="239"/>
      <c r="M52" s="90"/>
      <c r="N52" s="89"/>
    </row>
    <row r="53" spans="1:14" ht="21.6" thickBot="1" x14ac:dyDescent="0.45">
      <c r="A53" s="1" t="s">
        <v>78</v>
      </c>
      <c r="B53" s="100">
        <f t="shared" ref="B53:H53" si="3">B54/1.05</f>
        <v>51726.190476190473</v>
      </c>
      <c r="C53" s="100">
        <f t="shared" si="3"/>
        <v>26190.476190476191</v>
      </c>
      <c r="D53" s="100">
        <f t="shared" si="3"/>
        <v>1845.2380952380952</v>
      </c>
      <c r="E53" s="6">
        <f t="shared" si="3"/>
        <v>0</v>
      </c>
      <c r="F53" s="6" t="e">
        <f>'ניתוח איזור לעסקאות דמה'!#REF!*$F$43*5%</f>
        <v>#REF!</v>
      </c>
      <c r="G53" s="6">
        <f t="shared" si="3"/>
        <v>0</v>
      </c>
      <c r="H53" s="6" t="e">
        <f t="shared" si="3"/>
        <v>#REF!</v>
      </c>
      <c r="I53" s="241"/>
      <c r="J53" s="249"/>
      <c r="K53" s="248"/>
      <c r="L53" s="242"/>
    </row>
    <row r="54" spans="1:14" x14ac:dyDescent="0.35">
      <c r="A54" s="1" t="s">
        <v>79</v>
      </c>
      <c r="B54" s="100">
        <f>$B$12*5%*B43</f>
        <v>54312.5</v>
      </c>
      <c r="C54" s="100">
        <f>$B$12*5%*C43</f>
        <v>27500</v>
      </c>
      <c r="D54" s="100">
        <f>$D$12*5%*D43</f>
        <v>1937.5</v>
      </c>
      <c r="E54" s="6">
        <f>E43*B12*5%</f>
        <v>0</v>
      </c>
      <c r="F54" s="6" t="e">
        <f>'ניתוח איזור לעסקאות דמה'!#REF!*$F$43*5%</f>
        <v>#REF!</v>
      </c>
      <c r="G54" s="6">
        <f>B12*5%*G43</f>
        <v>0</v>
      </c>
      <c r="H54" s="6" t="e">
        <f>B12*5%*H43</f>
        <v>#REF!</v>
      </c>
      <c r="I54" s="233" t="s">
        <v>193</v>
      </c>
      <c r="J54" s="234"/>
      <c r="K54" s="235"/>
      <c r="L54" s="236"/>
    </row>
    <row r="55" spans="1:14" ht="21" x14ac:dyDescent="0.4">
      <c r="A55" s="94" t="s">
        <v>80</v>
      </c>
      <c r="B55" s="95">
        <f t="shared" ref="B55:H55" si="4">SUM(B47:B54)</f>
        <v>368584.90514615539</v>
      </c>
      <c r="C55" s="95">
        <f t="shared" si="4"/>
        <v>186625.2684284331</v>
      </c>
      <c r="D55" s="96">
        <f t="shared" si="4"/>
        <v>13148.598457457789</v>
      </c>
      <c r="E55" s="96">
        <f t="shared" si="4"/>
        <v>0</v>
      </c>
      <c r="F55" s="96" t="e">
        <f t="shared" si="4"/>
        <v>#REF!</v>
      </c>
      <c r="G55" s="96">
        <f t="shared" si="4"/>
        <v>0</v>
      </c>
      <c r="H55" s="95" t="e">
        <f t="shared" si="4"/>
        <v>#REF!</v>
      </c>
      <c r="I55" s="237" t="s">
        <v>161</v>
      </c>
      <c r="J55" s="6">
        <f>138*B12*5%</f>
        <v>37950</v>
      </c>
      <c r="K55" s="238"/>
      <c r="L55" s="239"/>
    </row>
    <row r="56" spans="1:14" ht="21.6" thickBot="1" x14ac:dyDescent="0.45">
      <c r="A56" s="97" t="s">
        <v>81</v>
      </c>
      <c r="B56" s="98">
        <f t="shared" ref="B56:H56" si="5">SUM(B51:B54)</f>
        <v>202218.9085951841</v>
      </c>
      <c r="C56" s="98">
        <f t="shared" si="5"/>
        <v>102389.32080768814</v>
      </c>
      <c r="D56" s="99">
        <f t="shared" si="5"/>
        <v>7213.7930569053015</v>
      </c>
      <c r="E56" s="99">
        <f t="shared" si="5"/>
        <v>0</v>
      </c>
      <c r="F56" s="99" t="e">
        <f t="shared" si="5"/>
        <v>#REF!</v>
      </c>
      <c r="G56" s="99">
        <f t="shared" si="5"/>
        <v>0</v>
      </c>
      <c r="H56" s="98" t="e">
        <f t="shared" si="5"/>
        <v>#REF!</v>
      </c>
      <c r="I56" s="241" t="s">
        <v>162</v>
      </c>
      <c r="J56" s="250">
        <f>15*B12*50%*5%</f>
        <v>2062.5</v>
      </c>
      <c r="K56" s="248"/>
      <c r="L56" s="242"/>
    </row>
    <row r="57" spans="1:14" ht="21" x14ac:dyDescent="0.4">
      <c r="A57" s="97" t="s">
        <v>88</v>
      </c>
      <c r="B57" s="98">
        <f>SUM(B53:B54)</f>
        <v>106038.69047619047</v>
      </c>
      <c r="C57" s="98">
        <f t="shared" ref="C57:D57" si="6">SUM(C52:C55)</f>
        <v>265259.05527650565</v>
      </c>
      <c r="D57" s="99">
        <f t="shared" si="6"/>
        <v>18688.706167208355</v>
      </c>
      <c r="E57" s="99">
        <f>SUM(E53:E54)</f>
        <v>0</v>
      </c>
      <c r="F57" s="99" t="e">
        <f>SUM(F53:F54)</f>
        <v>#REF!</v>
      </c>
      <c r="G57" s="99">
        <f>SUM(G53:G54)</f>
        <v>0</v>
      </c>
      <c r="H57" s="98" t="e">
        <f>SUM(H53:H54)</f>
        <v>#REF!</v>
      </c>
      <c r="I57" s="240" t="s">
        <v>194</v>
      </c>
      <c r="J57" s="6"/>
      <c r="K57" s="238"/>
      <c r="L57" s="236"/>
    </row>
    <row r="58" spans="1:14" ht="21" thickBot="1" x14ac:dyDescent="0.4">
      <c r="D58" s="9"/>
      <c r="I58" s="237" t="s">
        <v>195</v>
      </c>
      <c r="J58" s="6">
        <f>58*B12*5%</f>
        <v>15950</v>
      </c>
      <c r="K58" s="6"/>
      <c r="L58" s="239"/>
    </row>
    <row r="59" spans="1:14" ht="24.6" thickBot="1" x14ac:dyDescent="0.7">
      <c r="A59" s="1" t="s">
        <v>30</v>
      </c>
      <c r="B59" s="6">
        <f>F15</f>
        <v>166289.0625</v>
      </c>
      <c r="C59" s="10"/>
      <c r="D59" s="181" t="s">
        <v>126</v>
      </c>
      <c r="E59" s="155" t="s">
        <v>124</v>
      </c>
      <c r="F59" s="188">
        <f>B12</f>
        <v>5500</v>
      </c>
      <c r="G59" s="155">
        <v>5653</v>
      </c>
      <c r="H59" s="243">
        <f>F59/G59</f>
        <v>0.97293472492481869</v>
      </c>
      <c r="I59" s="241" t="s">
        <v>160</v>
      </c>
      <c r="J59" s="250">
        <f>42*B12*50%*5%</f>
        <v>5775</v>
      </c>
      <c r="K59" s="248"/>
      <c r="L59" s="242"/>
    </row>
    <row r="60" spans="1:14" x14ac:dyDescent="0.35">
      <c r="A60" s="1" t="s">
        <v>31</v>
      </c>
      <c r="B60" s="6">
        <f>H20</f>
        <v>2669122.5</v>
      </c>
      <c r="D60" s="156" t="s">
        <v>109</v>
      </c>
      <c r="E60" s="182" t="s">
        <v>30</v>
      </c>
      <c r="F60" s="189">
        <f>B59</f>
        <v>166289.0625</v>
      </c>
      <c r="G60" s="183">
        <v>165372</v>
      </c>
      <c r="H60" s="184">
        <f t="shared" ref="H60:H61" si="7">F60/G60</f>
        <v>1.0055454520716929</v>
      </c>
      <c r="I60" s="1" t="s">
        <v>177</v>
      </c>
      <c r="J60" s="78">
        <f>F33*B31</f>
        <v>0</v>
      </c>
    </row>
    <row r="61" spans="1:14" x14ac:dyDescent="0.35">
      <c r="A61" s="1" t="s">
        <v>19</v>
      </c>
      <c r="B61" s="6">
        <f>F24*500</f>
        <v>187687.5</v>
      </c>
      <c r="D61" s="156"/>
      <c r="E61" s="182" t="s">
        <v>112</v>
      </c>
      <c r="F61" s="189">
        <f>H18</f>
        <v>556945.69897959172</v>
      </c>
      <c r="G61" s="183">
        <v>456847</v>
      </c>
      <c r="H61" s="184">
        <f t="shared" si="7"/>
        <v>1.2191077077874906</v>
      </c>
    </row>
    <row r="62" spans="1:14" x14ac:dyDescent="0.35">
      <c r="A62" s="1" t="s">
        <v>32</v>
      </c>
      <c r="B62" s="6">
        <f>H18+H15</f>
        <v>716672.26147959172</v>
      </c>
      <c r="D62" s="156"/>
      <c r="E62" s="157" t="s">
        <v>11</v>
      </c>
      <c r="F62" s="189">
        <f>B66</f>
        <v>202125</v>
      </c>
      <c r="G62" s="183">
        <v>207753</v>
      </c>
      <c r="H62" s="184">
        <f>F62/G62</f>
        <v>0.97291013848175478</v>
      </c>
    </row>
    <row r="63" spans="1:14" ht="21.6" thickBot="1" x14ac:dyDescent="0.45">
      <c r="C63" s="6"/>
      <c r="D63" s="158"/>
      <c r="E63" s="185" t="s">
        <v>13</v>
      </c>
      <c r="F63" s="190">
        <f>SUM(F60:F62)</f>
        <v>925359.76147959172</v>
      </c>
      <c r="G63" s="186">
        <f>SUM(G60:G62)</f>
        <v>829972</v>
      </c>
      <c r="H63" s="187">
        <f>F63/G63</f>
        <v>1.1149288909500461</v>
      </c>
    </row>
    <row r="64" spans="1:14" x14ac:dyDescent="0.35">
      <c r="D64" s="1" t="s">
        <v>127</v>
      </c>
    </row>
    <row r="65" spans="1:8" ht="21" thickBot="1" x14ac:dyDescent="0.4">
      <c r="A65" s="1" t="s">
        <v>8</v>
      </c>
      <c r="B65" s="6">
        <f>H18+H15</f>
        <v>716672.26147959172</v>
      </c>
    </row>
    <row r="66" spans="1:8" x14ac:dyDescent="0.35">
      <c r="A66" s="1" t="s">
        <v>11</v>
      </c>
      <c r="B66" s="6">
        <f>F19</f>
        <v>202125</v>
      </c>
      <c r="D66" s="171" t="s">
        <v>108</v>
      </c>
      <c r="E66" s="172"/>
      <c r="F66" s="173"/>
      <c r="G66" s="172"/>
      <c r="H66" s="173"/>
    </row>
    <row r="67" spans="1:8" x14ac:dyDescent="0.35">
      <c r="A67" s="1" t="s">
        <v>14</v>
      </c>
      <c r="B67" s="5">
        <v>85000</v>
      </c>
      <c r="D67" s="174"/>
      <c r="E67" s="175" t="s">
        <v>31</v>
      </c>
      <c r="F67" s="191">
        <f>H20</f>
        <v>2669122.5</v>
      </c>
      <c r="G67" s="175"/>
      <c r="H67" s="176"/>
    </row>
    <row r="68" spans="1:8" x14ac:dyDescent="0.35">
      <c r="A68" s="1" t="s">
        <v>13</v>
      </c>
      <c r="B68" s="6">
        <f>SUM(B65:B67)</f>
        <v>1003797.2614795917</v>
      </c>
      <c r="D68" s="174"/>
      <c r="E68" s="175" t="s">
        <v>11</v>
      </c>
      <c r="F68" s="191">
        <f>F62*2</f>
        <v>404250</v>
      </c>
      <c r="G68" s="175"/>
      <c r="H68" s="176"/>
    </row>
    <row r="69" spans="1:8" ht="21" thickBot="1" x14ac:dyDescent="0.4">
      <c r="D69" s="177"/>
      <c r="E69" s="178" t="s">
        <v>13</v>
      </c>
      <c r="F69" s="192">
        <f>SUM(F67:F68)</f>
        <v>3073372.5</v>
      </c>
      <c r="G69" s="179"/>
      <c r="H69" s="180"/>
    </row>
    <row r="70" spans="1:8" x14ac:dyDescent="0.35">
      <c r="A70" s="1" t="s">
        <v>9</v>
      </c>
      <c r="B70" s="5">
        <f>B12*B16*1.17</f>
        <v>1576575</v>
      </c>
    </row>
    <row r="71" spans="1:8" ht="21" thickBot="1" x14ac:dyDescent="0.4"/>
    <row r="72" spans="1:8" x14ac:dyDescent="0.35">
      <c r="A72" s="1" t="s">
        <v>15</v>
      </c>
      <c r="B72" s="6">
        <f>B70-B68</f>
        <v>572777.73852040828</v>
      </c>
      <c r="D72" s="159" t="s">
        <v>118</v>
      </c>
      <c r="E72" s="160"/>
      <c r="F72" s="161"/>
      <c r="G72" s="160"/>
      <c r="H72" s="161"/>
    </row>
    <row r="73" spans="1:8" x14ac:dyDescent="0.35">
      <c r="D73" s="162"/>
      <c r="E73" s="163" t="s">
        <v>30</v>
      </c>
      <c r="F73" s="193">
        <f>F60</f>
        <v>166289.0625</v>
      </c>
      <c r="G73" s="164"/>
      <c r="H73" s="165"/>
    </row>
    <row r="74" spans="1:8" x14ac:dyDescent="0.35">
      <c r="A74" s="1" t="s">
        <v>10</v>
      </c>
      <c r="B74" s="5">
        <f>B8*B12*1.17</f>
        <v>8793427.5</v>
      </c>
      <c r="D74" s="162"/>
      <c r="E74" s="164" t="s">
        <v>109</v>
      </c>
      <c r="F74" s="193">
        <f>F61</f>
        <v>556945.69897959172</v>
      </c>
      <c r="G74" s="164"/>
      <c r="H74" s="165"/>
    </row>
    <row r="75" spans="1:8" x14ac:dyDescent="0.35">
      <c r="A75" s="1" t="s">
        <v>33</v>
      </c>
      <c r="B75" s="5">
        <f>B13*B11</f>
        <v>0</v>
      </c>
      <c r="D75" s="162"/>
      <c r="E75" s="164" t="s">
        <v>119</v>
      </c>
      <c r="F75" s="193">
        <f>F74</f>
        <v>556945.69897959172</v>
      </c>
      <c r="G75" s="164"/>
      <c r="H75" s="165"/>
    </row>
    <row r="76" spans="1:8" x14ac:dyDescent="0.35">
      <c r="D76" s="162"/>
      <c r="E76" s="164" t="s">
        <v>11</v>
      </c>
      <c r="F76" s="193">
        <f>F62*2</f>
        <v>404250</v>
      </c>
      <c r="G76" s="164"/>
      <c r="H76" s="165"/>
    </row>
    <row r="77" spans="1:8" ht="40.799999999999997" x14ac:dyDescent="0.35">
      <c r="A77" s="1" t="s">
        <v>23</v>
      </c>
      <c r="B77" s="5">
        <v>5500000</v>
      </c>
      <c r="D77" s="162"/>
      <c r="E77" s="166" t="s">
        <v>120</v>
      </c>
      <c r="F77" s="193">
        <f>(300-60)*3450</f>
        <v>828000</v>
      </c>
      <c r="G77" s="164"/>
      <c r="H77" s="165"/>
    </row>
    <row r="78" spans="1:8" ht="21" thickBot="1" x14ac:dyDescent="0.4">
      <c r="A78" s="1" t="s">
        <v>22</v>
      </c>
      <c r="B78" s="6">
        <f>B77/B8</f>
        <v>4024.8810830589096</v>
      </c>
      <c r="D78" s="167"/>
      <c r="E78" s="168" t="s">
        <v>13</v>
      </c>
      <c r="F78" s="194">
        <f>SUM(F73:F77)</f>
        <v>2512430.4604591834</v>
      </c>
      <c r="G78" s="169"/>
      <c r="H78" s="170"/>
    </row>
    <row r="79" spans="1:8" ht="21" thickBot="1" x14ac:dyDescent="0.4">
      <c r="A79" s="1" t="s">
        <v>24</v>
      </c>
      <c r="B79" s="6">
        <f>B78/1.17</f>
        <v>3440.0693017597519</v>
      </c>
    </row>
    <row r="80" spans="1:8" x14ac:dyDescent="0.35">
      <c r="D80" s="171" t="s">
        <v>69</v>
      </c>
      <c r="E80" s="172"/>
      <c r="F80" s="173"/>
      <c r="G80" s="172"/>
      <c r="H80" s="173"/>
    </row>
    <row r="81" spans="4:8" x14ac:dyDescent="0.35">
      <c r="D81" s="174" t="s">
        <v>121</v>
      </c>
      <c r="E81" s="175" t="s">
        <v>123</v>
      </c>
      <c r="F81" s="195">
        <v>74</v>
      </c>
      <c r="G81" s="175"/>
      <c r="H81" s="176"/>
    </row>
    <row r="82" spans="4:8" x14ac:dyDescent="0.35">
      <c r="D82" s="174"/>
      <c r="E82" s="175" t="s">
        <v>122</v>
      </c>
      <c r="F82" s="196">
        <v>4</v>
      </c>
      <c r="G82" s="175"/>
      <c r="H82" s="176"/>
    </row>
    <row r="83" spans="4:8" x14ac:dyDescent="0.35">
      <c r="D83" s="174"/>
      <c r="E83" s="200" t="s">
        <v>81</v>
      </c>
      <c r="F83" s="201">
        <f>F81*B12*5%*F82</f>
        <v>81400</v>
      </c>
      <c r="G83" s="175"/>
      <c r="H83" s="176"/>
    </row>
    <row r="84" spans="4:8" ht="21" thickBot="1" x14ac:dyDescent="0.4">
      <c r="D84" s="177"/>
      <c r="E84" s="203" t="s">
        <v>125</v>
      </c>
      <c r="F84" s="202">
        <f>F81*B12*5%</f>
        <v>20350</v>
      </c>
      <c r="G84" s="179"/>
      <c r="H84" s="180"/>
    </row>
    <row r="87" spans="4:8" ht="21" thickBot="1" x14ac:dyDescent="0.4"/>
    <row r="88" spans="4:8" x14ac:dyDescent="0.35">
      <c r="D88" s="295" t="s">
        <v>117</v>
      </c>
      <c r="E88" s="148" t="s">
        <v>113</v>
      </c>
      <c r="F88" s="197">
        <f>125000*1.15</f>
        <v>143750</v>
      </c>
      <c r="G88" s="148">
        <v>125000</v>
      </c>
      <c r="H88" s="149">
        <f>F88/G88</f>
        <v>1.1499999999999999</v>
      </c>
    </row>
    <row r="89" spans="4:8" x14ac:dyDescent="0.35">
      <c r="D89" s="296"/>
      <c r="E89" s="150" t="s">
        <v>114</v>
      </c>
      <c r="F89" s="198">
        <f>37000*1.15</f>
        <v>42550</v>
      </c>
      <c r="G89" s="150">
        <v>37333</v>
      </c>
      <c r="H89" s="151">
        <f>F89/G89</f>
        <v>1.1397423191278493</v>
      </c>
    </row>
    <row r="90" spans="4:8" x14ac:dyDescent="0.35">
      <c r="D90" s="296"/>
      <c r="E90" s="150" t="s">
        <v>115</v>
      </c>
      <c r="F90" s="198">
        <v>100000</v>
      </c>
      <c r="G90" s="150">
        <v>100000</v>
      </c>
      <c r="H90" s="151">
        <f>F90/G90</f>
        <v>1</v>
      </c>
    </row>
    <row r="91" spans="4:8" ht="21" thickBot="1" x14ac:dyDescent="0.4">
      <c r="D91" s="297"/>
      <c r="E91" s="152" t="s">
        <v>116</v>
      </c>
      <c r="F91" s="199">
        <f>SUM(F88:F90)</f>
        <v>286300</v>
      </c>
      <c r="G91" s="153">
        <f>SUM(G88:G90)</f>
        <v>262333</v>
      </c>
      <c r="H91" s="154">
        <f>F91/G91</f>
        <v>1.0913609801283102</v>
      </c>
    </row>
  </sheetData>
  <mergeCells count="1">
    <mergeCell ref="D88:D9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M59"/>
  <sheetViews>
    <sheetView rightToLeft="1" topLeftCell="A4" workbookViewId="0">
      <selection activeCell="F24" sqref="F24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</cols>
  <sheetData>
    <row r="1" spans="1:10" ht="14.4" thickBot="1" x14ac:dyDescent="0.3"/>
    <row r="2" spans="1:10" x14ac:dyDescent="0.25">
      <c r="A2" s="11" t="s">
        <v>36</v>
      </c>
      <c r="B2" s="12">
        <v>2000</v>
      </c>
      <c r="C2" s="294" t="s">
        <v>234</v>
      </c>
      <c r="D2" s="14"/>
      <c r="F2" s="11" t="s">
        <v>36</v>
      </c>
      <c r="G2" s="12">
        <v>3000</v>
      </c>
      <c r="H2" s="13"/>
      <c r="I2" s="14"/>
    </row>
    <row r="3" spans="1:10" x14ac:dyDescent="0.25">
      <c r="A3" s="15"/>
      <c r="B3" s="16" t="s">
        <v>37</v>
      </c>
      <c r="C3" s="16" t="s">
        <v>38</v>
      </c>
      <c r="D3" s="17" t="s">
        <v>39</v>
      </c>
      <c r="F3" s="15"/>
      <c r="G3" s="16" t="s">
        <v>37</v>
      </c>
      <c r="H3" s="16" t="s">
        <v>38</v>
      </c>
      <c r="I3" s="17" t="s">
        <v>39</v>
      </c>
    </row>
    <row r="4" spans="1:10" x14ac:dyDescent="0.25">
      <c r="A4" s="19" t="s">
        <v>89</v>
      </c>
      <c r="B4" s="20">
        <v>655</v>
      </c>
      <c r="C4" s="21">
        <v>1</v>
      </c>
      <c r="D4" s="22">
        <f>C4*B4</f>
        <v>655</v>
      </c>
      <c r="F4" s="19" t="str">
        <f t="shared" ref="F4:H9" si="0">A4</f>
        <v>עיקרי</v>
      </c>
      <c r="G4" s="20">
        <f t="shared" si="0"/>
        <v>655</v>
      </c>
      <c r="H4" s="21">
        <f t="shared" si="0"/>
        <v>1</v>
      </c>
      <c r="I4" s="22">
        <f>H4*G4</f>
        <v>655</v>
      </c>
    </row>
    <row r="5" spans="1:10" x14ac:dyDescent="0.25">
      <c r="A5" s="19" t="s">
        <v>40</v>
      </c>
      <c r="B5" s="20">
        <v>45</v>
      </c>
      <c r="C5" s="21">
        <v>0.9</v>
      </c>
      <c r="D5" s="22">
        <f t="shared" ref="D5:D9" si="1">C5*B5</f>
        <v>40.5</v>
      </c>
      <c r="F5" s="19" t="str">
        <f t="shared" si="0"/>
        <v>מרחבים מוגנים</v>
      </c>
      <c r="G5" s="20">
        <f t="shared" si="0"/>
        <v>45</v>
      </c>
      <c r="H5" s="21">
        <f t="shared" si="0"/>
        <v>0.9</v>
      </c>
      <c r="I5" s="22">
        <f>H5*G5</f>
        <v>40.5</v>
      </c>
    </row>
    <row r="6" spans="1:10" x14ac:dyDescent="0.25">
      <c r="A6" s="19" t="s">
        <v>155</v>
      </c>
      <c r="B6" s="20">
        <f>162-B5</f>
        <v>117</v>
      </c>
      <c r="C6" s="21">
        <v>0.5</v>
      </c>
      <c r="D6" s="22">
        <f t="shared" si="1"/>
        <v>58.5</v>
      </c>
      <c r="F6" s="19" t="str">
        <f t="shared" si="0"/>
        <v>יתרת ש"ש</v>
      </c>
      <c r="G6" s="20">
        <f t="shared" si="0"/>
        <v>117</v>
      </c>
      <c r="H6" s="21">
        <f t="shared" si="0"/>
        <v>0.5</v>
      </c>
      <c r="I6" s="22">
        <f t="shared" ref="I6:I9" si="2">H6*G6</f>
        <v>58.5</v>
      </c>
    </row>
    <row r="7" spans="1:10" x14ac:dyDescent="0.25">
      <c r="A7" s="19" t="s">
        <v>233</v>
      </c>
      <c r="B7" s="20">
        <v>420</v>
      </c>
      <c r="C7" s="21">
        <v>0.7</v>
      </c>
      <c r="D7" s="22">
        <f t="shared" si="1"/>
        <v>294</v>
      </c>
      <c r="F7" s="19"/>
      <c r="G7" s="20"/>
      <c r="H7" s="21"/>
      <c r="I7" s="22"/>
    </row>
    <row r="8" spans="1:10" x14ac:dyDescent="0.25">
      <c r="A8" s="19" t="s">
        <v>156</v>
      </c>
      <c r="B8" s="20">
        <v>70</v>
      </c>
      <c r="C8" s="21">
        <v>0.35</v>
      </c>
      <c r="D8" s="22">
        <f t="shared" si="1"/>
        <v>24.5</v>
      </c>
      <c r="F8" s="19" t="str">
        <f t="shared" si="0"/>
        <v>בריכת שחייה</v>
      </c>
      <c r="G8" s="20">
        <f t="shared" si="0"/>
        <v>70</v>
      </c>
      <c r="H8" s="21">
        <f t="shared" si="0"/>
        <v>0.35</v>
      </c>
      <c r="I8" s="22">
        <f t="shared" si="2"/>
        <v>24.5</v>
      </c>
    </row>
    <row r="9" spans="1:10" x14ac:dyDescent="0.25">
      <c r="A9" s="19" t="s">
        <v>43</v>
      </c>
      <c r="B9" s="20"/>
      <c r="C9" s="21">
        <v>0.5</v>
      </c>
      <c r="D9" s="22">
        <f t="shared" si="1"/>
        <v>0</v>
      </c>
      <c r="F9" s="19" t="str">
        <f t="shared" si="0"/>
        <v>מבנה עזר - יתרת שטח</v>
      </c>
      <c r="G9" s="20">
        <f t="shared" si="0"/>
        <v>0</v>
      </c>
      <c r="H9" s="21">
        <f t="shared" si="0"/>
        <v>0.5</v>
      </c>
      <c r="I9" s="22">
        <f t="shared" si="2"/>
        <v>0</v>
      </c>
    </row>
    <row r="10" spans="1:10" x14ac:dyDescent="0.25">
      <c r="A10" s="23" t="s">
        <v>44</v>
      </c>
      <c r="B10" s="24">
        <f>SUM(B4:B9)</f>
        <v>1307</v>
      </c>
      <c r="C10" s="25"/>
      <c r="D10" s="26"/>
      <c r="E10" s="102"/>
      <c r="F10" s="23" t="s">
        <v>44</v>
      </c>
      <c r="G10" s="24">
        <f>SUM(G4:G9)</f>
        <v>887</v>
      </c>
      <c r="H10" s="25"/>
      <c r="I10" s="26"/>
    </row>
    <row r="11" spans="1:10" x14ac:dyDescent="0.25">
      <c r="A11" s="27" t="s">
        <v>45</v>
      </c>
      <c r="B11" s="28">
        <f>B2*61%</f>
        <v>1220</v>
      </c>
      <c r="C11" s="29"/>
      <c r="D11" s="30"/>
      <c r="F11" s="27" t="s">
        <v>45</v>
      </c>
      <c r="G11" s="28">
        <f>G2-G10</f>
        <v>2113</v>
      </c>
      <c r="H11" s="29"/>
      <c r="I11" s="30"/>
    </row>
    <row r="12" spans="1:10" x14ac:dyDescent="0.25">
      <c r="A12" s="23" t="s">
        <v>46</v>
      </c>
      <c r="B12" s="24">
        <v>1000</v>
      </c>
      <c r="C12" s="25">
        <v>0.25</v>
      </c>
      <c r="D12" s="26">
        <f>C12*B12</f>
        <v>250</v>
      </c>
      <c r="F12" s="23" t="s">
        <v>46</v>
      </c>
      <c r="G12" s="24">
        <f>B12</f>
        <v>1000</v>
      </c>
      <c r="H12" s="25">
        <v>0.25</v>
      </c>
      <c r="I12" s="26">
        <f>H12*G12</f>
        <v>250</v>
      </c>
    </row>
    <row r="13" spans="1:10" x14ac:dyDescent="0.25">
      <c r="A13" s="19" t="s">
        <v>47</v>
      </c>
      <c r="B13" s="20">
        <v>220</v>
      </c>
      <c r="C13" s="21">
        <v>0.2</v>
      </c>
      <c r="D13" s="22">
        <f t="shared" ref="D13" si="3">C13*B13</f>
        <v>44</v>
      </c>
      <c r="F13" s="19" t="s">
        <v>47</v>
      </c>
      <c r="G13" s="20">
        <f>B13</f>
        <v>220</v>
      </c>
      <c r="H13" s="21">
        <v>0.2</v>
      </c>
      <c r="I13" s="22">
        <f t="shared" ref="I13" si="4">H13*G13</f>
        <v>44</v>
      </c>
    </row>
    <row r="14" spans="1:10" x14ac:dyDescent="0.25">
      <c r="A14" s="19"/>
      <c r="B14" s="20"/>
      <c r="C14" s="21"/>
      <c r="D14" s="22"/>
      <c r="F14" s="19" t="s">
        <v>106</v>
      </c>
      <c r="G14" s="20">
        <v>500</v>
      </c>
      <c r="H14" s="21">
        <v>0.1</v>
      </c>
      <c r="I14" s="22">
        <f>G14*H14</f>
        <v>50</v>
      </c>
    </row>
    <row r="15" spans="1:10" x14ac:dyDescent="0.25">
      <c r="A15" s="31" t="s">
        <v>48</v>
      </c>
      <c r="B15" s="32">
        <f>SUM(B4:B13)</f>
        <v>5054</v>
      </c>
      <c r="C15" s="33"/>
      <c r="D15" s="34">
        <f>SUM(D4:D13)</f>
        <v>1366.5</v>
      </c>
      <c r="F15" s="31" t="s">
        <v>48</v>
      </c>
      <c r="G15" s="32">
        <f>SUM(G4:G13)</f>
        <v>5107</v>
      </c>
      <c r="H15" s="33"/>
      <c r="I15" s="34">
        <f>SUM(I4:I14)</f>
        <v>1122.5</v>
      </c>
      <c r="J15" s="77"/>
    </row>
    <row r="16" spans="1:10" ht="14.4" thickBot="1" x14ac:dyDescent="0.3">
      <c r="A16" s="35" t="s">
        <v>49</v>
      </c>
      <c r="B16" s="36"/>
      <c r="C16" s="37"/>
      <c r="D16" s="38">
        <f>D15</f>
        <v>1366.5</v>
      </c>
      <c r="E16" s="73"/>
      <c r="F16" s="35" t="s">
        <v>49</v>
      </c>
      <c r="G16" s="36"/>
      <c r="H16" s="37"/>
      <c r="I16" s="38">
        <f>I15</f>
        <v>1122.5</v>
      </c>
    </row>
    <row r="17" spans="1:9" x14ac:dyDescent="0.25">
      <c r="A17" t="s">
        <v>100</v>
      </c>
      <c r="D17" s="18">
        <v>247000</v>
      </c>
      <c r="F17" t="s">
        <v>100</v>
      </c>
      <c r="I17" s="18">
        <v>263000</v>
      </c>
    </row>
    <row r="18" spans="1:9" ht="14.4" thickBot="1" x14ac:dyDescent="0.3">
      <c r="D18" s="18"/>
      <c r="I18" s="18"/>
    </row>
    <row r="19" spans="1:9" x14ac:dyDescent="0.25">
      <c r="A19" s="11" t="s">
        <v>103</v>
      </c>
      <c r="B19" s="12">
        <v>2500</v>
      </c>
      <c r="C19" s="13" t="s">
        <v>157</v>
      </c>
      <c r="D19" s="14"/>
      <c r="I19" s="18"/>
    </row>
    <row r="20" spans="1:9" x14ac:dyDescent="0.25">
      <c r="A20" s="15"/>
      <c r="B20" s="16" t="s">
        <v>37</v>
      </c>
      <c r="C20" s="16" t="s">
        <v>38</v>
      </c>
      <c r="D20" s="17" t="s">
        <v>39</v>
      </c>
      <c r="I20" s="18"/>
    </row>
    <row r="21" spans="1:9" x14ac:dyDescent="0.25">
      <c r="A21" s="19" t="s">
        <v>89</v>
      </c>
      <c r="B21" s="20">
        <v>85</v>
      </c>
      <c r="C21" s="21">
        <v>1</v>
      </c>
      <c r="D21" s="22">
        <f>C21*B21</f>
        <v>85</v>
      </c>
      <c r="I21" s="18"/>
    </row>
    <row r="22" spans="1:9" x14ac:dyDescent="0.25">
      <c r="A22" s="19" t="s">
        <v>102</v>
      </c>
      <c r="B22" s="20">
        <v>12</v>
      </c>
      <c r="C22" s="21">
        <v>0.9</v>
      </c>
      <c r="D22" s="22">
        <f>C22*B22</f>
        <v>10.8</v>
      </c>
      <c r="I22" s="18"/>
    </row>
    <row r="23" spans="1:9" x14ac:dyDescent="0.25">
      <c r="A23" s="19" t="s">
        <v>158</v>
      </c>
      <c r="B23" s="20">
        <v>47.5</v>
      </c>
      <c r="C23" s="21">
        <v>0.5</v>
      </c>
      <c r="D23" s="22">
        <f t="shared" ref="D23" si="5">C23*B23</f>
        <v>23.75</v>
      </c>
      <c r="I23" s="18"/>
    </row>
    <row r="24" spans="1:9" x14ac:dyDescent="0.25">
      <c r="A24" s="19" t="s">
        <v>159</v>
      </c>
      <c r="B24" s="20">
        <v>180</v>
      </c>
      <c r="C24" s="21">
        <v>0.3</v>
      </c>
      <c r="D24" s="22">
        <f t="shared" ref="D24" si="6">C24*B24</f>
        <v>54</v>
      </c>
      <c r="I24" s="18"/>
    </row>
    <row r="25" spans="1:9" x14ac:dyDescent="0.25">
      <c r="A25" s="19"/>
      <c r="B25" s="20"/>
      <c r="C25" s="21"/>
      <c r="D25" s="22"/>
      <c r="I25" s="18"/>
    </row>
    <row r="26" spans="1:9" x14ac:dyDescent="0.25">
      <c r="A26" s="19"/>
      <c r="B26" s="20"/>
      <c r="C26" s="21"/>
      <c r="D26" s="22"/>
      <c r="H26">
        <f>876+73</f>
        <v>949</v>
      </c>
      <c r="I26" s="18"/>
    </row>
    <row r="27" spans="1:9" x14ac:dyDescent="0.25">
      <c r="A27" s="23" t="s">
        <v>104</v>
      </c>
      <c r="B27" s="24">
        <v>-145</v>
      </c>
      <c r="C27" s="25">
        <v>0.2</v>
      </c>
      <c r="D27" s="26">
        <f>B27*C27</f>
        <v>-29</v>
      </c>
      <c r="H27">
        <f>H26+137</f>
        <v>1086</v>
      </c>
      <c r="I27" s="18"/>
    </row>
    <row r="28" spans="1:9" x14ac:dyDescent="0.25">
      <c r="A28" s="19"/>
      <c r="B28" s="20"/>
      <c r="C28" s="21"/>
      <c r="D28" s="22"/>
      <c r="I28" s="18"/>
    </row>
    <row r="29" spans="1:9" x14ac:dyDescent="0.25">
      <c r="A29" s="31" t="s">
        <v>141</v>
      </c>
      <c r="B29" s="32"/>
      <c r="C29" s="33"/>
      <c r="D29" s="34"/>
      <c r="I29" s="18"/>
    </row>
    <row r="30" spans="1:9" ht="14.4" thickBot="1" x14ac:dyDescent="0.3">
      <c r="A30" s="35" t="s">
        <v>49</v>
      </c>
      <c r="B30" s="36"/>
      <c r="C30" s="37"/>
      <c r="D30" s="38">
        <v>149</v>
      </c>
      <c r="I30" s="18"/>
    </row>
    <row r="31" spans="1:9" x14ac:dyDescent="0.25">
      <c r="D31" s="18"/>
      <c r="I31" s="18"/>
    </row>
    <row r="32" spans="1:9" x14ac:dyDescent="0.25">
      <c r="D32" s="18"/>
      <c r="I32" s="18"/>
    </row>
    <row r="33" spans="1:13" x14ac:dyDescent="0.25">
      <c r="D33" s="18"/>
      <c r="I33" s="18"/>
    </row>
    <row r="34" spans="1:13" ht="14.4" thickBot="1" x14ac:dyDescent="0.3">
      <c r="A34" s="40" t="s">
        <v>83</v>
      </c>
    </row>
    <row r="35" spans="1:13" x14ac:dyDescent="0.25">
      <c r="A35" s="11" t="s">
        <v>84</v>
      </c>
      <c r="B35" s="110">
        <v>500</v>
      </c>
      <c r="C35" s="13" t="s">
        <v>110</v>
      </c>
      <c r="D35" s="14"/>
      <c r="F35" s="11" t="s">
        <v>93</v>
      </c>
      <c r="G35" s="13"/>
      <c r="H35" s="13"/>
      <c r="I35" s="14"/>
      <c r="J35" t="s">
        <v>96</v>
      </c>
    </row>
    <row r="36" spans="1:13" x14ac:dyDescent="0.25">
      <c r="A36" s="23" t="s">
        <v>85</v>
      </c>
      <c r="B36" s="41">
        <v>220</v>
      </c>
      <c r="C36" s="25">
        <v>1</v>
      </c>
      <c r="D36" s="26">
        <f t="shared" ref="D36:D41" si="7">B36*C36</f>
        <v>220</v>
      </c>
      <c r="F36" s="19" t="str">
        <f>A36</f>
        <v>מגורים עיקרי בהרחבה</v>
      </c>
      <c r="G36">
        <v>160</v>
      </c>
      <c r="H36">
        <v>1</v>
      </c>
      <c r="I36" s="22">
        <f>G36*H36</f>
        <v>160</v>
      </c>
      <c r="J36" s="18"/>
      <c r="K36" s="18"/>
    </row>
    <row r="37" spans="1:13" x14ac:dyDescent="0.25">
      <c r="A37" s="19" t="s">
        <v>90</v>
      </c>
      <c r="B37" s="20">
        <v>70</v>
      </c>
      <c r="C37" s="21">
        <v>0.7</v>
      </c>
      <c r="D37" s="22">
        <f t="shared" si="7"/>
        <v>49</v>
      </c>
      <c r="F37" s="19" t="s">
        <v>86</v>
      </c>
      <c r="G37">
        <f>500-G36</f>
        <v>340</v>
      </c>
      <c r="H37">
        <v>0.25</v>
      </c>
      <c r="I37" s="22">
        <f>G37*H37</f>
        <v>85</v>
      </c>
      <c r="J37" s="18"/>
      <c r="K37" s="18"/>
    </row>
    <row r="38" spans="1:13" x14ac:dyDescent="0.25">
      <c r="A38" s="19" t="s">
        <v>40</v>
      </c>
      <c r="B38" s="20">
        <v>12</v>
      </c>
      <c r="C38" s="21">
        <v>0.9</v>
      </c>
      <c r="D38" s="22">
        <f t="shared" si="7"/>
        <v>10.8</v>
      </c>
      <c r="F38" s="44" t="s">
        <v>94</v>
      </c>
      <c r="G38" s="119"/>
      <c r="H38" s="119"/>
      <c r="I38" s="120">
        <f>I36+I37</f>
        <v>245</v>
      </c>
      <c r="J38" s="18">
        <f>'תחשיב לפי שווי שומה (2)'!B12</f>
        <v>5500</v>
      </c>
      <c r="K38" s="18">
        <f>I38*J38</f>
        <v>1347500</v>
      </c>
      <c r="L38" s="121">
        <v>0.29249999999999998</v>
      </c>
      <c r="M38" s="102">
        <f>K38*L38</f>
        <v>394143.75</v>
      </c>
    </row>
    <row r="39" spans="1:13" ht="14.4" thickBot="1" x14ac:dyDescent="0.3">
      <c r="A39" s="19" t="s">
        <v>41</v>
      </c>
      <c r="B39" s="20"/>
      <c r="C39" s="21">
        <v>0.5</v>
      </c>
      <c r="D39" s="22">
        <f t="shared" si="7"/>
        <v>0</v>
      </c>
      <c r="F39" s="112" t="s">
        <v>95</v>
      </c>
      <c r="G39" s="114"/>
      <c r="H39" s="114"/>
      <c r="I39" s="115">
        <f>D45-I38</f>
        <v>109.30000000000001</v>
      </c>
      <c r="J39" s="18">
        <f>J38</f>
        <v>5500</v>
      </c>
      <c r="K39" s="18">
        <f>I39*J39</f>
        <v>601150.00000000012</v>
      </c>
      <c r="L39" s="121">
        <v>0.33</v>
      </c>
      <c r="M39" s="102">
        <f>K39*L39</f>
        <v>198379.50000000006</v>
      </c>
    </row>
    <row r="40" spans="1:13" x14ac:dyDescent="0.25">
      <c r="A40" s="19" t="s">
        <v>42</v>
      </c>
      <c r="B40" s="20"/>
      <c r="C40" s="21">
        <v>0.3</v>
      </c>
      <c r="D40" s="22">
        <f t="shared" si="7"/>
        <v>0</v>
      </c>
      <c r="M40" s="102">
        <f>SUM(M38:M39)</f>
        <v>592523.25</v>
      </c>
    </row>
    <row r="41" spans="1:13" x14ac:dyDescent="0.25">
      <c r="A41" s="111" t="s">
        <v>43</v>
      </c>
      <c r="B41" s="72">
        <v>30</v>
      </c>
      <c r="C41" s="29">
        <v>0.5</v>
      </c>
      <c r="D41" s="30">
        <f t="shared" si="7"/>
        <v>15</v>
      </c>
    </row>
    <row r="42" spans="1:13" x14ac:dyDescent="0.25">
      <c r="A42" s="23" t="s">
        <v>44</v>
      </c>
      <c r="B42" s="24">
        <f>SUM(B36:B41)-B37</f>
        <v>262</v>
      </c>
      <c r="C42" s="25"/>
      <c r="D42" s="26"/>
    </row>
    <row r="43" spans="1:13" x14ac:dyDescent="0.25">
      <c r="A43" s="19" t="s">
        <v>45</v>
      </c>
      <c r="B43" s="20">
        <f>B35-B42</f>
        <v>238</v>
      </c>
      <c r="C43" s="21"/>
      <c r="D43" s="22"/>
    </row>
    <row r="44" spans="1:13" x14ac:dyDescent="0.25">
      <c r="A44" s="27" t="s">
        <v>46</v>
      </c>
      <c r="B44" s="116">
        <f>B43</f>
        <v>238</v>
      </c>
      <c r="C44" s="117">
        <v>0.25</v>
      </c>
      <c r="D44" s="118">
        <f>B44*C44</f>
        <v>59.5</v>
      </c>
    </row>
    <row r="45" spans="1:13" ht="14.4" thickBot="1" x14ac:dyDescent="0.3">
      <c r="A45" s="112" t="s">
        <v>48</v>
      </c>
      <c r="B45" s="113"/>
      <c r="C45" s="114"/>
      <c r="D45" s="115">
        <f>SUM(D36:D44)</f>
        <v>354.3</v>
      </c>
    </row>
    <row r="46" spans="1:13" x14ac:dyDescent="0.25">
      <c r="A46" s="19" t="s">
        <v>111</v>
      </c>
      <c r="B46" s="20"/>
      <c r="D46" s="102">
        <v>100000</v>
      </c>
    </row>
    <row r="48" spans="1:13" ht="14.4" thickBot="1" x14ac:dyDescent="0.3">
      <c r="A48" t="s">
        <v>154</v>
      </c>
      <c r="B48">
        <v>2500</v>
      </c>
      <c r="F48" t="str">
        <f>A48</f>
        <v>לפי שומת הררי 2021</v>
      </c>
      <c r="G48">
        <v>3000</v>
      </c>
    </row>
    <row r="49" spans="1:9" x14ac:dyDescent="0.25">
      <c r="A49" s="11" t="s">
        <v>30</v>
      </c>
      <c r="B49" s="42" t="s">
        <v>37</v>
      </c>
      <c r="C49" s="42" t="s">
        <v>38</v>
      </c>
      <c r="D49" s="43" t="s">
        <v>39</v>
      </c>
      <c r="F49" s="11" t="s">
        <v>30</v>
      </c>
      <c r="G49" s="42" t="s">
        <v>37</v>
      </c>
      <c r="H49" s="42" t="s">
        <v>38</v>
      </c>
      <c r="I49" s="43" t="s">
        <v>39</v>
      </c>
    </row>
    <row r="50" spans="1:9" x14ac:dyDescent="0.25">
      <c r="A50" s="19" t="s">
        <v>28</v>
      </c>
      <c r="B50">
        <v>160</v>
      </c>
      <c r="C50">
        <v>1</v>
      </c>
      <c r="D50" s="22">
        <f t="shared" ref="D50:D55" si="8">C50*B50</f>
        <v>160</v>
      </c>
      <c r="F50" s="19" t="s">
        <v>28</v>
      </c>
      <c r="G50">
        <v>160</v>
      </c>
      <c r="H50">
        <v>1</v>
      </c>
      <c r="I50" s="22">
        <f t="shared" ref="I50:I52" si="9">H50*G50</f>
        <v>160</v>
      </c>
    </row>
    <row r="51" spans="1:9" x14ac:dyDescent="0.25">
      <c r="A51" s="19" t="s">
        <v>29</v>
      </c>
      <c r="B51">
        <v>160</v>
      </c>
      <c r="C51">
        <v>1</v>
      </c>
      <c r="D51" s="22">
        <f t="shared" si="8"/>
        <v>160</v>
      </c>
      <c r="F51" s="19" t="s">
        <v>29</v>
      </c>
      <c r="G51">
        <v>160</v>
      </c>
      <c r="H51">
        <v>1</v>
      </c>
      <c r="I51" s="22">
        <f t="shared" si="9"/>
        <v>160</v>
      </c>
    </row>
    <row r="52" spans="1:9" x14ac:dyDescent="0.25">
      <c r="A52" s="19" t="s">
        <v>50</v>
      </c>
      <c r="B52">
        <v>55</v>
      </c>
      <c r="C52">
        <v>1</v>
      </c>
      <c r="D52" s="22">
        <f t="shared" si="8"/>
        <v>55</v>
      </c>
      <c r="F52" s="19" t="s">
        <v>50</v>
      </c>
      <c r="G52">
        <v>55</v>
      </c>
      <c r="H52">
        <v>1</v>
      </c>
      <c r="I52" s="22">
        <f t="shared" si="9"/>
        <v>55</v>
      </c>
    </row>
    <row r="53" spans="1:9" x14ac:dyDescent="0.25">
      <c r="A53" s="19" t="s">
        <v>44</v>
      </c>
      <c r="B53" s="41">
        <f>SUM(B50:B52)</f>
        <v>375</v>
      </c>
      <c r="D53" s="22"/>
      <c r="F53" s="19" t="s">
        <v>44</v>
      </c>
      <c r="G53" s="41">
        <f>SUM(G50:G52)</f>
        <v>375</v>
      </c>
      <c r="I53" s="22"/>
    </row>
    <row r="54" spans="1:9" x14ac:dyDescent="0.25">
      <c r="A54" s="19" t="s">
        <v>51</v>
      </c>
      <c r="B54">
        <v>1125</v>
      </c>
      <c r="C54" s="21">
        <v>0.25</v>
      </c>
      <c r="D54" s="22">
        <f t="shared" si="8"/>
        <v>281.25</v>
      </c>
      <c r="F54" s="19" t="s">
        <v>51</v>
      </c>
      <c r="G54">
        <v>1125</v>
      </c>
      <c r="H54" s="21">
        <v>0.25</v>
      </c>
      <c r="I54" s="22">
        <f t="shared" ref="I54:I55" si="10">H54*G54</f>
        <v>281.25</v>
      </c>
    </row>
    <row r="55" spans="1:9" x14ac:dyDescent="0.25">
      <c r="A55" s="19" t="s">
        <v>87</v>
      </c>
      <c r="B55">
        <f>B48-B53-B54</f>
        <v>1000</v>
      </c>
      <c r="C55" s="21">
        <v>0.15</v>
      </c>
      <c r="D55" s="22">
        <f t="shared" si="8"/>
        <v>150</v>
      </c>
      <c r="F55" s="19" t="s">
        <v>87</v>
      </c>
      <c r="G55">
        <v>1000</v>
      </c>
      <c r="H55" s="21">
        <v>0.15</v>
      </c>
      <c r="I55" s="22">
        <f t="shared" si="10"/>
        <v>150</v>
      </c>
    </row>
    <row r="56" spans="1:9" x14ac:dyDescent="0.25">
      <c r="A56" s="19"/>
      <c r="C56" s="21"/>
      <c r="D56" s="22"/>
      <c r="F56" s="19" t="s">
        <v>107</v>
      </c>
      <c r="G56">
        <v>500</v>
      </c>
      <c r="H56" s="21">
        <v>0.1</v>
      </c>
      <c r="I56" s="146">
        <f>G56*H56</f>
        <v>50</v>
      </c>
    </row>
    <row r="57" spans="1:9" x14ac:dyDescent="0.25">
      <c r="A57" s="44" t="s">
        <v>48</v>
      </c>
      <c r="B57" s="41">
        <f>SUM(B50:B55)</f>
        <v>2875</v>
      </c>
      <c r="C57" s="41"/>
      <c r="D57" s="45">
        <f>SUM(D50:D55)</f>
        <v>806.25</v>
      </c>
      <c r="F57" s="44" t="s">
        <v>48</v>
      </c>
      <c r="G57" s="41">
        <f>SUM(G50:G56)</f>
        <v>3375</v>
      </c>
      <c r="H57" s="41"/>
      <c r="I57" s="45">
        <f>SUM(I50:I56)</f>
        <v>856.25</v>
      </c>
    </row>
    <row r="58" spans="1:9" ht="14.4" thickBot="1" x14ac:dyDescent="0.3">
      <c r="A58" s="35" t="s">
        <v>49</v>
      </c>
      <c r="B58" s="46"/>
      <c r="C58" s="46"/>
      <c r="D58" s="47">
        <f>D57</f>
        <v>806.25</v>
      </c>
      <c r="E58" s="73"/>
      <c r="F58" s="35" t="s">
        <v>49</v>
      </c>
      <c r="G58" s="46"/>
      <c r="H58" s="46"/>
      <c r="I58" s="47">
        <f>I57</f>
        <v>856.25</v>
      </c>
    </row>
    <row r="59" spans="1:9" x14ac:dyDescent="0.25">
      <c r="A59" t="s">
        <v>100</v>
      </c>
      <c r="D59" s="18">
        <v>175000</v>
      </c>
      <c r="F59" t="s">
        <v>100</v>
      </c>
      <c r="I59" s="18">
        <v>190000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1:M33"/>
  <sheetViews>
    <sheetView rightToLeft="1" topLeftCell="A3" zoomScale="145" zoomScaleNormal="145" workbookViewId="0">
      <selection activeCell="I11" sqref="I11"/>
    </sheetView>
  </sheetViews>
  <sheetFormatPr defaultRowHeight="13.8" x14ac:dyDescent="0.25"/>
  <cols>
    <col min="1" max="1" width="5.296875" customWidth="1"/>
    <col min="2" max="2" width="12.5" customWidth="1"/>
    <col min="3" max="3" width="8.69921875" bestFit="1" customWidth="1"/>
    <col min="4" max="4" width="10.296875" style="18" customWidth="1"/>
    <col min="5" max="5" width="10.796875" style="18" bestFit="1" customWidth="1"/>
    <col min="6" max="6" width="8.296875" style="18" bestFit="1" customWidth="1"/>
    <col min="7" max="7" width="8.8984375" bestFit="1" customWidth="1"/>
    <col min="8" max="8" width="12.8984375" bestFit="1" customWidth="1"/>
    <col min="9" max="9" width="12.69921875" bestFit="1" customWidth="1"/>
    <col min="10" max="10" width="14.19921875" bestFit="1" customWidth="1"/>
    <col min="11" max="11" width="12.8984375" bestFit="1" customWidth="1"/>
    <col min="12" max="12" width="9.69921875" bestFit="1" customWidth="1"/>
    <col min="13" max="13" width="22.3984375" bestFit="1" customWidth="1"/>
  </cols>
  <sheetData>
    <row r="1" spans="2:13" x14ac:dyDescent="0.25">
      <c r="H1" s="102"/>
    </row>
    <row r="2" spans="2:13" ht="15.6" x14ac:dyDescent="0.4">
      <c r="B2" s="40" t="s">
        <v>218</v>
      </c>
      <c r="C2" s="40"/>
      <c r="D2" s="205"/>
    </row>
    <row r="3" spans="2:13" x14ac:dyDescent="0.25">
      <c r="B3" t="s">
        <v>153</v>
      </c>
      <c r="C3" s="245"/>
      <c r="D3" s="245"/>
    </row>
    <row r="4" spans="2:13" x14ac:dyDescent="0.25">
      <c r="B4" t="s">
        <v>198</v>
      </c>
      <c r="C4" s="286"/>
      <c r="H4" s="102"/>
    </row>
    <row r="5" spans="2:13" x14ac:dyDescent="0.25">
      <c r="B5" t="s">
        <v>199</v>
      </c>
    </row>
    <row r="6" spans="2:13" x14ac:dyDescent="0.25">
      <c r="B6" t="s">
        <v>200</v>
      </c>
      <c r="C6" s="246"/>
      <c r="D6" s="245"/>
    </row>
    <row r="8" spans="2:13" x14ac:dyDescent="0.25">
      <c r="C8" s="246"/>
    </row>
    <row r="9" spans="2:13" x14ac:dyDescent="0.25">
      <c r="B9" s="40" t="s">
        <v>201</v>
      </c>
      <c r="C9" s="247"/>
    </row>
    <row r="10" spans="2:13" ht="27.6" x14ac:dyDescent="0.4">
      <c r="B10" s="40" t="s">
        <v>203</v>
      </c>
      <c r="C10" s="40" t="s">
        <v>202</v>
      </c>
      <c r="D10" s="205" t="s">
        <v>204</v>
      </c>
      <c r="E10" s="205" t="s">
        <v>205</v>
      </c>
      <c r="F10" s="205" t="s">
        <v>206</v>
      </c>
      <c r="G10" s="205" t="s">
        <v>207</v>
      </c>
      <c r="H10" s="288" t="s">
        <v>208</v>
      </c>
      <c r="I10" s="205" t="s">
        <v>230</v>
      </c>
      <c r="J10" s="205" t="s">
        <v>209</v>
      </c>
      <c r="K10" s="205" t="s">
        <v>210</v>
      </c>
      <c r="L10" s="205" t="s">
        <v>211</v>
      </c>
      <c r="M10" s="205" t="s">
        <v>212</v>
      </c>
    </row>
    <row r="11" spans="2:13" x14ac:dyDescent="0.25">
      <c r="B11" s="287">
        <v>44725</v>
      </c>
      <c r="C11" t="s">
        <v>228</v>
      </c>
      <c r="D11" s="18">
        <v>3550000</v>
      </c>
      <c r="E11" s="18">
        <v>500</v>
      </c>
      <c r="F11" s="18">
        <v>143</v>
      </c>
      <c r="G11" s="291">
        <v>2018</v>
      </c>
      <c r="H11" s="289">
        <f>D11*1.05</f>
        <v>3727500</v>
      </c>
      <c r="I11" s="102">
        <f>H11*0.85</f>
        <v>3168375</v>
      </c>
      <c r="J11" s="102">
        <f>F11*7000</f>
        <v>1001000</v>
      </c>
      <c r="K11" s="289">
        <f>I11-J11</f>
        <v>2167375</v>
      </c>
      <c r="L11" s="102">
        <f>E25</f>
        <v>435</v>
      </c>
      <c r="M11" s="102">
        <f>K11/L11</f>
        <v>4982.4712643678158</v>
      </c>
    </row>
    <row r="12" spans="2:13" x14ac:dyDescent="0.25">
      <c r="B12" s="287">
        <v>44340</v>
      </c>
      <c r="C12" s="287" t="s">
        <v>229</v>
      </c>
      <c r="D12" s="18">
        <v>3200000</v>
      </c>
      <c r="E12" s="18">
        <v>500</v>
      </c>
      <c r="F12" s="18">
        <v>240</v>
      </c>
      <c r="G12" s="291">
        <v>2012</v>
      </c>
      <c r="H12" s="289">
        <f>D12*1.1</f>
        <v>3520000.0000000005</v>
      </c>
      <c r="I12" s="102">
        <f>H12*0.85</f>
        <v>2992000.0000000005</v>
      </c>
      <c r="J12" s="102">
        <f>F12*5000</f>
        <v>1200000</v>
      </c>
      <c r="K12" s="289">
        <f>I12-J12</f>
        <v>1792000.0000000005</v>
      </c>
      <c r="L12" s="102">
        <f>E33</f>
        <v>435</v>
      </c>
      <c r="M12" s="102">
        <f>K12/L12</f>
        <v>4119.5402298850586</v>
      </c>
    </row>
    <row r="13" spans="2:13" x14ac:dyDescent="0.25">
      <c r="C13" s="246"/>
    </row>
    <row r="14" spans="2:13" x14ac:dyDescent="0.25">
      <c r="B14" s="40"/>
      <c r="L14" t="s">
        <v>216</v>
      </c>
      <c r="M14">
        <v>5500</v>
      </c>
    </row>
    <row r="15" spans="2:13" x14ac:dyDescent="0.25">
      <c r="C15" s="245"/>
    </row>
    <row r="16" spans="2:13" x14ac:dyDescent="0.25">
      <c r="C16" s="18"/>
      <c r="E16" s="290" t="s">
        <v>217</v>
      </c>
    </row>
    <row r="18" spans="2:5" x14ac:dyDescent="0.25">
      <c r="C18" s="246"/>
    </row>
    <row r="19" spans="2:5" x14ac:dyDescent="0.25">
      <c r="B19" s="40" t="s">
        <v>231</v>
      </c>
      <c r="C19" s="40" t="s">
        <v>228</v>
      </c>
    </row>
    <row r="20" spans="2:5" x14ac:dyDescent="0.25">
      <c r="B20" t="s">
        <v>84</v>
      </c>
      <c r="C20" s="102">
        <f>E11</f>
        <v>500</v>
      </c>
    </row>
    <row r="21" spans="2:5" x14ac:dyDescent="0.25">
      <c r="B21" t="s">
        <v>89</v>
      </c>
      <c r="C21" s="18">
        <v>200</v>
      </c>
      <c r="D21" s="292">
        <v>1</v>
      </c>
      <c r="E21" s="18">
        <f>C21*D21</f>
        <v>200</v>
      </c>
    </row>
    <row r="22" spans="2:5" x14ac:dyDescent="0.25">
      <c r="B22" t="s">
        <v>232</v>
      </c>
      <c r="C22" s="18">
        <v>40</v>
      </c>
      <c r="D22" s="292">
        <v>0.5</v>
      </c>
      <c r="E22" s="18">
        <f>C22*D22</f>
        <v>20</v>
      </c>
    </row>
    <row r="23" spans="2:5" x14ac:dyDescent="0.25">
      <c r="B23" t="s">
        <v>233</v>
      </c>
      <c r="C23" s="18">
        <v>200</v>
      </c>
      <c r="D23" s="292">
        <v>0.7</v>
      </c>
      <c r="E23" s="18">
        <f>C23*D23</f>
        <v>140</v>
      </c>
    </row>
    <row r="24" spans="2:5" x14ac:dyDescent="0.25">
      <c r="B24" t="s">
        <v>86</v>
      </c>
      <c r="C24" s="18">
        <f>C20*60%</f>
        <v>300</v>
      </c>
      <c r="D24" s="18">
        <v>0.25</v>
      </c>
      <c r="E24" s="18">
        <f>C24*D24</f>
        <v>75</v>
      </c>
    </row>
    <row r="25" spans="2:5" x14ac:dyDescent="0.25">
      <c r="B25" s="298" t="s">
        <v>13</v>
      </c>
      <c r="C25" s="298"/>
      <c r="D25" s="298"/>
      <c r="E25" s="18">
        <f>SUM(E21:E24)</f>
        <v>435</v>
      </c>
    </row>
    <row r="26" spans="2:5" x14ac:dyDescent="0.25">
      <c r="C26" s="18"/>
    </row>
    <row r="27" spans="2:5" x14ac:dyDescent="0.25">
      <c r="B27" s="40" t="s">
        <v>231</v>
      </c>
      <c r="C27" s="287" t="str">
        <f>C12</f>
        <v>5986-85</v>
      </c>
    </row>
    <row r="28" spans="2:5" x14ac:dyDescent="0.25">
      <c r="B28" t="s">
        <v>84</v>
      </c>
      <c r="C28" s="102">
        <f>E12</f>
        <v>500</v>
      </c>
    </row>
    <row r="29" spans="2:5" x14ac:dyDescent="0.25">
      <c r="B29" t="s">
        <v>89</v>
      </c>
      <c r="C29" s="18">
        <v>200</v>
      </c>
      <c r="D29" s="292">
        <v>1</v>
      </c>
      <c r="E29" s="18">
        <f>C29*D29</f>
        <v>200</v>
      </c>
    </row>
    <row r="30" spans="2:5" x14ac:dyDescent="0.25">
      <c r="B30" t="s">
        <v>232</v>
      </c>
      <c r="C30" s="18">
        <v>40</v>
      </c>
      <c r="D30" s="292">
        <v>0.5</v>
      </c>
      <c r="E30" s="18">
        <f>C30*D30</f>
        <v>20</v>
      </c>
    </row>
    <row r="31" spans="2:5" x14ac:dyDescent="0.25">
      <c r="B31" t="s">
        <v>233</v>
      </c>
      <c r="C31" s="18">
        <v>200</v>
      </c>
      <c r="D31" s="292">
        <v>0.7</v>
      </c>
      <c r="E31" s="18">
        <f>C31*D31</f>
        <v>140</v>
      </c>
    </row>
    <row r="32" spans="2:5" x14ac:dyDescent="0.25">
      <c r="B32" t="s">
        <v>86</v>
      </c>
      <c r="C32" s="18">
        <f>C28*60%</f>
        <v>300</v>
      </c>
      <c r="D32" s="18">
        <v>0.25</v>
      </c>
      <c r="E32" s="18">
        <f>C32*D32</f>
        <v>75</v>
      </c>
    </row>
    <row r="33" spans="2:5" x14ac:dyDescent="0.25">
      <c r="B33" s="298" t="s">
        <v>13</v>
      </c>
      <c r="C33" s="298"/>
      <c r="D33" s="298"/>
      <c r="E33" s="18">
        <f>SUM(E29:E32)</f>
        <v>435</v>
      </c>
    </row>
  </sheetData>
  <mergeCells count="2">
    <mergeCell ref="B25:D25"/>
    <mergeCell ref="B33:D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Q60"/>
  <sheetViews>
    <sheetView rightToLeft="1" zoomScale="115" zoomScaleNormal="115" workbookViewId="0">
      <selection activeCell="B24" sqref="B24:D24"/>
    </sheetView>
  </sheetViews>
  <sheetFormatPr defaultRowHeight="13.8" x14ac:dyDescent="0.25"/>
  <cols>
    <col min="1" max="1" width="19.796875" customWidth="1"/>
    <col min="2" max="2" width="17.5" customWidth="1"/>
    <col min="3" max="3" width="14.09765625" style="18" customWidth="1"/>
    <col min="4" max="4" width="14.69921875" customWidth="1"/>
    <col min="5" max="5" width="12.69921875" customWidth="1"/>
    <col min="6" max="6" width="13.3984375" customWidth="1"/>
    <col min="7" max="7" width="11.19921875" customWidth="1"/>
    <col min="8" max="8" width="11.59765625" customWidth="1"/>
    <col min="9" max="9" width="11.19921875" customWidth="1"/>
    <col min="10" max="10" width="10.296875" customWidth="1"/>
    <col min="11" max="11" width="9.19921875" customWidth="1"/>
    <col min="12" max="18" width="9.59765625" customWidth="1"/>
  </cols>
  <sheetData>
    <row r="1" spans="1:17" ht="16.5" customHeight="1" thickBot="1" x14ac:dyDescent="0.3">
      <c r="C1"/>
    </row>
    <row r="2" spans="1:17" ht="28.2" thickBot="1" x14ac:dyDescent="0.3">
      <c r="A2" s="138" t="s">
        <v>52</v>
      </c>
      <c r="B2" s="218" t="s">
        <v>219</v>
      </c>
      <c r="C2" s="108" t="s">
        <v>223</v>
      </c>
      <c r="D2" s="103" t="s">
        <v>224</v>
      </c>
      <c r="E2" s="103"/>
      <c r="F2" s="48"/>
      <c r="G2" s="48"/>
      <c r="H2" s="131"/>
      <c r="I2" s="131"/>
      <c r="J2" s="131"/>
      <c r="K2" s="131"/>
      <c r="L2" s="48"/>
      <c r="M2" s="48"/>
      <c r="N2" s="48"/>
      <c r="O2" s="131"/>
      <c r="P2" s="131"/>
      <c r="Q2" s="132"/>
    </row>
    <row r="3" spans="1:17" x14ac:dyDescent="0.25">
      <c r="A3" s="139" t="s">
        <v>196</v>
      </c>
      <c r="B3" s="219">
        <v>197.5</v>
      </c>
      <c r="C3" s="104">
        <v>100</v>
      </c>
      <c r="D3" s="104">
        <v>15.5</v>
      </c>
      <c r="E3" s="65"/>
      <c r="F3" s="65"/>
      <c r="G3" s="65"/>
      <c r="H3" s="50"/>
      <c r="I3" s="50"/>
      <c r="J3" s="50"/>
      <c r="K3" s="50"/>
      <c r="L3" s="49"/>
      <c r="M3" s="49"/>
      <c r="N3" s="49"/>
      <c r="O3" s="50"/>
      <c r="P3" s="50"/>
      <c r="Q3" s="51"/>
    </row>
    <row r="4" spans="1:17" x14ac:dyDescent="0.25">
      <c r="A4" s="139" t="s">
        <v>152</v>
      </c>
      <c r="B4" s="219"/>
      <c r="C4" s="104"/>
      <c r="D4" s="104"/>
      <c r="E4" s="65"/>
      <c r="F4" s="65"/>
      <c r="G4" s="65"/>
      <c r="H4" s="50"/>
      <c r="I4" s="50"/>
      <c r="J4" s="50"/>
      <c r="K4" s="50"/>
      <c r="L4" s="49"/>
      <c r="M4" s="49"/>
      <c r="N4" s="49"/>
      <c r="O4" s="50"/>
      <c r="P4" s="50"/>
      <c r="Q4" s="51"/>
    </row>
    <row r="5" spans="1:17" x14ac:dyDescent="0.25">
      <c r="A5" s="139" t="s">
        <v>128</v>
      </c>
      <c r="B5" s="219">
        <v>197.5</v>
      </c>
      <c r="C5" s="65"/>
      <c r="D5" s="104"/>
      <c r="E5" s="65"/>
      <c r="F5" s="65"/>
      <c r="G5" s="65"/>
      <c r="H5" s="50"/>
      <c r="I5" s="50"/>
      <c r="J5" s="50"/>
      <c r="K5" s="50"/>
      <c r="L5" s="49"/>
      <c r="M5" s="49"/>
      <c r="N5" s="49"/>
      <c r="O5" s="50"/>
      <c r="P5" s="50"/>
      <c r="Q5" s="51"/>
    </row>
    <row r="6" spans="1:17" x14ac:dyDescent="0.25">
      <c r="A6" s="139" t="s">
        <v>221</v>
      </c>
      <c r="B6" s="219">
        <v>41</v>
      </c>
      <c r="C6" s="65"/>
      <c r="D6" s="104"/>
      <c r="E6" s="65"/>
      <c r="F6" s="65"/>
      <c r="G6" s="65"/>
      <c r="H6" s="50"/>
      <c r="I6" s="50"/>
      <c r="J6" s="50"/>
      <c r="K6" s="50"/>
      <c r="L6" s="49"/>
      <c r="M6" s="49"/>
      <c r="N6" s="49"/>
      <c r="O6" s="50"/>
      <c r="P6" s="50"/>
      <c r="Q6" s="51"/>
    </row>
    <row r="7" spans="1:17" x14ac:dyDescent="0.25">
      <c r="A7" s="139" t="s">
        <v>220</v>
      </c>
      <c r="B7" s="219">
        <v>14</v>
      </c>
      <c r="C7" s="65"/>
      <c r="D7" s="104"/>
      <c r="E7" s="65"/>
      <c r="F7" s="65"/>
      <c r="G7" s="65"/>
      <c r="H7" s="50"/>
      <c r="I7" s="50"/>
      <c r="J7" s="50"/>
      <c r="K7" s="50"/>
      <c r="L7" s="49"/>
      <c r="M7" s="49"/>
      <c r="N7" s="49"/>
      <c r="O7" s="50"/>
      <c r="P7" s="50"/>
      <c r="Q7" s="51"/>
    </row>
    <row r="8" spans="1:17" x14ac:dyDescent="0.25">
      <c r="A8" s="139" t="s">
        <v>222</v>
      </c>
      <c r="B8" s="220">
        <v>6</v>
      </c>
      <c r="C8" s="55"/>
      <c r="D8" s="105"/>
      <c r="E8" s="55"/>
      <c r="F8" s="55"/>
      <c r="G8" s="55"/>
      <c r="H8" s="53"/>
      <c r="I8" s="53"/>
      <c r="J8" s="53"/>
      <c r="K8" s="53"/>
      <c r="L8" s="52"/>
      <c r="M8" s="52"/>
      <c r="N8" s="52"/>
      <c r="O8" s="53"/>
      <c r="P8" s="53"/>
      <c r="Q8" s="54"/>
    </row>
    <row r="9" spans="1:17" x14ac:dyDescent="0.25">
      <c r="A9" s="139" t="s">
        <v>197</v>
      </c>
      <c r="B9" s="221"/>
      <c r="C9" s="57"/>
      <c r="D9" s="105"/>
      <c r="E9" s="55"/>
      <c r="F9" s="55"/>
      <c r="G9" s="55"/>
      <c r="H9" s="53"/>
      <c r="I9" s="53"/>
      <c r="J9" s="53"/>
      <c r="K9" s="53"/>
      <c r="L9" s="52"/>
      <c r="M9" s="52"/>
      <c r="N9" s="52"/>
      <c r="O9" s="53"/>
      <c r="P9" s="53"/>
      <c r="Q9" s="54"/>
    </row>
    <row r="10" spans="1:17" x14ac:dyDescent="0.25">
      <c r="A10" s="140" t="s">
        <v>82</v>
      </c>
      <c r="B10" s="221"/>
      <c r="C10" s="57"/>
      <c r="D10" s="105"/>
      <c r="E10" s="55"/>
      <c r="F10" s="55"/>
      <c r="G10" s="55"/>
      <c r="H10" s="53"/>
      <c r="I10" s="53"/>
      <c r="J10" s="53"/>
      <c r="K10" s="53"/>
      <c r="L10" s="52"/>
      <c r="M10" s="52"/>
      <c r="N10" s="52"/>
      <c r="O10" s="53"/>
      <c r="P10" s="53"/>
      <c r="Q10" s="54"/>
    </row>
    <row r="11" spans="1:17" x14ac:dyDescent="0.25">
      <c r="A11" s="141" t="s">
        <v>149</v>
      </c>
      <c r="B11" s="221"/>
      <c r="C11" s="57"/>
      <c r="D11" s="106"/>
      <c r="E11" s="57"/>
      <c r="F11" s="57"/>
      <c r="G11" s="57"/>
      <c r="H11" s="58"/>
      <c r="I11" s="58"/>
      <c r="J11" s="58"/>
      <c r="K11" s="58"/>
      <c r="L11" s="56"/>
      <c r="M11" s="56"/>
      <c r="N11" s="56"/>
      <c r="O11" s="58"/>
      <c r="P11" s="58"/>
      <c r="Q11" s="59"/>
    </row>
    <row r="12" spans="1:17" ht="14.4" thickBot="1" x14ac:dyDescent="0.3">
      <c r="A12" s="142" t="s">
        <v>139</v>
      </c>
      <c r="B12" s="222"/>
      <c r="C12" s="101"/>
      <c r="D12" s="107"/>
      <c r="E12" s="101"/>
      <c r="F12" s="101"/>
      <c r="G12" s="101"/>
      <c r="H12" s="61"/>
      <c r="I12" s="61"/>
      <c r="J12" s="61"/>
      <c r="K12" s="61"/>
      <c r="L12" s="60"/>
      <c r="M12" s="60"/>
      <c r="N12" s="60"/>
      <c r="O12" s="61"/>
      <c r="P12" s="61"/>
      <c r="Q12" s="62"/>
    </row>
    <row r="13" spans="1:17" ht="15" thickTop="1" thickBot="1" x14ac:dyDescent="0.3">
      <c r="A13" s="143" t="s">
        <v>53</v>
      </c>
      <c r="B13" s="223">
        <f>SUM(B4:B12)</f>
        <v>258.5</v>
      </c>
      <c r="C13" s="223">
        <f>SUM(C3:C12)</f>
        <v>100</v>
      </c>
      <c r="D13" s="223">
        <f>SUM(D3:D12)</f>
        <v>15.5</v>
      </c>
      <c r="E13" s="135"/>
      <c r="F13" s="135"/>
      <c r="G13" s="75">
        <f t="shared" ref="G13:Q13" si="0">SUM(G3:G12)</f>
        <v>0</v>
      </c>
      <c r="H13" s="75">
        <f t="shared" si="0"/>
        <v>0</v>
      </c>
      <c r="I13" s="75">
        <f t="shared" si="0"/>
        <v>0</v>
      </c>
      <c r="J13" s="75">
        <f t="shared" si="0"/>
        <v>0</v>
      </c>
      <c r="K13" s="75">
        <f t="shared" si="0"/>
        <v>0</v>
      </c>
      <c r="L13" s="74">
        <f t="shared" si="0"/>
        <v>0</v>
      </c>
      <c r="M13" s="74">
        <f t="shared" si="0"/>
        <v>0</v>
      </c>
      <c r="N13" s="74">
        <f t="shared" si="0"/>
        <v>0</v>
      </c>
      <c r="O13" s="75">
        <f t="shared" si="0"/>
        <v>0</v>
      </c>
      <c r="P13" s="75">
        <f t="shared" si="0"/>
        <v>0</v>
      </c>
      <c r="Q13" s="224">
        <f t="shared" si="0"/>
        <v>0</v>
      </c>
    </row>
    <row r="14" spans="1:17" ht="14.4" thickBot="1" x14ac:dyDescent="0.3">
      <c r="A14" s="144" t="s">
        <v>54</v>
      </c>
      <c r="B14" s="225"/>
      <c r="C14" s="137"/>
      <c r="D14" s="136"/>
      <c r="E14" s="134"/>
      <c r="F14" s="134"/>
      <c r="G14" s="63"/>
      <c r="H14" s="63"/>
      <c r="I14" s="63"/>
      <c r="J14" s="63"/>
      <c r="K14" s="214"/>
      <c r="L14" s="63"/>
      <c r="M14" s="63"/>
      <c r="N14" s="63"/>
      <c r="O14" s="214"/>
      <c r="P14" s="214"/>
      <c r="Q14" s="64"/>
    </row>
    <row r="15" spans="1:17" x14ac:dyDescent="0.25">
      <c r="A15" s="140"/>
      <c r="B15" s="227"/>
      <c r="C15" s="52"/>
      <c r="D15" s="53"/>
      <c r="E15" s="65"/>
      <c r="F15" s="65"/>
      <c r="G15" s="49"/>
      <c r="H15" s="65"/>
      <c r="I15" s="49"/>
      <c r="J15" s="49"/>
      <c r="K15" s="49"/>
      <c r="L15" s="49"/>
      <c r="M15" s="49"/>
      <c r="N15" s="49"/>
      <c r="O15" s="50"/>
      <c r="P15" s="50"/>
      <c r="Q15" s="51"/>
    </row>
    <row r="16" spans="1:17" x14ac:dyDescent="0.25">
      <c r="A16" s="140" t="s">
        <v>225</v>
      </c>
      <c r="B16" s="227">
        <v>200</v>
      </c>
      <c r="C16" s="52"/>
      <c r="D16" s="53"/>
      <c r="E16" s="65"/>
      <c r="F16" s="65"/>
      <c r="G16" s="49"/>
      <c r="H16" s="65"/>
      <c r="I16" s="49"/>
      <c r="J16" s="49"/>
      <c r="K16" s="49"/>
      <c r="L16" s="49"/>
      <c r="M16" s="49"/>
      <c r="N16" s="49"/>
      <c r="O16" s="50"/>
      <c r="P16" s="50"/>
      <c r="Q16" s="51"/>
    </row>
    <row r="17" spans="1:17" x14ac:dyDescent="0.25">
      <c r="A17" s="140" t="s">
        <v>226</v>
      </c>
      <c r="B17" s="227">
        <v>52</v>
      </c>
      <c r="C17" s="52"/>
      <c r="D17" s="53"/>
      <c r="E17" s="65"/>
      <c r="F17" s="65"/>
      <c r="G17" s="49"/>
      <c r="H17" s="65"/>
      <c r="I17" s="49"/>
      <c r="J17" s="49"/>
      <c r="K17" s="49"/>
      <c r="L17" s="49"/>
      <c r="M17" s="49"/>
      <c r="N17" s="49"/>
      <c r="O17" s="50"/>
      <c r="P17" s="50"/>
      <c r="Q17" s="51"/>
    </row>
    <row r="18" spans="1:17" x14ac:dyDescent="0.25">
      <c r="A18" s="140" t="s">
        <v>227</v>
      </c>
      <c r="B18" s="227"/>
      <c r="C18" s="52">
        <f>90+12</f>
        <v>102</v>
      </c>
      <c r="D18" s="53">
        <v>15</v>
      </c>
      <c r="E18" s="65"/>
      <c r="F18" s="65"/>
      <c r="G18" s="49"/>
      <c r="H18" s="65"/>
      <c r="I18" s="49"/>
      <c r="J18" s="49"/>
      <c r="K18" s="49"/>
      <c r="L18" s="49"/>
      <c r="M18" s="49"/>
      <c r="N18" s="49"/>
      <c r="O18" s="50"/>
      <c r="P18" s="50"/>
      <c r="Q18" s="51"/>
    </row>
    <row r="19" spans="1:17" x14ac:dyDescent="0.25">
      <c r="A19" s="140"/>
      <c r="B19" s="227"/>
      <c r="C19" s="52"/>
      <c r="D19" s="53"/>
      <c r="E19" s="65"/>
      <c r="F19" s="65"/>
      <c r="G19" s="49"/>
      <c r="H19" s="65"/>
      <c r="I19" s="49"/>
      <c r="J19" s="49"/>
      <c r="K19" s="49"/>
      <c r="L19" s="49"/>
      <c r="M19" s="49"/>
      <c r="N19" s="49"/>
      <c r="O19" s="50"/>
      <c r="P19" s="50"/>
      <c r="Q19" s="51"/>
    </row>
    <row r="20" spans="1:17" x14ac:dyDescent="0.25">
      <c r="A20" s="140"/>
      <c r="B20" s="227"/>
      <c r="C20" s="52"/>
      <c r="D20" s="53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3"/>
      <c r="P20" s="53"/>
      <c r="Q20" s="54"/>
    </row>
    <row r="21" spans="1:17" x14ac:dyDescent="0.25">
      <c r="A21" s="140"/>
      <c r="B21" s="226"/>
      <c r="C21" s="52"/>
      <c r="D21" s="53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3"/>
      <c r="P21" s="53"/>
      <c r="Q21" s="54"/>
    </row>
    <row r="22" spans="1:17" x14ac:dyDescent="0.25">
      <c r="A22" s="140"/>
      <c r="B22" s="227"/>
      <c r="C22" s="52"/>
      <c r="D22" s="53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53"/>
      <c r="Q22" s="54"/>
    </row>
    <row r="23" spans="1:17" ht="14.4" thickBot="1" x14ac:dyDescent="0.3">
      <c r="A23" s="142"/>
      <c r="B23" s="228"/>
      <c r="C23" s="60"/>
      <c r="D23" s="61"/>
      <c r="E23" s="60"/>
      <c r="F23" s="60"/>
      <c r="G23" s="60"/>
      <c r="H23" s="52"/>
      <c r="I23" s="52"/>
      <c r="J23" s="52"/>
      <c r="K23" s="52"/>
      <c r="L23" s="52"/>
      <c r="M23" s="60"/>
      <c r="N23" s="60"/>
      <c r="O23" s="61"/>
      <c r="P23" s="61"/>
      <c r="Q23" s="62"/>
    </row>
    <row r="24" spans="1:17" ht="14.4" thickTop="1" x14ac:dyDescent="0.25">
      <c r="A24" s="145" t="s">
        <v>142</v>
      </c>
      <c r="B24" s="229">
        <f>SUM(B16:B23)</f>
        <v>252</v>
      </c>
      <c r="C24" s="133">
        <f>SUM(C17:C23)</f>
        <v>102</v>
      </c>
      <c r="D24" s="133">
        <f t="shared" ref="D24:Q24" si="1">SUM(D15:D23)</f>
        <v>15</v>
      </c>
      <c r="E24" s="133">
        <f t="shared" si="1"/>
        <v>0</v>
      </c>
      <c r="F24" s="133">
        <f t="shared" si="1"/>
        <v>0</v>
      </c>
      <c r="G24" s="133">
        <f t="shared" si="1"/>
        <v>0</v>
      </c>
      <c r="H24" s="133">
        <f t="shared" si="1"/>
        <v>0</v>
      </c>
      <c r="I24" s="66">
        <f t="shared" si="1"/>
        <v>0</v>
      </c>
      <c r="J24" s="66">
        <f t="shared" si="1"/>
        <v>0</v>
      </c>
      <c r="K24" s="66">
        <f t="shared" si="1"/>
        <v>0</v>
      </c>
      <c r="L24" s="66">
        <f t="shared" si="1"/>
        <v>0</v>
      </c>
      <c r="M24" s="66">
        <f t="shared" si="1"/>
        <v>0</v>
      </c>
      <c r="N24" s="66">
        <f t="shared" si="1"/>
        <v>0</v>
      </c>
      <c r="O24" s="215">
        <f t="shared" si="1"/>
        <v>0</v>
      </c>
      <c r="P24" s="215">
        <f t="shared" si="1"/>
        <v>0</v>
      </c>
      <c r="Q24" s="213">
        <f t="shared" si="1"/>
        <v>0</v>
      </c>
    </row>
    <row r="25" spans="1:17" ht="14.4" thickBot="1" x14ac:dyDescent="0.3">
      <c r="A25" s="143" t="s">
        <v>55</v>
      </c>
      <c r="B25" s="232">
        <f t="shared" ref="B25:Q25" si="2">B13-B24</f>
        <v>6.5</v>
      </c>
      <c r="C25" s="212">
        <f t="shared" si="2"/>
        <v>-2</v>
      </c>
      <c r="D25" s="212">
        <f t="shared" si="2"/>
        <v>0.5</v>
      </c>
      <c r="E25" s="212">
        <f t="shared" si="2"/>
        <v>0</v>
      </c>
      <c r="F25" s="212">
        <f t="shared" si="2"/>
        <v>0</v>
      </c>
      <c r="G25" s="212">
        <f t="shared" si="2"/>
        <v>0</v>
      </c>
      <c r="H25" s="212">
        <f t="shared" si="2"/>
        <v>0</v>
      </c>
      <c r="I25" s="212">
        <f t="shared" si="2"/>
        <v>0</v>
      </c>
      <c r="J25" s="212">
        <f t="shared" si="2"/>
        <v>0</v>
      </c>
      <c r="K25" s="212">
        <f t="shared" si="2"/>
        <v>0</v>
      </c>
      <c r="L25" s="212">
        <f t="shared" si="2"/>
        <v>0</v>
      </c>
      <c r="M25" s="212">
        <f t="shared" si="2"/>
        <v>0</v>
      </c>
      <c r="N25" s="212">
        <f t="shared" si="2"/>
        <v>0</v>
      </c>
      <c r="O25" s="217">
        <f t="shared" si="2"/>
        <v>0</v>
      </c>
      <c r="P25" s="216">
        <f t="shared" si="2"/>
        <v>0</v>
      </c>
      <c r="Q25" s="230">
        <f t="shared" si="2"/>
        <v>0</v>
      </c>
    </row>
    <row r="26" spans="1:17" ht="27.6" x14ac:dyDescent="0.25">
      <c r="B26" s="209"/>
      <c r="C26" s="76" t="s">
        <v>215</v>
      </c>
      <c r="D26" s="244"/>
      <c r="E26" s="76" t="s">
        <v>215</v>
      </c>
      <c r="F26" s="76" t="s">
        <v>215</v>
      </c>
      <c r="G26" s="76" t="s">
        <v>215</v>
      </c>
      <c r="H26" s="76"/>
      <c r="I26" s="109"/>
      <c r="J26" s="244"/>
      <c r="K26" s="76"/>
    </row>
    <row r="27" spans="1:17" x14ac:dyDescent="0.25">
      <c r="A27" t="s">
        <v>140</v>
      </c>
      <c r="B27" s="210">
        <f>B8+B7</f>
        <v>20</v>
      </c>
      <c r="D27" s="76"/>
    </row>
    <row r="28" spans="1:17" x14ac:dyDescent="0.25">
      <c r="C28" s="102">
        <f>C3*9300*5%*7</f>
        <v>325500</v>
      </c>
      <c r="D28" s="67"/>
      <c r="E28" s="102">
        <f>E3*9300*5%*2</f>
        <v>0</v>
      </c>
      <c r="F28" s="102">
        <f>F3*9300*5%*7</f>
        <v>0</v>
      </c>
      <c r="I28" s="102">
        <f>100*9300*5%*7</f>
        <v>325500</v>
      </c>
    </row>
    <row r="29" spans="1:17" x14ac:dyDescent="0.25">
      <c r="C29" s="39">
        <f>375-C24-D24-G24</f>
        <v>258</v>
      </c>
      <c r="D29" s="67"/>
      <c r="E29" s="102">
        <f>E9*9300*5%*2/2</f>
        <v>0</v>
      </c>
      <c r="F29" s="102">
        <f>F9*9300*5%*7/2</f>
        <v>0</v>
      </c>
    </row>
    <row r="30" spans="1:17" x14ac:dyDescent="0.25">
      <c r="I30">
        <f>375-208</f>
        <v>167</v>
      </c>
      <c r="L30" s="102">
        <f>375-B3-E3</f>
        <v>177.5</v>
      </c>
      <c r="M30" s="102">
        <f>100-L30</f>
        <v>-77.5</v>
      </c>
    </row>
    <row r="31" spans="1:17" x14ac:dyDescent="0.25">
      <c r="A31" s="68" t="s">
        <v>56</v>
      </c>
      <c r="B31" s="69"/>
      <c r="J31" s="102"/>
      <c r="L31" s="18">
        <f>6605*(100-31)</f>
        <v>455745</v>
      </c>
    </row>
    <row r="32" spans="1:17" x14ac:dyDescent="0.25">
      <c r="A32" t="s">
        <v>28</v>
      </c>
      <c r="C32" s="70">
        <f>-B13</f>
        <v>-258.5</v>
      </c>
      <c r="E32" s="73"/>
      <c r="F32" s="73">
        <f>375-B13-C13</f>
        <v>16.5</v>
      </c>
      <c r="J32" s="102"/>
    </row>
    <row r="33" spans="1:10" x14ac:dyDescent="0.25">
      <c r="A33" t="s">
        <v>29</v>
      </c>
      <c r="C33" s="18">
        <f>-C13</f>
        <v>-100</v>
      </c>
      <c r="E33" s="73">
        <f>375-240</f>
        <v>135</v>
      </c>
    </row>
    <row r="34" spans="1:10" x14ac:dyDescent="0.25">
      <c r="A34" t="s">
        <v>35</v>
      </c>
      <c r="C34" s="18">
        <f>G24</f>
        <v>0</v>
      </c>
    </row>
    <row r="35" spans="1:10" x14ac:dyDescent="0.25">
      <c r="A35" s="41" t="s">
        <v>13</v>
      </c>
      <c r="B35" s="41"/>
      <c r="C35" s="24">
        <f>SUM(C31:C34)</f>
        <v>-358.5</v>
      </c>
      <c r="H35" s="73"/>
    </row>
    <row r="36" spans="1:10" x14ac:dyDescent="0.25">
      <c r="A36" t="s">
        <v>57</v>
      </c>
      <c r="C36" s="39">
        <v>375</v>
      </c>
      <c r="J36">
        <f>1500*0.5*5%*1000</f>
        <v>37500</v>
      </c>
    </row>
    <row r="37" spans="1:10" x14ac:dyDescent="0.25">
      <c r="A37" s="41" t="s">
        <v>58</v>
      </c>
      <c r="B37" s="41"/>
      <c r="C37" s="24">
        <f>SUM(C35:C36)</f>
        <v>16.5</v>
      </c>
    </row>
    <row r="38" spans="1:10" x14ac:dyDescent="0.25">
      <c r="A38" t="s">
        <v>59</v>
      </c>
      <c r="C38" s="18">
        <f>-C24-D24-G24</f>
        <v>-117</v>
      </c>
    </row>
    <row r="39" spans="1:10" x14ac:dyDescent="0.25">
      <c r="A39" s="41" t="s">
        <v>60</v>
      </c>
      <c r="B39" s="41"/>
      <c r="C39" s="71">
        <f>SUM(C37:C38)</f>
        <v>-100.5</v>
      </c>
    </row>
    <row r="40" spans="1:10" x14ac:dyDescent="0.25">
      <c r="E40" t="s">
        <v>143</v>
      </c>
      <c r="F40" t="s">
        <v>28</v>
      </c>
      <c r="G40" t="s">
        <v>29</v>
      </c>
    </row>
    <row r="41" spans="1:10" x14ac:dyDescent="0.25">
      <c r="F41">
        <v>308</v>
      </c>
      <c r="G41">
        <v>160</v>
      </c>
    </row>
    <row r="42" spans="1:10" x14ac:dyDescent="0.25">
      <c r="E42" t="s">
        <v>25</v>
      </c>
      <c r="F42">
        <v>-201</v>
      </c>
      <c r="G42">
        <v>-160</v>
      </c>
    </row>
    <row r="43" spans="1:10" x14ac:dyDescent="0.25">
      <c r="A43" s="204" t="s">
        <v>129</v>
      </c>
      <c r="E43" t="s">
        <v>144</v>
      </c>
      <c r="F43">
        <f>SUM(F41:F42)</f>
        <v>107</v>
      </c>
      <c r="G43">
        <f>SUM(G41:G42)</f>
        <v>0</v>
      </c>
    </row>
    <row r="44" spans="1:10" ht="15.6" x14ac:dyDescent="0.4">
      <c r="A44" s="40" t="s">
        <v>130</v>
      </c>
      <c r="B44" s="40" t="s">
        <v>132</v>
      </c>
      <c r="C44" s="205" t="s">
        <v>133</v>
      </c>
      <c r="D44" s="40" t="s">
        <v>136</v>
      </c>
      <c r="E44" s="40" t="s">
        <v>145</v>
      </c>
      <c r="F44" s="18">
        <f>F43*'תחשיב לפי שווי שומה (2)'!$B$31</f>
        <v>495517</v>
      </c>
      <c r="G44" s="18">
        <f>G43*'תחשיב לפי שווי שומה (2)'!C31</f>
        <v>0</v>
      </c>
    </row>
    <row r="45" spans="1:10" x14ac:dyDescent="0.25">
      <c r="A45" t="s">
        <v>61</v>
      </c>
      <c r="B45">
        <f>105.54</f>
        <v>105.54</v>
      </c>
      <c r="C45" s="18">
        <v>130</v>
      </c>
      <c r="D45" s="102">
        <f>C45-B45</f>
        <v>24.459999999999994</v>
      </c>
    </row>
    <row r="46" spans="1:10" x14ac:dyDescent="0.25">
      <c r="A46" t="s">
        <v>131</v>
      </c>
      <c r="C46" s="18">
        <v>0</v>
      </c>
      <c r="D46" s="102">
        <f>C46-B46</f>
        <v>0</v>
      </c>
      <c r="E46" t="s">
        <v>146</v>
      </c>
      <c r="F46" t="s">
        <v>28</v>
      </c>
      <c r="G46" t="s">
        <v>29</v>
      </c>
      <c r="H46" t="s">
        <v>13</v>
      </c>
    </row>
    <row r="47" spans="1:10" x14ac:dyDescent="0.25">
      <c r="A47" s="119" t="s">
        <v>134</v>
      </c>
      <c r="B47" s="119">
        <f>SUM(B45:B46)</f>
        <v>105.54</v>
      </c>
      <c r="C47" s="71">
        <f>SUM(C45:C46)</f>
        <v>130</v>
      </c>
      <c r="D47" s="206">
        <f>C47-B47</f>
        <v>24.459999999999994</v>
      </c>
      <c r="F47">
        <v>308</v>
      </c>
      <c r="G47">
        <v>160</v>
      </c>
      <c r="H47">
        <f>SUM(F47:G47)</f>
        <v>468</v>
      </c>
    </row>
    <row r="48" spans="1:10" x14ac:dyDescent="0.25">
      <c r="E48" t="s">
        <v>25</v>
      </c>
      <c r="H48">
        <f>-(375+41)</f>
        <v>-416</v>
      </c>
    </row>
    <row r="49" spans="1:8" ht="15.6" x14ac:dyDescent="0.4">
      <c r="A49" s="40" t="s">
        <v>135</v>
      </c>
      <c r="B49" s="40" t="s">
        <v>132</v>
      </c>
      <c r="C49" s="205" t="s">
        <v>133</v>
      </c>
      <c r="D49" s="40" t="s">
        <v>136</v>
      </c>
      <c r="E49" t="s">
        <v>144</v>
      </c>
      <c r="H49">
        <f>SUM(H47:H48)</f>
        <v>52</v>
      </c>
    </row>
    <row r="50" spans="1:8" x14ac:dyDescent="0.25">
      <c r="A50" t="s">
        <v>61</v>
      </c>
      <c r="B50">
        <v>53</v>
      </c>
      <c r="C50" s="18">
        <v>78</v>
      </c>
      <c r="D50" s="102">
        <f>C50-B50</f>
        <v>25</v>
      </c>
      <c r="E50" s="40" t="s">
        <v>145</v>
      </c>
      <c r="H50" s="18">
        <f>H49*'תחשיב לפי שווי שומה (2)'!$B$31</f>
        <v>240812</v>
      </c>
    </row>
    <row r="51" spans="1:8" x14ac:dyDescent="0.25">
      <c r="A51" t="s">
        <v>131</v>
      </c>
      <c r="C51" s="18">
        <v>0</v>
      </c>
      <c r="D51" s="102">
        <f>C51-B51</f>
        <v>0</v>
      </c>
      <c r="E51" t="s">
        <v>147</v>
      </c>
      <c r="H51">
        <f>165000</f>
        <v>165000</v>
      </c>
    </row>
    <row r="52" spans="1:8" x14ac:dyDescent="0.25">
      <c r="A52" s="119" t="s">
        <v>134</v>
      </c>
      <c r="B52" s="119">
        <f>SUM(B50:B51)</f>
        <v>53</v>
      </c>
      <c r="C52" s="71">
        <f>SUM(C50:C51)</f>
        <v>78</v>
      </c>
      <c r="D52" s="206">
        <f>C52-B52</f>
        <v>25</v>
      </c>
      <c r="H52" s="231">
        <f>SUM(H50:H51)</f>
        <v>405812</v>
      </c>
    </row>
    <row r="54" spans="1:8" x14ac:dyDescent="0.25">
      <c r="A54" s="207" t="s">
        <v>13</v>
      </c>
      <c r="B54" s="207">
        <f>B52+B47</f>
        <v>158.54000000000002</v>
      </c>
      <c r="C54" s="207">
        <f t="shared" ref="C54:D54" si="3">C52+C47</f>
        <v>208</v>
      </c>
      <c r="D54" s="208">
        <f t="shared" si="3"/>
        <v>49.459999999999994</v>
      </c>
      <c r="E54" t="s">
        <v>148</v>
      </c>
      <c r="F54" t="s">
        <v>28</v>
      </c>
      <c r="G54" t="s">
        <v>29</v>
      </c>
      <c r="H54" t="s">
        <v>13</v>
      </c>
    </row>
    <row r="55" spans="1:8" x14ac:dyDescent="0.25">
      <c r="F55">
        <v>308</v>
      </c>
      <c r="G55">
        <v>160</v>
      </c>
      <c r="H55">
        <f>SUM(F55:G55)</f>
        <v>468</v>
      </c>
    </row>
    <row r="56" spans="1:8" x14ac:dyDescent="0.25">
      <c r="E56" t="s">
        <v>25</v>
      </c>
      <c r="H56">
        <f>-(375)</f>
        <v>-375</v>
      </c>
    </row>
    <row r="57" spans="1:8" x14ac:dyDescent="0.25">
      <c r="E57" t="s">
        <v>144</v>
      </c>
      <c r="H57">
        <f>SUM(H55:H56)</f>
        <v>93</v>
      </c>
    </row>
    <row r="58" spans="1:8" x14ac:dyDescent="0.25">
      <c r="E58" s="40" t="s">
        <v>145</v>
      </c>
      <c r="H58" s="18">
        <f>H57*'תחשיב לפי שווי שומה (2)'!$B$31</f>
        <v>430683</v>
      </c>
    </row>
    <row r="59" spans="1:8" x14ac:dyDescent="0.25">
      <c r="E59" t="s">
        <v>147</v>
      </c>
      <c r="H59">
        <f>165000</f>
        <v>165000</v>
      </c>
    </row>
    <row r="60" spans="1:8" x14ac:dyDescent="0.25">
      <c r="H60" s="231">
        <f>SUM(H58:H59)</f>
        <v>595683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F40"/>
  <sheetViews>
    <sheetView rightToLeft="1" zoomScale="160" zoomScaleNormal="160" workbookViewId="0">
      <selection activeCell="C15" sqref="C15:F15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6" ht="4.5" customHeight="1" thickBot="1" x14ac:dyDescent="0.3"/>
    <row r="2" spans="2:6" ht="14.4" thickBot="1" x14ac:dyDescent="0.3">
      <c r="B2" s="299" t="s">
        <v>183</v>
      </c>
      <c r="C2" s="300"/>
      <c r="D2" s="300"/>
      <c r="E2" s="300"/>
      <c r="F2" s="301"/>
    </row>
    <row r="3" spans="2:6" ht="14.4" thickBot="1" x14ac:dyDescent="0.3">
      <c r="B3" s="251" t="s">
        <v>69</v>
      </c>
      <c r="C3" s="302" t="s">
        <v>61</v>
      </c>
      <c r="D3" s="303"/>
      <c r="E3" s="302" t="s">
        <v>164</v>
      </c>
      <c r="F3" s="304"/>
    </row>
    <row r="4" spans="2:6" x14ac:dyDescent="0.25">
      <c r="B4" s="266" t="s">
        <v>165</v>
      </c>
      <c r="C4" s="316">
        <v>0</v>
      </c>
      <c r="D4" s="317"/>
      <c r="E4" s="316">
        <v>0</v>
      </c>
      <c r="F4" s="318"/>
    </row>
    <row r="5" spans="2:6" x14ac:dyDescent="0.25">
      <c r="B5" s="271" t="s">
        <v>166</v>
      </c>
      <c r="C5" s="316">
        <v>140000</v>
      </c>
      <c r="D5" s="317"/>
      <c r="E5" s="316">
        <f>6000*2</f>
        <v>12000</v>
      </c>
      <c r="F5" s="318"/>
    </row>
    <row r="6" spans="2:6" ht="27.6" x14ac:dyDescent="0.25">
      <c r="B6" s="271" t="s">
        <v>179</v>
      </c>
      <c r="C6" s="316">
        <f>46500*7</f>
        <v>325500</v>
      </c>
      <c r="D6" s="317"/>
      <c r="E6" s="316">
        <v>0</v>
      </c>
      <c r="F6" s="318"/>
    </row>
    <row r="7" spans="2:6" x14ac:dyDescent="0.25">
      <c r="B7" s="271" t="s">
        <v>167</v>
      </c>
      <c r="C7" s="316">
        <f>13000*7</f>
        <v>91000</v>
      </c>
      <c r="D7" s="317"/>
      <c r="E7" s="316">
        <f>4000*7</f>
        <v>28000</v>
      </c>
      <c r="F7" s="318"/>
    </row>
    <row r="8" spans="2:6" ht="14.4" thickBot="1" x14ac:dyDescent="0.3">
      <c r="B8" s="257" t="s">
        <v>168</v>
      </c>
      <c r="C8" s="316">
        <f>65000*7</f>
        <v>455000</v>
      </c>
      <c r="D8" s="317"/>
      <c r="E8" s="316">
        <v>50000</v>
      </c>
      <c r="F8" s="318"/>
    </row>
    <row r="9" spans="2:6" ht="14.4" thickBot="1" x14ac:dyDescent="0.3">
      <c r="B9" s="299" t="s">
        <v>182</v>
      </c>
      <c r="C9" s="300"/>
      <c r="D9" s="300"/>
      <c r="E9" s="300"/>
      <c r="F9" s="301"/>
    </row>
    <row r="10" spans="2:6" ht="16.2" thickBot="1" x14ac:dyDescent="0.3">
      <c r="B10" s="252" t="s">
        <v>176</v>
      </c>
      <c r="C10" s="253" t="s">
        <v>174</v>
      </c>
      <c r="D10" s="254" t="s">
        <v>171</v>
      </c>
      <c r="E10" s="255" t="s">
        <v>172</v>
      </c>
      <c r="F10" s="256" t="s">
        <v>173</v>
      </c>
    </row>
    <row r="11" spans="2:6" x14ac:dyDescent="0.25">
      <c r="B11" s="266" t="s">
        <v>165</v>
      </c>
      <c r="C11" s="283">
        <f>197-160</f>
        <v>37</v>
      </c>
      <c r="D11" s="278">
        <f>C11*6605</f>
        <v>244385</v>
      </c>
      <c r="E11" s="283">
        <v>35</v>
      </c>
      <c r="F11" s="279">
        <f>E11*6605/2</f>
        <v>115587.5</v>
      </c>
    </row>
    <row r="12" spans="2:6" x14ac:dyDescent="0.25">
      <c r="B12" s="271" t="s">
        <v>166</v>
      </c>
      <c r="C12" s="284">
        <v>0</v>
      </c>
      <c r="D12" s="282">
        <v>0</v>
      </c>
      <c r="E12" s="284">
        <f>147+24-160</f>
        <v>11</v>
      </c>
      <c r="F12" s="277">
        <f>E12*6605/2</f>
        <v>36327.5</v>
      </c>
    </row>
    <row r="13" spans="2:6" x14ac:dyDescent="0.25">
      <c r="B13" s="280" t="s">
        <v>169</v>
      </c>
      <c r="C13" s="308" t="s">
        <v>175</v>
      </c>
      <c r="D13" s="308"/>
      <c r="E13" s="308"/>
      <c r="F13" s="309"/>
    </row>
    <row r="14" spans="2:6" x14ac:dyDescent="0.25">
      <c r="B14" s="281" t="s">
        <v>167</v>
      </c>
      <c r="C14" s="308" t="s">
        <v>178</v>
      </c>
      <c r="D14" s="308"/>
      <c r="E14" s="308"/>
      <c r="F14" s="309"/>
    </row>
    <row r="15" spans="2:6" ht="14.4" thickBot="1" x14ac:dyDescent="0.3">
      <c r="B15" s="257" t="s">
        <v>168</v>
      </c>
      <c r="C15" s="310" t="s">
        <v>180</v>
      </c>
      <c r="D15" s="311"/>
      <c r="E15" s="311"/>
      <c r="F15" s="312"/>
    </row>
    <row r="16" spans="2:6" ht="14.4" thickBot="1" x14ac:dyDescent="0.3"/>
    <row r="17" spans="2:6" ht="14.4" thickBot="1" x14ac:dyDescent="0.3">
      <c r="B17" s="299" t="s">
        <v>163</v>
      </c>
      <c r="C17" s="300"/>
      <c r="D17" s="300"/>
      <c r="E17" s="300"/>
      <c r="F17" s="301"/>
    </row>
    <row r="18" spans="2:6" ht="14.4" thickBot="1" x14ac:dyDescent="0.3">
      <c r="B18" s="251" t="s">
        <v>170</v>
      </c>
      <c r="C18" s="302" t="s">
        <v>61</v>
      </c>
      <c r="D18" s="303"/>
      <c r="E18" s="302" t="s">
        <v>164</v>
      </c>
      <c r="F18" s="304"/>
    </row>
    <row r="19" spans="2:6" x14ac:dyDescent="0.25">
      <c r="B19" s="266" t="s">
        <v>165</v>
      </c>
      <c r="C19" s="313">
        <v>0</v>
      </c>
      <c r="D19" s="314"/>
      <c r="E19" s="313">
        <v>0</v>
      </c>
      <c r="F19" s="315"/>
    </row>
    <row r="20" spans="2:6" x14ac:dyDescent="0.25">
      <c r="B20" s="271" t="s">
        <v>166</v>
      </c>
      <c r="C20" s="330">
        <v>70000</v>
      </c>
      <c r="D20" s="331"/>
      <c r="E20" s="332">
        <f>6000*7</f>
        <v>42000</v>
      </c>
      <c r="F20" s="333"/>
    </row>
    <row r="21" spans="2:6" x14ac:dyDescent="0.25">
      <c r="B21" s="275" t="s">
        <v>169</v>
      </c>
      <c r="C21" s="330">
        <f>46500*7</f>
        <v>325500</v>
      </c>
      <c r="D21" s="331"/>
      <c r="E21" s="330">
        <v>0</v>
      </c>
      <c r="F21" s="334"/>
    </row>
    <row r="22" spans="2:6" x14ac:dyDescent="0.25">
      <c r="B22" s="271" t="s">
        <v>167</v>
      </c>
      <c r="C22" s="330">
        <f>13000*7</f>
        <v>91000</v>
      </c>
      <c r="D22" s="331"/>
      <c r="E22" s="330">
        <f>4000*7</f>
        <v>28000</v>
      </c>
      <c r="F22" s="334"/>
    </row>
    <row r="23" spans="2:6" ht="14.4" thickBot="1" x14ac:dyDescent="0.3">
      <c r="B23" s="257" t="s">
        <v>168</v>
      </c>
      <c r="C23" s="305">
        <f>65000*7</f>
        <v>455000</v>
      </c>
      <c r="D23" s="306"/>
      <c r="E23" s="305">
        <f>7000*7</f>
        <v>49000</v>
      </c>
      <c r="F23" s="307"/>
    </row>
    <row r="24" spans="2:6" ht="14.4" thickBot="1" x14ac:dyDescent="0.3">
      <c r="B24" s="262"/>
      <c r="C24" s="263"/>
      <c r="D24" s="264"/>
      <c r="E24" s="264"/>
      <c r="F24" s="265"/>
    </row>
    <row r="25" spans="2:6" ht="16.2" thickBot="1" x14ac:dyDescent="0.3">
      <c r="B25" s="252" t="s">
        <v>176</v>
      </c>
      <c r="C25" s="253" t="s">
        <v>174</v>
      </c>
      <c r="D25" s="254" t="s">
        <v>171</v>
      </c>
      <c r="E25" s="255" t="s">
        <v>172</v>
      </c>
      <c r="F25" s="256" t="s">
        <v>173</v>
      </c>
    </row>
    <row r="26" spans="2:6" x14ac:dyDescent="0.25">
      <c r="B26" s="266" t="s">
        <v>165</v>
      </c>
      <c r="C26" s="267">
        <f>197-160</f>
        <v>37</v>
      </c>
      <c r="D26" s="268">
        <f>C26*6605</f>
        <v>244385</v>
      </c>
      <c r="E26" s="269">
        <v>35</v>
      </c>
      <c r="F26" s="270">
        <f>E26*6605/2</f>
        <v>115587.5</v>
      </c>
    </row>
    <row r="27" spans="2:6" x14ac:dyDescent="0.25">
      <c r="B27" s="271" t="s">
        <v>166</v>
      </c>
      <c r="C27" s="272">
        <v>0</v>
      </c>
      <c r="D27" s="273">
        <f>C27*6605</f>
        <v>0</v>
      </c>
      <c r="E27" s="276">
        <f>147+24-160</f>
        <v>11</v>
      </c>
      <c r="F27" s="274">
        <f>E27*6605/2</f>
        <v>36327.5</v>
      </c>
    </row>
    <row r="28" spans="2:6" x14ac:dyDescent="0.25">
      <c r="B28" s="275" t="s">
        <v>169</v>
      </c>
      <c r="C28" s="328" t="s">
        <v>175</v>
      </c>
      <c r="D28" s="328"/>
      <c r="E28" s="328"/>
      <c r="F28" s="329"/>
    </row>
    <row r="29" spans="2:6" x14ac:dyDescent="0.25">
      <c r="B29" s="271" t="s">
        <v>167</v>
      </c>
      <c r="C29" s="272">
        <v>0</v>
      </c>
      <c r="D29" s="273">
        <v>0</v>
      </c>
      <c r="E29" s="272">
        <v>0</v>
      </c>
      <c r="F29" s="274">
        <v>0</v>
      </c>
    </row>
    <row r="30" spans="2:6" ht="14.4" thickBot="1" x14ac:dyDescent="0.3">
      <c r="B30" s="257" t="s">
        <v>168</v>
      </c>
      <c r="C30" s="258">
        <v>0</v>
      </c>
      <c r="D30" s="259">
        <v>0</v>
      </c>
      <c r="E30" s="260">
        <f>139+31-160</f>
        <v>10</v>
      </c>
      <c r="F30" s="261">
        <f>E30*6605/2</f>
        <v>33025</v>
      </c>
    </row>
    <row r="34" spans="2:6" ht="14.4" thickBot="1" x14ac:dyDescent="0.3"/>
    <row r="35" spans="2:6" ht="14.4" thickBot="1" x14ac:dyDescent="0.3">
      <c r="B35" s="299" t="s">
        <v>181</v>
      </c>
      <c r="C35" s="300"/>
      <c r="D35" s="300"/>
      <c r="E35" s="300"/>
      <c r="F35" s="301"/>
    </row>
    <row r="36" spans="2:6" ht="14.4" thickBot="1" x14ac:dyDescent="0.3">
      <c r="B36" s="251" t="s">
        <v>184</v>
      </c>
      <c r="C36" s="302" t="s">
        <v>61</v>
      </c>
      <c r="D36" s="303"/>
      <c r="E36" s="302" t="s">
        <v>164</v>
      </c>
      <c r="F36" s="304"/>
    </row>
    <row r="37" spans="2:6" x14ac:dyDescent="0.25">
      <c r="B37" s="266" t="s">
        <v>185</v>
      </c>
      <c r="C37" s="319" t="s">
        <v>188</v>
      </c>
      <c r="D37" s="320"/>
      <c r="E37" s="320"/>
      <c r="F37" s="321"/>
    </row>
    <row r="38" spans="2:6" x14ac:dyDescent="0.25">
      <c r="B38" s="271" t="s">
        <v>186</v>
      </c>
      <c r="C38" s="322" t="s">
        <v>187</v>
      </c>
      <c r="D38" s="323"/>
      <c r="E38" s="323"/>
      <c r="F38" s="324"/>
    </row>
    <row r="39" spans="2:6" x14ac:dyDescent="0.25">
      <c r="B39" s="271" t="s">
        <v>189</v>
      </c>
      <c r="C39" s="322" t="s">
        <v>190</v>
      </c>
      <c r="D39" s="323"/>
      <c r="E39" s="323"/>
      <c r="F39" s="324"/>
    </row>
    <row r="40" spans="2:6" ht="14.4" thickBot="1" x14ac:dyDescent="0.3">
      <c r="B40" s="257" t="s">
        <v>191</v>
      </c>
      <c r="C40" s="325" t="s">
        <v>192</v>
      </c>
      <c r="D40" s="326"/>
      <c r="E40" s="326"/>
      <c r="F40" s="327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</vt:i4>
      </vt:variant>
    </vt:vector>
  </HeadingPairs>
  <TitlesOfParts>
    <vt:vector size="6" baseType="lpstr">
      <vt:lpstr>תחשיב לפי שווי שומה (2)</vt:lpstr>
      <vt:lpstr>מ"ר אקו' נחלה</vt:lpstr>
      <vt:lpstr>ניתוח איזור לעסקאות דמה</vt:lpstr>
      <vt:lpstr>חישוב גדלי בתים</vt:lpstr>
      <vt:lpstr>גיליון1</vt:lpstr>
      <vt:lpstr>'תחשיב לפי שווי שומה (2)'!WPrint_Area_W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2024-11-04T10:19:53Z</dcterms:modified>
</cp:coreProperties>
</file>